
<file path=[Content_Types].xml><?xml version="1.0" encoding="utf-8"?>
<Types xmlns="http://schemas.openxmlformats.org/package/2006/content-types"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harts/chart4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60" windowWidth="20055" windowHeight="7950" tabRatio="729" firstSheet="5" activeTab="8"/>
  </bookViews>
  <sheets>
    <sheet name="Raw_Daily_Activity" sheetId="2" r:id="rId1"/>
    <sheet name="Raw_Sleep_Data" sheetId="4" r:id="rId2"/>
    <sheet name="Clean_Daily_Activity" sheetId="1" r:id="rId3"/>
    <sheet name="Clean_Sleep_Data" sheetId="5" r:id="rId4"/>
    <sheet name="Activity_Level_Analysis" sheetId="12" r:id="rId5"/>
    <sheet name="Day_Of_Week_Analysis" sheetId="13" r:id="rId6"/>
    <sheet name="User_Cosistency_Analysis" sheetId="15" r:id="rId7"/>
    <sheet name="Sleep_Duration_Analysis" sheetId="14" r:id="rId8"/>
    <sheet name="Analysis" sheetId="3" r:id="rId9"/>
  </sheets>
  <definedNames>
    <definedName name="dailyActivity_merged" localSheetId="2">Clean_Daily_Activity!$A$1:$O$941</definedName>
    <definedName name="dailyActivity_merged" localSheetId="0">Raw_Daily_Activity!$A$1:$O$941</definedName>
    <definedName name="sleepDay_merged" localSheetId="3">Clean_Sleep_Data!$A$1:$E$414</definedName>
    <definedName name="sleepDay_merged" localSheetId="1">Raw_Sleep_Data!$A$1:$E$414</definedName>
  </definedNames>
  <calcPr calcId="124519"/>
  <pivotCaches>
    <pivotCache cacheId="0" r:id="rId10"/>
    <pivotCache cacheId="1" r:id="rId11"/>
  </pivotCaches>
</workbook>
</file>

<file path=xl/calcChain.xml><?xml version="1.0" encoding="utf-8"?>
<calcChain xmlns="http://schemas.openxmlformats.org/spreadsheetml/2006/main">
  <c r="H7" i="15"/>
  <c r="H6"/>
  <c r="H5"/>
  <c r="D5"/>
  <c r="D11"/>
  <c r="E11" s="1"/>
  <c r="D35"/>
  <c r="B15" i="13"/>
  <c r="B16"/>
  <c r="E35" i="15"/>
  <c r="E5"/>
  <c r="D6"/>
  <c r="E6" s="1"/>
  <c r="D7"/>
  <c r="E7" s="1"/>
  <c r="D8"/>
  <c r="E8" s="1"/>
  <c r="D9"/>
  <c r="E9" s="1"/>
  <c r="D10"/>
  <c r="E10" s="1"/>
  <c r="D12"/>
  <c r="E12" s="1"/>
  <c r="D13"/>
  <c r="E13" s="1"/>
  <c r="D14"/>
  <c r="E14" s="1"/>
  <c r="D15"/>
  <c r="E15" s="1"/>
  <c r="D16"/>
  <c r="E16" s="1"/>
  <c r="D17"/>
  <c r="E17" s="1"/>
  <c r="D18"/>
  <c r="E18" s="1"/>
  <c r="D19"/>
  <c r="E19" s="1"/>
  <c r="D20"/>
  <c r="E20" s="1"/>
  <c r="D21"/>
  <c r="E21" s="1"/>
  <c r="D22"/>
  <c r="E22" s="1"/>
  <c r="D23"/>
  <c r="E23" s="1"/>
  <c r="D24"/>
  <c r="E24" s="1"/>
  <c r="D25"/>
  <c r="E25" s="1"/>
  <c r="D26"/>
  <c r="E26" s="1"/>
  <c r="D27"/>
  <c r="E27" s="1"/>
  <c r="D28"/>
  <c r="E28" s="1"/>
  <c r="D29"/>
  <c r="E29" s="1"/>
  <c r="D30"/>
  <c r="E30" s="1"/>
  <c r="D31"/>
  <c r="E31" s="1"/>
  <c r="D32"/>
  <c r="E32" s="1"/>
  <c r="D33"/>
  <c r="E33" s="1"/>
  <c r="D34"/>
  <c r="E34" s="1"/>
  <c r="D36"/>
  <c r="E36" s="1"/>
  <c r="D37"/>
  <c r="E37" s="1"/>
  <c r="B14" i="13"/>
  <c r="B13"/>
  <c r="Q11" i="1"/>
  <c r="Q8"/>
  <c r="Q4"/>
  <c r="Q18"/>
  <c r="Q3"/>
  <c r="Q21"/>
  <c r="Q31"/>
  <c r="Q9"/>
  <c r="Q5"/>
  <c r="Q19"/>
  <c r="Q26"/>
  <c r="Q6"/>
  <c r="Q30"/>
  <c r="Q24"/>
  <c r="Q32"/>
  <c r="Q22"/>
  <c r="Q13"/>
  <c r="Q27"/>
  <c r="Q10"/>
  <c r="Q28"/>
  <c r="Q29"/>
  <c r="Q12"/>
  <c r="Q25"/>
  <c r="Q16"/>
  <c r="Q14"/>
  <c r="Q7"/>
  <c r="Q15"/>
  <c r="Q17"/>
  <c r="Q20"/>
  <c r="Q2"/>
  <c r="Q58"/>
  <c r="Q56"/>
  <c r="Q61"/>
  <c r="Q33"/>
  <c r="Q50"/>
  <c r="Q52"/>
  <c r="Q62"/>
  <c r="Q43"/>
  <c r="Q49"/>
  <c r="Q53"/>
  <c r="Q48"/>
  <c r="Q60"/>
  <c r="Q51"/>
  <c r="Q55"/>
  <c r="Q42"/>
  <c r="Q59"/>
  <c r="Q41"/>
  <c r="Q39"/>
  <c r="Q54"/>
  <c r="Q63"/>
  <c r="Q57"/>
  <c r="Q36"/>
  <c r="Q38"/>
  <c r="Q40"/>
  <c r="Q34"/>
  <c r="Q37"/>
  <c r="Q47"/>
  <c r="Q35"/>
  <c r="Q44"/>
  <c r="Q46"/>
  <c r="Q45"/>
  <c r="Q87"/>
  <c r="Q81"/>
  <c r="Q88"/>
  <c r="Q75"/>
  <c r="Q92"/>
  <c r="Q82"/>
  <c r="Q80"/>
  <c r="Q89"/>
  <c r="Q67"/>
  <c r="Q64"/>
  <c r="Q72"/>
  <c r="Q77"/>
  <c r="Q70"/>
  <c r="Q71"/>
  <c r="Q86"/>
  <c r="Q68"/>
  <c r="Q84"/>
  <c r="Q69"/>
  <c r="Q93"/>
  <c r="Q76"/>
  <c r="Q73"/>
  <c r="Q90"/>
  <c r="Q66"/>
  <c r="Q74"/>
  <c r="Q85"/>
  <c r="Q91"/>
  <c r="Q79"/>
  <c r="Q78"/>
  <c r="Q83"/>
  <c r="Q65"/>
  <c r="Q121"/>
  <c r="Q119"/>
  <c r="Q123"/>
  <c r="Q113"/>
  <c r="Q111"/>
  <c r="Q116"/>
  <c r="Q117"/>
  <c r="Q107"/>
  <c r="Q105"/>
  <c r="Q124"/>
  <c r="Q120"/>
  <c r="Q112"/>
  <c r="Q94"/>
  <c r="Q95"/>
  <c r="Q96"/>
  <c r="Q104"/>
  <c r="Q122"/>
  <c r="Q118"/>
  <c r="Q114"/>
  <c r="Q110"/>
  <c r="Q97"/>
  <c r="Q115"/>
  <c r="Q108"/>
  <c r="Q109"/>
  <c r="Q106"/>
  <c r="Q98"/>
  <c r="Q99"/>
  <c r="Q100"/>
  <c r="Q101"/>
  <c r="Q102"/>
  <c r="Q103"/>
  <c r="Q143"/>
  <c r="Q142"/>
  <c r="Q151"/>
  <c r="Q144"/>
  <c r="Q125"/>
  <c r="Q126"/>
  <c r="Q141"/>
  <c r="Q127"/>
  <c r="Q128"/>
  <c r="Q129"/>
  <c r="Q139"/>
  <c r="Q153"/>
  <c r="Q149"/>
  <c r="Q140"/>
  <c r="Q154"/>
  <c r="Q130"/>
  <c r="Q147"/>
  <c r="Q131"/>
  <c r="Q132"/>
  <c r="Q152"/>
  <c r="Q155"/>
  <c r="Q145"/>
  <c r="Q148"/>
  <c r="Q133"/>
  <c r="Q150"/>
  <c r="Q146"/>
  <c r="Q134"/>
  <c r="Q135"/>
  <c r="Q136"/>
  <c r="Q137"/>
  <c r="Q138"/>
  <c r="Q173"/>
  <c r="Q175"/>
  <c r="Q168"/>
  <c r="Q169"/>
  <c r="Q160"/>
  <c r="Q184"/>
  <c r="Q183"/>
  <c r="Q171"/>
  <c r="Q185"/>
  <c r="Q177"/>
  <c r="Q179"/>
  <c r="Q157"/>
  <c r="Q182"/>
  <c r="Q170"/>
  <c r="Q161"/>
  <c r="Q163"/>
  <c r="Q162"/>
  <c r="Q165"/>
  <c r="Q186"/>
  <c r="Q167"/>
  <c r="Q166"/>
  <c r="Q176"/>
  <c r="Q172"/>
  <c r="Q174"/>
  <c r="Q164"/>
  <c r="Q158"/>
  <c r="Q156"/>
  <c r="Q181"/>
  <c r="Q178"/>
  <c r="Q180"/>
  <c r="Q159"/>
  <c r="Q199"/>
  <c r="Q201"/>
  <c r="Q194"/>
  <c r="Q197"/>
  <c r="Q191"/>
  <c r="Q188"/>
  <c r="Q193"/>
  <c r="Q189"/>
  <c r="Q210"/>
  <c r="Q190"/>
  <c r="Q192"/>
  <c r="Q217"/>
  <c r="Q195"/>
  <c r="Q205"/>
  <c r="Q203"/>
  <c r="Q206"/>
  <c r="Q207"/>
  <c r="Q211"/>
  <c r="Q200"/>
  <c r="Q196"/>
  <c r="Q209"/>
  <c r="Q204"/>
  <c r="Q208"/>
  <c r="Q216"/>
  <c r="Q212"/>
  <c r="Q198"/>
  <c r="Q202"/>
  <c r="Q215"/>
  <c r="Q187"/>
  <c r="Q213"/>
  <c r="Q214"/>
  <c r="Q248"/>
  <c r="Q245"/>
  <c r="Q229"/>
  <c r="Q237"/>
  <c r="Q233"/>
  <c r="Q240"/>
  <c r="Q243"/>
  <c r="Q239"/>
  <c r="Q244"/>
  <c r="Q225"/>
  <c r="Q238"/>
  <c r="Q234"/>
  <c r="Q230"/>
  <c r="Q227"/>
  <c r="Q226"/>
  <c r="Q222"/>
  <c r="Q221"/>
  <c r="Q219"/>
  <c r="Q231"/>
  <c r="Q218"/>
  <c r="Q228"/>
  <c r="Q247"/>
  <c r="Q220"/>
  <c r="Q236"/>
  <c r="Q232"/>
  <c r="Q246"/>
  <c r="Q235"/>
  <c r="Q224"/>
  <c r="Q241"/>
  <c r="Q242"/>
  <c r="Q223"/>
  <c r="Q259"/>
  <c r="Q261"/>
  <c r="Q260"/>
  <c r="Q262"/>
  <c r="Q266"/>
  <c r="Q251"/>
  <c r="Q255"/>
  <c r="Q253"/>
  <c r="Q263"/>
  <c r="Q258"/>
  <c r="Q254"/>
  <c r="Q265"/>
  <c r="Q256"/>
  <c r="Q257"/>
  <c r="Q252"/>
  <c r="Q264"/>
  <c r="Q250"/>
  <c r="Q249"/>
  <c r="Q293"/>
  <c r="Q280"/>
  <c r="Q283"/>
  <c r="Q292"/>
  <c r="Q297"/>
  <c r="Q267"/>
  <c r="Q282"/>
  <c r="Q285"/>
  <c r="Q295"/>
  <c r="Q294"/>
  <c r="Q273"/>
  <c r="Q296"/>
  <c r="Q271"/>
  <c r="Q275"/>
  <c r="Q287"/>
  <c r="Q268"/>
  <c r="Q284"/>
  <c r="Q274"/>
  <c r="Q291"/>
  <c r="Q276"/>
  <c r="Q278"/>
  <c r="Q277"/>
  <c r="Q289"/>
  <c r="Q290"/>
  <c r="Q272"/>
  <c r="Q269"/>
  <c r="Q286"/>
  <c r="Q281"/>
  <c r="Q288"/>
  <c r="Q270"/>
  <c r="Q279"/>
  <c r="Q300"/>
  <c r="Q317"/>
  <c r="Q314"/>
  <c r="Q309"/>
  <c r="Q307"/>
  <c r="Q312"/>
  <c r="Q306"/>
  <c r="Q310"/>
  <c r="Q301"/>
  <c r="Q315"/>
  <c r="Q299"/>
  <c r="Q308"/>
  <c r="Q305"/>
  <c r="Q304"/>
  <c r="Q313"/>
  <c r="Q311"/>
  <c r="Q303"/>
  <c r="Q316"/>
  <c r="Q302"/>
  <c r="Q298"/>
  <c r="Q323"/>
  <c r="Q326"/>
  <c r="Q322"/>
  <c r="Q325"/>
  <c r="Q341"/>
  <c r="Q328"/>
  <c r="Q334"/>
  <c r="Q338"/>
  <c r="Q333"/>
  <c r="Q319"/>
  <c r="Q324"/>
  <c r="Q336"/>
  <c r="Q344"/>
  <c r="Q330"/>
  <c r="Q331"/>
  <c r="Q321"/>
  <c r="Q320"/>
  <c r="Q329"/>
  <c r="Q340"/>
  <c r="Q327"/>
  <c r="Q347"/>
  <c r="Q345"/>
  <c r="Q342"/>
  <c r="Q337"/>
  <c r="Q335"/>
  <c r="Q332"/>
  <c r="Q343"/>
  <c r="Q346"/>
  <c r="Q339"/>
  <c r="Q318"/>
  <c r="Q376"/>
  <c r="Q348"/>
  <c r="Q364"/>
  <c r="Q367"/>
  <c r="Q368"/>
  <c r="Q362"/>
  <c r="Q363"/>
  <c r="Q349"/>
  <c r="Q350"/>
  <c r="Q351"/>
  <c r="Q352"/>
  <c r="Q353"/>
  <c r="Q354"/>
  <c r="Q355"/>
  <c r="Q356"/>
  <c r="Q357"/>
  <c r="Q358"/>
  <c r="Q359"/>
  <c r="Q360"/>
  <c r="Q361"/>
  <c r="Q365"/>
  <c r="Q371"/>
  <c r="Q377"/>
  <c r="Q378"/>
  <c r="Q370"/>
  <c r="Q375"/>
  <c r="Q374"/>
  <c r="Q372"/>
  <c r="Q373"/>
  <c r="Q369"/>
  <c r="Q366"/>
  <c r="Q381"/>
  <c r="Q382"/>
  <c r="Q379"/>
  <c r="Q380"/>
  <c r="Q394"/>
  <c r="Q397"/>
  <c r="Q408"/>
  <c r="Q393"/>
  <c r="Q391"/>
  <c r="Q384"/>
  <c r="Q386"/>
  <c r="Q399"/>
  <c r="Q400"/>
  <c r="Q388"/>
  <c r="Q390"/>
  <c r="Q392"/>
  <c r="Q389"/>
  <c r="Q402"/>
  <c r="Q407"/>
  <c r="Q411"/>
  <c r="Q412"/>
  <c r="Q396"/>
  <c r="Q398"/>
  <c r="Q385"/>
  <c r="Q403"/>
  <c r="Q406"/>
  <c r="Q410"/>
  <c r="Q413"/>
  <c r="Q405"/>
  <c r="Q395"/>
  <c r="Q387"/>
  <c r="Q409"/>
  <c r="Q404"/>
  <c r="Q401"/>
  <c r="Q383"/>
  <c r="Q425"/>
  <c r="Q433"/>
  <c r="Q418"/>
  <c r="Q417"/>
  <c r="Q416"/>
  <c r="Q415"/>
  <c r="Q434"/>
  <c r="Q426"/>
  <c r="Q432"/>
  <c r="Q422"/>
  <c r="Q436"/>
  <c r="Q442"/>
  <c r="Q429"/>
  <c r="Q440"/>
  <c r="Q420"/>
  <c r="Q435"/>
  <c r="Q423"/>
  <c r="Q419"/>
  <c r="Q438"/>
  <c r="Q430"/>
  <c r="Q424"/>
  <c r="Q439"/>
  <c r="Q437"/>
  <c r="Q421"/>
  <c r="Q441"/>
  <c r="Q444"/>
  <c r="Q443"/>
  <c r="Q428"/>
  <c r="Q431"/>
  <c r="Q427"/>
  <c r="Q414"/>
  <c r="Q451"/>
  <c r="Q450"/>
  <c r="Q457"/>
  <c r="Q471"/>
  <c r="Q456"/>
  <c r="Q448"/>
  <c r="Q466"/>
  <c r="Q446"/>
  <c r="Q447"/>
  <c r="Q454"/>
  <c r="Q469"/>
  <c r="Q458"/>
  <c r="Q462"/>
  <c r="Q452"/>
  <c r="Q468"/>
  <c r="Q472"/>
  <c r="Q459"/>
  <c r="Q461"/>
  <c r="Q467"/>
  <c r="Q464"/>
  <c r="Q470"/>
  <c r="Q474"/>
  <c r="Q449"/>
  <c r="Q453"/>
  <c r="Q460"/>
  <c r="Q463"/>
  <c r="Q473"/>
  <c r="Q465"/>
  <c r="Q455"/>
  <c r="Q475"/>
  <c r="Q445"/>
  <c r="Q480"/>
  <c r="Q479"/>
  <c r="Q487"/>
  <c r="Q490"/>
  <c r="Q489"/>
  <c r="Q502"/>
  <c r="Q496"/>
  <c r="Q483"/>
  <c r="Q478"/>
  <c r="Q506"/>
  <c r="Q501"/>
  <c r="Q488"/>
  <c r="Q495"/>
  <c r="Q493"/>
  <c r="Q498"/>
  <c r="Q500"/>
  <c r="Q499"/>
  <c r="Q491"/>
  <c r="Q503"/>
  <c r="Q476"/>
  <c r="Q492"/>
  <c r="Q482"/>
  <c r="Q481"/>
  <c r="Q504"/>
  <c r="Q477"/>
  <c r="Q494"/>
  <c r="Q486"/>
  <c r="Q505"/>
  <c r="Q485"/>
  <c r="Q497"/>
  <c r="Q484"/>
  <c r="Q517"/>
  <c r="Q514"/>
  <c r="Q519"/>
  <c r="Q511"/>
  <c r="Q532"/>
  <c r="Q533"/>
  <c r="Q525"/>
  <c r="Q513"/>
  <c r="Q523"/>
  <c r="Q512"/>
  <c r="Q508"/>
  <c r="Q537"/>
  <c r="Q536"/>
  <c r="Q526"/>
  <c r="Q510"/>
  <c r="Q516"/>
  <c r="Q524"/>
  <c r="Q529"/>
  <c r="Q530"/>
  <c r="Q507"/>
  <c r="Q518"/>
  <c r="Q527"/>
  <c r="Q520"/>
  <c r="Q522"/>
  <c r="Q515"/>
  <c r="Q535"/>
  <c r="Q534"/>
  <c r="Q521"/>
  <c r="Q531"/>
  <c r="Q528"/>
  <c r="Q509"/>
  <c r="Q557"/>
  <c r="Q547"/>
  <c r="Q568"/>
  <c r="Q567"/>
  <c r="Q550"/>
  <c r="Q538"/>
  <c r="Q544"/>
  <c r="Q565"/>
  <c r="Q542"/>
  <c r="Q561"/>
  <c r="Q559"/>
  <c r="Q545"/>
  <c r="Q540"/>
  <c r="Q555"/>
  <c r="Q560"/>
  <c r="Q554"/>
  <c r="Q556"/>
  <c r="Q562"/>
  <c r="Q539"/>
  <c r="Q549"/>
  <c r="Q553"/>
  <c r="Q563"/>
  <c r="Q546"/>
  <c r="Q564"/>
  <c r="Q552"/>
  <c r="Q541"/>
  <c r="Q551"/>
  <c r="Q558"/>
  <c r="Q566"/>
  <c r="Q548"/>
  <c r="Q543"/>
  <c r="Q583"/>
  <c r="Q574"/>
  <c r="Q585"/>
  <c r="Q592"/>
  <c r="Q597"/>
  <c r="Q593"/>
  <c r="Q589"/>
  <c r="Q595"/>
  <c r="Q584"/>
  <c r="Q590"/>
  <c r="Q587"/>
  <c r="Q581"/>
  <c r="Q598"/>
  <c r="Q577"/>
  <c r="Q576"/>
  <c r="Q578"/>
  <c r="Q588"/>
  <c r="Q582"/>
  <c r="Q594"/>
  <c r="Q596"/>
  <c r="Q579"/>
  <c r="Q591"/>
  <c r="Q575"/>
  <c r="Q580"/>
  <c r="Q573"/>
  <c r="Q569"/>
  <c r="Q570"/>
  <c r="Q571"/>
  <c r="Q586"/>
  <c r="Q572"/>
  <c r="Q599"/>
  <c r="Q600"/>
  <c r="Q601"/>
  <c r="Q624"/>
  <c r="Q625"/>
  <c r="Q611"/>
  <c r="Q609"/>
  <c r="Q622"/>
  <c r="Q621"/>
  <c r="Q626"/>
  <c r="Q615"/>
  <c r="Q623"/>
  <c r="Q614"/>
  <c r="Q602"/>
  <c r="Q618"/>
  <c r="Q617"/>
  <c r="Q606"/>
  <c r="Q619"/>
  <c r="Q610"/>
  <c r="Q616"/>
  <c r="Q608"/>
  <c r="Q603"/>
  <c r="Q604"/>
  <c r="Q620"/>
  <c r="Q605"/>
  <c r="Q613"/>
  <c r="Q612"/>
  <c r="Q607"/>
  <c r="Q632"/>
  <c r="Q647"/>
  <c r="Q649"/>
  <c r="Q654"/>
  <c r="Q653"/>
  <c r="Q652"/>
  <c r="Q646"/>
  <c r="Q648"/>
  <c r="Q643"/>
  <c r="Q627"/>
  <c r="Q640"/>
  <c r="Q628"/>
  <c r="Q637"/>
  <c r="Q651"/>
  <c r="Q629"/>
  <c r="Q634"/>
  <c r="Q635"/>
  <c r="Q630"/>
  <c r="Q644"/>
  <c r="Q655"/>
  <c r="Q645"/>
  <c r="Q638"/>
  <c r="Q636"/>
  <c r="Q642"/>
  <c r="Q639"/>
  <c r="Q633"/>
  <c r="Q650"/>
  <c r="Q641"/>
  <c r="Q631"/>
  <c r="Q656"/>
  <c r="Q674"/>
  <c r="Q677"/>
  <c r="Q668"/>
  <c r="Q676"/>
  <c r="Q672"/>
  <c r="Q680"/>
  <c r="Q657"/>
  <c r="Q681"/>
  <c r="Q658"/>
  <c r="Q666"/>
  <c r="Q659"/>
  <c r="Q670"/>
  <c r="Q678"/>
  <c r="Q679"/>
  <c r="Q660"/>
  <c r="Q667"/>
  <c r="Q661"/>
  <c r="Q673"/>
  <c r="Q671"/>
  <c r="Q662"/>
  <c r="Q665"/>
  <c r="Q663"/>
  <c r="Q664"/>
  <c r="Q675"/>
  <c r="Q669"/>
  <c r="Q695"/>
  <c r="Q688"/>
  <c r="Q682"/>
  <c r="Q687"/>
  <c r="Q708"/>
  <c r="Q693"/>
  <c r="Q702"/>
  <c r="Q700"/>
  <c r="Q710"/>
  <c r="Q703"/>
  <c r="Q699"/>
  <c r="Q712"/>
  <c r="Q685"/>
  <c r="Q709"/>
  <c r="Q697"/>
  <c r="Q696"/>
  <c r="Q706"/>
  <c r="Q701"/>
  <c r="Q692"/>
  <c r="Q686"/>
  <c r="Q707"/>
  <c r="Q704"/>
  <c r="Q694"/>
  <c r="Q698"/>
  <c r="Q689"/>
  <c r="Q691"/>
  <c r="Q684"/>
  <c r="Q705"/>
  <c r="Q711"/>
  <c r="Q690"/>
  <c r="Q683"/>
  <c r="Q728"/>
  <c r="Q724"/>
  <c r="Q722"/>
  <c r="Q717"/>
  <c r="Q716"/>
  <c r="Q719"/>
  <c r="Q731"/>
  <c r="Q729"/>
  <c r="Q736"/>
  <c r="Q727"/>
  <c r="Q735"/>
  <c r="Q720"/>
  <c r="Q721"/>
  <c r="Q737"/>
  <c r="Q733"/>
  <c r="Q726"/>
  <c r="Q734"/>
  <c r="Q738"/>
  <c r="Q715"/>
  <c r="Q718"/>
  <c r="Q725"/>
  <c r="Q730"/>
  <c r="Q713"/>
  <c r="Q732"/>
  <c r="Q723"/>
  <c r="Q714"/>
  <c r="Q761"/>
  <c r="Q744"/>
  <c r="Q748"/>
  <c r="Q747"/>
  <c r="Q740"/>
  <c r="Q739"/>
  <c r="Q752"/>
  <c r="Q758"/>
  <c r="Q767"/>
  <c r="Q749"/>
  <c r="Q751"/>
  <c r="Q741"/>
  <c r="Q742"/>
  <c r="Q754"/>
  <c r="Q756"/>
  <c r="Q760"/>
  <c r="Q762"/>
  <c r="Q745"/>
  <c r="Q769"/>
  <c r="Q763"/>
  <c r="Q753"/>
  <c r="Q755"/>
  <c r="Q759"/>
  <c r="Q746"/>
  <c r="Q764"/>
  <c r="Q765"/>
  <c r="Q757"/>
  <c r="Q766"/>
  <c r="Q768"/>
  <c r="Q750"/>
  <c r="Q743"/>
  <c r="Q792"/>
  <c r="Q790"/>
  <c r="Q795"/>
  <c r="Q797"/>
  <c r="Q781"/>
  <c r="Q793"/>
  <c r="Q791"/>
  <c r="Q788"/>
  <c r="Q785"/>
  <c r="Q789"/>
  <c r="Q774"/>
  <c r="Q799"/>
  <c r="Q800"/>
  <c r="Q796"/>
  <c r="Q779"/>
  <c r="Q777"/>
  <c r="Q786"/>
  <c r="Q776"/>
  <c r="Q773"/>
  <c r="Q770"/>
  <c r="Q771"/>
  <c r="Q787"/>
  <c r="Q782"/>
  <c r="Q784"/>
  <c r="Q780"/>
  <c r="Q794"/>
  <c r="Q798"/>
  <c r="Q778"/>
  <c r="Q783"/>
  <c r="Q775"/>
  <c r="Q772"/>
  <c r="Q814"/>
  <c r="Q812"/>
  <c r="Q808"/>
  <c r="Q802"/>
  <c r="Q815"/>
  <c r="Q817"/>
  <c r="Q807"/>
  <c r="Q805"/>
  <c r="Q810"/>
  <c r="Q819"/>
  <c r="Q804"/>
  <c r="Q816"/>
  <c r="Q813"/>
  <c r="Q811"/>
  <c r="Q806"/>
  <c r="Q818"/>
  <c r="Q803"/>
  <c r="Q809"/>
  <c r="Q801"/>
  <c r="Q833"/>
  <c r="Q843"/>
  <c r="Q846"/>
  <c r="Q848"/>
  <c r="Q840"/>
  <c r="Q820"/>
  <c r="Q847"/>
  <c r="Q845"/>
  <c r="Q839"/>
  <c r="Q849"/>
  <c r="Q842"/>
  <c r="Q827"/>
  <c r="Q823"/>
  <c r="Q844"/>
  <c r="Q850"/>
  <c r="Q832"/>
  <c r="Q826"/>
  <c r="Q829"/>
  <c r="Q822"/>
  <c r="Q841"/>
  <c r="Q828"/>
  <c r="Q837"/>
  <c r="Q834"/>
  <c r="Q836"/>
  <c r="Q831"/>
  <c r="Q824"/>
  <c r="Q821"/>
  <c r="Q835"/>
  <c r="Q830"/>
  <c r="Q838"/>
  <c r="Q825"/>
  <c r="Q859"/>
  <c r="Q862"/>
  <c r="Q853"/>
  <c r="Q854"/>
  <c r="Q861"/>
  <c r="Q852"/>
  <c r="Q856"/>
  <c r="Q863"/>
  <c r="Q860"/>
  <c r="Q870"/>
  <c r="Q871"/>
  <c r="Q874"/>
  <c r="Q868"/>
  <c r="Q857"/>
  <c r="Q877"/>
  <c r="Q880"/>
  <c r="Q866"/>
  <c r="Q881"/>
  <c r="Q876"/>
  <c r="Q858"/>
  <c r="Q869"/>
  <c r="Q878"/>
  <c r="Q855"/>
  <c r="Q879"/>
  <c r="Q864"/>
  <c r="Q865"/>
  <c r="Q873"/>
  <c r="Q875"/>
  <c r="Q867"/>
  <c r="Q872"/>
  <c r="Q851"/>
  <c r="Q904"/>
  <c r="Q896"/>
  <c r="Q895"/>
  <c r="Q903"/>
  <c r="Q893"/>
  <c r="Q882"/>
  <c r="Q883"/>
  <c r="Q884"/>
  <c r="Q905"/>
  <c r="Q892"/>
  <c r="Q906"/>
  <c r="Q907"/>
  <c r="Q894"/>
  <c r="Q885"/>
  <c r="Q897"/>
  <c r="Q899"/>
  <c r="Q908"/>
  <c r="Q910"/>
  <c r="Q909"/>
  <c r="Q898"/>
  <c r="Q900"/>
  <c r="Q902"/>
  <c r="Q901"/>
  <c r="Q886"/>
  <c r="Q887"/>
  <c r="Q888"/>
  <c r="Q889"/>
  <c r="Q890"/>
  <c r="Q891"/>
  <c r="Q938"/>
  <c r="Q927"/>
  <c r="Q935"/>
  <c r="Q923"/>
  <c r="Q941"/>
  <c r="Q926"/>
  <c r="Q920"/>
  <c r="Q931"/>
  <c r="Q933"/>
  <c r="Q932"/>
  <c r="Q930"/>
  <c r="Q919"/>
  <c r="Q928"/>
  <c r="Q922"/>
  <c r="Q918"/>
  <c r="Q939"/>
  <c r="Q925"/>
  <c r="Q913"/>
  <c r="Q940"/>
  <c r="Q917"/>
  <c r="Q911"/>
  <c r="Q916"/>
  <c r="Q929"/>
  <c r="Q924"/>
  <c r="Q937"/>
  <c r="Q921"/>
  <c r="Q914"/>
  <c r="Q934"/>
  <c r="Q915"/>
  <c r="Q936"/>
  <c r="Q912"/>
  <c r="Q23"/>
  <c r="P11"/>
  <c r="P8"/>
  <c r="P4"/>
  <c r="P18"/>
  <c r="P3"/>
  <c r="P21"/>
  <c r="P31"/>
  <c r="P9"/>
  <c r="P5"/>
  <c r="P19"/>
  <c r="P26"/>
  <c r="P6"/>
  <c r="P30"/>
  <c r="P24"/>
  <c r="P32"/>
  <c r="P22"/>
  <c r="P13"/>
  <c r="P27"/>
  <c r="P10"/>
  <c r="P28"/>
  <c r="P29"/>
  <c r="P12"/>
  <c r="P25"/>
  <c r="P16"/>
  <c r="P14"/>
  <c r="P7"/>
  <c r="P15"/>
  <c r="P17"/>
  <c r="P20"/>
  <c r="P2"/>
  <c r="P58"/>
  <c r="P56"/>
  <c r="P61"/>
  <c r="P33"/>
  <c r="P50"/>
  <c r="P52"/>
  <c r="P62"/>
  <c r="P43"/>
  <c r="P49"/>
  <c r="P53"/>
  <c r="P48"/>
  <c r="P60"/>
  <c r="P51"/>
  <c r="P55"/>
  <c r="P42"/>
  <c r="P59"/>
  <c r="P41"/>
  <c r="P39"/>
  <c r="P54"/>
  <c r="P63"/>
  <c r="P57"/>
  <c r="P36"/>
  <c r="P38"/>
  <c r="P40"/>
  <c r="P34"/>
  <c r="P37"/>
  <c r="P47"/>
  <c r="P35"/>
  <c r="P44"/>
  <c r="P46"/>
  <c r="P45"/>
  <c r="P87"/>
  <c r="P81"/>
  <c r="P88"/>
  <c r="P75"/>
  <c r="P92"/>
  <c r="P82"/>
  <c r="P80"/>
  <c r="P89"/>
  <c r="P67"/>
  <c r="P64"/>
  <c r="P72"/>
  <c r="P77"/>
  <c r="P70"/>
  <c r="P71"/>
  <c r="P86"/>
  <c r="P68"/>
  <c r="P84"/>
  <c r="P69"/>
  <c r="P93"/>
  <c r="P76"/>
  <c r="P73"/>
  <c r="P90"/>
  <c r="P66"/>
  <c r="P74"/>
  <c r="P85"/>
  <c r="P91"/>
  <c r="P79"/>
  <c r="P78"/>
  <c r="P83"/>
  <c r="P65"/>
  <c r="P121"/>
  <c r="P119"/>
  <c r="P123"/>
  <c r="P113"/>
  <c r="P111"/>
  <c r="P116"/>
  <c r="P117"/>
  <c r="P107"/>
  <c r="P105"/>
  <c r="P124"/>
  <c r="P120"/>
  <c r="P112"/>
  <c r="P94"/>
  <c r="P95"/>
  <c r="P96"/>
  <c r="P104"/>
  <c r="P122"/>
  <c r="P118"/>
  <c r="P114"/>
  <c r="P110"/>
  <c r="P97"/>
  <c r="P115"/>
  <c r="P108"/>
  <c r="P109"/>
  <c r="P106"/>
  <c r="P98"/>
  <c r="P99"/>
  <c r="P100"/>
  <c r="P101"/>
  <c r="P102"/>
  <c r="P103"/>
  <c r="P143"/>
  <c r="P142"/>
  <c r="P151"/>
  <c r="P144"/>
  <c r="P125"/>
  <c r="P126"/>
  <c r="P141"/>
  <c r="P127"/>
  <c r="P128"/>
  <c r="P129"/>
  <c r="P139"/>
  <c r="P153"/>
  <c r="P149"/>
  <c r="P140"/>
  <c r="P154"/>
  <c r="P130"/>
  <c r="P147"/>
  <c r="P131"/>
  <c r="P132"/>
  <c r="P152"/>
  <c r="P155"/>
  <c r="P145"/>
  <c r="P148"/>
  <c r="P133"/>
  <c r="P150"/>
  <c r="P146"/>
  <c r="P134"/>
  <c r="P135"/>
  <c r="P136"/>
  <c r="P137"/>
  <c r="P138"/>
  <c r="P173"/>
  <c r="P175"/>
  <c r="P168"/>
  <c r="P169"/>
  <c r="P160"/>
  <c r="P184"/>
  <c r="P183"/>
  <c r="P171"/>
  <c r="P185"/>
  <c r="P177"/>
  <c r="P179"/>
  <c r="P157"/>
  <c r="P182"/>
  <c r="P170"/>
  <c r="P161"/>
  <c r="P163"/>
  <c r="P162"/>
  <c r="P165"/>
  <c r="P186"/>
  <c r="P167"/>
  <c r="P166"/>
  <c r="P176"/>
  <c r="P172"/>
  <c r="P174"/>
  <c r="P164"/>
  <c r="P158"/>
  <c r="P156"/>
  <c r="P181"/>
  <c r="P178"/>
  <c r="P180"/>
  <c r="P159"/>
  <c r="P199"/>
  <c r="P201"/>
  <c r="P194"/>
  <c r="P197"/>
  <c r="P191"/>
  <c r="P188"/>
  <c r="P193"/>
  <c r="P189"/>
  <c r="P210"/>
  <c r="P190"/>
  <c r="P192"/>
  <c r="P217"/>
  <c r="P195"/>
  <c r="P205"/>
  <c r="P203"/>
  <c r="P206"/>
  <c r="P207"/>
  <c r="P211"/>
  <c r="P200"/>
  <c r="P196"/>
  <c r="P209"/>
  <c r="P204"/>
  <c r="P208"/>
  <c r="P216"/>
  <c r="P212"/>
  <c r="P198"/>
  <c r="P202"/>
  <c r="P215"/>
  <c r="P187"/>
  <c r="P213"/>
  <c r="P214"/>
  <c r="P248"/>
  <c r="P245"/>
  <c r="P229"/>
  <c r="P237"/>
  <c r="P233"/>
  <c r="P240"/>
  <c r="P243"/>
  <c r="P239"/>
  <c r="P244"/>
  <c r="P225"/>
  <c r="P238"/>
  <c r="P234"/>
  <c r="P230"/>
  <c r="P227"/>
  <c r="P226"/>
  <c r="P222"/>
  <c r="P221"/>
  <c r="P219"/>
  <c r="P231"/>
  <c r="P218"/>
  <c r="P228"/>
  <c r="P247"/>
  <c r="P220"/>
  <c r="P236"/>
  <c r="P232"/>
  <c r="P246"/>
  <c r="P235"/>
  <c r="P224"/>
  <c r="P241"/>
  <c r="P242"/>
  <c r="P223"/>
  <c r="P259"/>
  <c r="P261"/>
  <c r="P260"/>
  <c r="P262"/>
  <c r="P266"/>
  <c r="P251"/>
  <c r="P255"/>
  <c r="P253"/>
  <c r="P263"/>
  <c r="P258"/>
  <c r="P254"/>
  <c r="P265"/>
  <c r="P256"/>
  <c r="P257"/>
  <c r="P252"/>
  <c r="P264"/>
  <c r="P250"/>
  <c r="P249"/>
  <c r="P293"/>
  <c r="P280"/>
  <c r="P283"/>
  <c r="P292"/>
  <c r="P297"/>
  <c r="P267"/>
  <c r="P282"/>
  <c r="P285"/>
  <c r="P295"/>
  <c r="P294"/>
  <c r="P273"/>
  <c r="P296"/>
  <c r="P271"/>
  <c r="P275"/>
  <c r="P287"/>
  <c r="P268"/>
  <c r="P284"/>
  <c r="P274"/>
  <c r="P291"/>
  <c r="P276"/>
  <c r="P278"/>
  <c r="P277"/>
  <c r="P289"/>
  <c r="P290"/>
  <c r="P272"/>
  <c r="P269"/>
  <c r="P286"/>
  <c r="P281"/>
  <c r="P288"/>
  <c r="P270"/>
  <c r="P279"/>
  <c r="P300"/>
  <c r="P317"/>
  <c r="P314"/>
  <c r="P309"/>
  <c r="P307"/>
  <c r="P312"/>
  <c r="P306"/>
  <c r="P310"/>
  <c r="P301"/>
  <c r="P315"/>
  <c r="P299"/>
  <c r="P308"/>
  <c r="P305"/>
  <c r="P304"/>
  <c r="P313"/>
  <c r="P311"/>
  <c r="P303"/>
  <c r="P316"/>
  <c r="P302"/>
  <c r="P298"/>
  <c r="P323"/>
  <c r="P326"/>
  <c r="P322"/>
  <c r="P325"/>
  <c r="P341"/>
  <c r="P328"/>
  <c r="P334"/>
  <c r="P338"/>
  <c r="P333"/>
  <c r="P319"/>
  <c r="P324"/>
  <c r="P336"/>
  <c r="P344"/>
  <c r="P330"/>
  <c r="P331"/>
  <c r="P321"/>
  <c r="P320"/>
  <c r="P329"/>
  <c r="P340"/>
  <c r="P327"/>
  <c r="P347"/>
  <c r="P345"/>
  <c r="P342"/>
  <c r="P337"/>
  <c r="P335"/>
  <c r="P332"/>
  <c r="P343"/>
  <c r="P346"/>
  <c r="P339"/>
  <c r="P318"/>
  <c r="P376"/>
  <c r="P348"/>
  <c r="P364"/>
  <c r="P367"/>
  <c r="P368"/>
  <c r="P362"/>
  <c r="P363"/>
  <c r="P349"/>
  <c r="P350"/>
  <c r="P351"/>
  <c r="P352"/>
  <c r="P353"/>
  <c r="P354"/>
  <c r="P355"/>
  <c r="P356"/>
  <c r="P357"/>
  <c r="P358"/>
  <c r="P359"/>
  <c r="P360"/>
  <c r="P361"/>
  <c r="P365"/>
  <c r="P371"/>
  <c r="P377"/>
  <c r="P378"/>
  <c r="P370"/>
  <c r="P375"/>
  <c r="P374"/>
  <c r="P372"/>
  <c r="P373"/>
  <c r="P369"/>
  <c r="P366"/>
  <c r="P381"/>
  <c r="P382"/>
  <c r="P379"/>
  <c r="P380"/>
  <c r="P394"/>
  <c r="P397"/>
  <c r="P408"/>
  <c r="P393"/>
  <c r="P391"/>
  <c r="P384"/>
  <c r="P386"/>
  <c r="P399"/>
  <c r="P400"/>
  <c r="P388"/>
  <c r="P390"/>
  <c r="P392"/>
  <c r="P389"/>
  <c r="P402"/>
  <c r="P407"/>
  <c r="P411"/>
  <c r="P412"/>
  <c r="P396"/>
  <c r="P398"/>
  <c r="P385"/>
  <c r="P403"/>
  <c r="P406"/>
  <c r="P410"/>
  <c r="P413"/>
  <c r="P405"/>
  <c r="P395"/>
  <c r="P387"/>
  <c r="P409"/>
  <c r="P404"/>
  <c r="P401"/>
  <c r="P383"/>
  <c r="P425"/>
  <c r="P433"/>
  <c r="P418"/>
  <c r="P417"/>
  <c r="P416"/>
  <c r="P415"/>
  <c r="P434"/>
  <c r="P426"/>
  <c r="P432"/>
  <c r="P422"/>
  <c r="P436"/>
  <c r="P442"/>
  <c r="P429"/>
  <c r="P440"/>
  <c r="P420"/>
  <c r="P435"/>
  <c r="P423"/>
  <c r="P419"/>
  <c r="P438"/>
  <c r="P430"/>
  <c r="P424"/>
  <c r="P439"/>
  <c r="P437"/>
  <c r="P421"/>
  <c r="P441"/>
  <c r="P444"/>
  <c r="P443"/>
  <c r="P428"/>
  <c r="P431"/>
  <c r="P427"/>
  <c r="P414"/>
  <c r="P451"/>
  <c r="P450"/>
  <c r="P457"/>
  <c r="P471"/>
  <c r="P456"/>
  <c r="P448"/>
  <c r="P466"/>
  <c r="P446"/>
  <c r="P447"/>
  <c r="P454"/>
  <c r="P469"/>
  <c r="P458"/>
  <c r="P462"/>
  <c r="P452"/>
  <c r="P468"/>
  <c r="P472"/>
  <c r="P459"/>
  <c r="P461"/>
  <c r="P467"/>
  <c r="P464"/>
  <c r="P470"/>
  <c r="P474"/>
  <c r="P449"/>
  <c r="P453"/>
  <c r="P460"/>
  <c r="P463"/>
  <c r="P473"/>
  <c r="P465"/>
  <c r="P455"/>
  <c r="P475"/>
  <c r="P445"/>
  <c r="P480"/>
  <c r="P479"/>
  <c r="P487"/>
  <c r="P490"/>
  <c r="P489"/>
  <c r="P502"/>
  <c r="P496"/>
  <c r="P483"/>
  <c r="P478"/>
  <c r="P506"/>
  <c r="P501"/>
  <c r="P488"/>
  <c r="P495"/>
  <c r="P493"/>
  <c r="P498"/>
  <c r="P500"/>
  <c r="P499"/>
  <c r="P491"/>
  <c r="P503"/>
  <c r="P476"/>
  <c r="P492"/>
  <c r="P482"/>
  <c r="P481"/>
  <c r="P504"/>
  <c r="P477"/>
  <c r="P494"/>
  <c r="P486"/>
  <c r="P505"/>
  <c r="P485"/>
  <c r="P497"/>
  <c r="P484"/>
  <c r="P517"/>
  <c r="P514"/>
  <c r="P519"/>
  <c r="P511"/>
  <c r="P532"/>
  <c r="P533"/>
  <c r="P525"/>
  <c r="P513"/>
  <c r="P523"/>
  <c r="P512"/>
  <c r="P508"/>
  <c r="P537"/>
  <c r="P536"/>
  <c r="P526"/>
  <c r="P510"/>
  <c r="P516"/>
  <c r="P524"/>
  <c r="P529"/>
  <c r="P530"/>
  <c r="P507"/>
  <c r="P518"/>
  <c r="P527"/>
  <c r="P520"/>
  <c r="P522"/>
  <c r="P515"/>
  <c r="P535"/>
  <c r="P534"/>
  <c r="P521"/>
  <c r="P531"/>
  <c r="P528"/>
  <c r="P509"/>
  <c r="P557"/>
  <c r="P547"/>
  <c r="P568"/>
  <c r="P567"/>
  <c r="P550"/>
  <c r="P538"/>
  <c r="P544"/>
  <c r="P565"/>
  <c r="P542"/>
  <c r="P561"/>
  <c r="P559"/>
  <c r="P545"/>
  <c r="P540"/>
  <c r="P555"/>
  <c r="P560"/>
  <c r="P554"/>
  <c r="P556"/>
  <c r="P562"/>
  <c r="P539"/>
  <c r="P549"/>
  <c r="P553"/>
  <c r="P563"/>
  <c r="P546"/>
  <c r="P564"/>
  <c r="P552"/>
  <c r="P541"/>
  <c r="P551"/>
  <c r="P558"/>
  <c r="P566"/>
  <c r="P548"/>
  <c r="P543"/>
  <c r="P583"/>
  <c r="P574"/>
  <c r="P585"/>
  <c r="P592"/>
  <c r="P597"/>
  <c r="P593"/>
  <c r="P589"/>
  <c r="P595"/>
  <c r="P584"/>
  <c r="P590"/>
  <c r="P587"/>
  <c r="P581"/>
  <c r="P598"/>
  <c r="P577"/>
  <c r="P576"/>
  <c r="P578"/>
  <c r="P588"/>
  <c r="P582"/>
  <c r="P594"/>
  <c r="P596"/>
  <c r="P579"/>
  <c r="P591"/>
  <c r="P575"/>
  <c r="P580"/>
  <c r="P573"/>
  <c r="P569"/>
  <c r="P570"/>
  <c r="P571"/>
  <c r="P586"/>
  <c r="P572"/>
  <c r="P599"/>
  <c r="P600"/>
  <c r="P601"/>
  <c r="P624"/>
  <c r="P625"/>
  <c r="P611"/>
  <c r="P609"/>
  <c r="P622"/>
  <c r="P621"/>
  <c r="P626"/>
  <c r="P615"/>
  <c r="P623"/>
  <c r="P614"/>
  <c r="P602"/>
  <c r="P618"/>
  <c r="P617"/>
  <c r="P606"/>
  <c r="P619"/>
  <c r="P610"/>
  <c r="P616"/>
  <c r="P608"/>
  <c r="P603"/>
  <c r="P604"/>
  <c r="P620"/>
  <c r="P605"/>
  <c r="P613"/>
  <c r="P612"/>
  <c r="P607"/>
  <c r="P632"/>
  <c r="P647"/>
  <c r="P649"/>
  <c r="P654"/>
  <c r="P653"/>
  <c r="P652"/>
  <c r="P646"/>
  <c r="P648"/>
  <c r="P643"/>
  <c r="P627"/>
  <c r="P640"/>
  <c r="P628"/>
  <c r="P637"/>
  <c r="P651"/>
  <c r="P629"/>
  <c r="P634"/>
  <c r="P635"/>
  <c r="P630"/>
  <c r="P644"/>
  <c r="P655"/>
  <c r="P645"/>
  <c r="P638"/>
  <c r="P636"/>
  <c r="P642"/>
  <c r="P639"/>
  <c r="P633"/>
  <c r="P650"/>
  <c r="P641"/>
  <c r="P631"/>
  <c r="P656"/>
  <c r="P674"/>
  <c r="P677"/>
  <c r="P668"/>
  <c r="P676"/>
  <c r="P672"/>
  <c r="P680"/>
  <c r="P657"/>
  <c r="P681"/>
  <c r="P658"/>
  <c r="P666"/>
  <c r="P659"/>
  <c r="P670"/>
  <c r="P678"/>
  <c r="P679"/>
  <c r="P660"/>
  <c r="P667"/>
  <c r="P661"/>
  <c r="P673"/>
  <c r="P671"/>
  <c r="P662"/>
  <c r="P665"/>
  <c r="P663"/>
  <c r="P664"/>
  <c r="P675"/>
  <c r="P669"/>
  <c r="P695"/>
  <c r="P688"/>
  <c r="P682"/>
  <c r="P687"/>
  <c r="P708"/>
  <c r="P693"/>
  <c r="P702"/>
  <c r="P700"/>
  <c r="P710"/>
  <c r="P703"/>
  <c r="P699"/>
  <c r="P712"/>
  <c r="P685"/>
  <c r="P709"/>
  <c r="P697"/>
  <c r="P696"/>
  <c r="P706"/>
  <c r="P701"/>
  <c r="P692"/>
  <c r="P686"/>
  <c r="P707"/>
  <c r="P704"/>
  <c r="P694"/>
  <c r="P698"/>
  <c r="P689"/>
  <c r="P691"/>
  <c r="P684"/>
  <c r="P705"/>
  <c r="P711"/>
  <c r="P690"/>
  <c r="P683"/>
  <c r="P728"/>
  <c r="P724"/>
  <c r="P722"/>
  <c r="P717"/>
  <c r="P716"/>
  <c r="P719"/>
  <c r="P731"/>
  <c r="P729"/>
  <c r="P736"/>
  <c r="P727"/>
  <c r="P735"/>
  <c r="P720"/>
  <c r="P721"/>
  <c r="P737"/>
  <c r="P733"/>
  <c r="P726"/>
  <c r="P734"/>
  <c r="P738"/>
  <c r="P715"/>
  <c r="P718"/>
  <c r="P725"/>
  <c r="P730"/>
  <c r="P713"/>
  <c r="P732"/>
  <c r="P723"/>
  <c r="P714"/>
  <c r="P761"/>
  <c r="P744"/>
  <c r="P748"/>
  <c r="P747"/>
  <c r="P740"/>
  <c r="P739"/>
  <c r="P752"/>
  <c r="P758"/>
  <c r="P767"/>
  <c r="P749"/>
  <c r="P751"/>
  <c r="P741"/>
  <c r="P742"/>
  <c r="P754"/>
  <c r="P756"/>
  <c r="P760"/>
  <c r="P762"/>
  <c r="P745"/>
  <c r="P769"/>
  <c r="P763"/>
  <c r="P753"/>
  <c r="P755"/>
  <c r="P759"/>
  <c r="P746"/>
  <c r="P764"/>
  <c r="P765"/>
  <c r="P757"/>
  <c r="P766"/>
  <c r="P768"/>
  <c r="P750"/>
  <c r="P743"/>
  <c r="P792"/>
  <c r="P790"/>
  <c r="P795"/>
  <c r="P797"/>
  <c r="P781"/>
  <c r="P793"/>
  <c r="P791"/>
  <c r="P788"/>
  <c r="P785"/>
  <c r="P789"/>
  <c r="P774"/>
  <c r="P799"/>
  <c r="P800"/>
  <c r="P796"/>
  <c r="P779"/>
  <c r="P777"/>
  <c r="P786"/>
  <c r="P776"/>
  <c r="P773"/>
  <c r="P770"/>
  <c r="P771"/>
  <c r="P787"/>
  <c r="P782"/>
  <c r="P784"/>
  <c r="P780"/>
  <c r="P794"/>
  <c r="P798"/>
  <c r="P778"/>
  <c r="P783"/>
  <c r="P775"/>
  <c r="P772"/>
  <c r="P814"/>
  <c r="P812"/>
  <c r="P808"/>
  <c r="P802"/>
  <c r="P815"/>
  <c r="P817"/>
  <c r="P807"/>
  <c r="P805"/>
  <c r="P810"/>
  <c r="P819"/>
  <c r="P804"/>
  <c r="P816"/>
  <c r="P813"/>
  <c r="P811"/>
  <c r="P806"/>
  <c r="P818"/>
  <c r="P803"/>
  <c r="P809"/>
  <c r="P801"/>
  <c r="P833"/>
  <c r="P843"/>
  <c r="P846"/>
  <c r="P848"/>
  <c r="P840"/>
  <c r="P820"/>
  <c r="P847"/>
  <c r="P845"/>
  <c r="P839"/>
  <c r="P849"/>
  <c r="P842"/>
  <c r="P827"/>
  <c r="P823"/>
  <c r="P844"/>
  <c r="P850"/>
  <c r="P832"/>
  <c r="P826"/>
  <c r="P829"/>
  <c r="P822"/>
  <c r="P841"/>
  <c r="P828"/>
  <c r="P837"/>
  <c r="P834"/>
  <c r="P836"/>
  <c r="P831"/>
  <c r="P824"/>
  <c r="P821"/>
  <c r="P835"/>
  <c r="P830"/>
  <c r="P838"/>
  <c r="P825"/>
  <c r="P859"/>
  <c r="P862"/>
  <c r="P853"/>
  <c r="P854"/>
  <c r="P861"/>
  <c r="P852"/>
  <c r="P856"/>
  <c r="P863"/>
  <c r="P860"/>
  <c r="P870"/>
  <c r="P871"/>
  <c r="P874"/>
  <c r="P868"/>
  <c r="P857"/>
  <c r="P877"/>
  <c r="P880"/>
  <c r="P866"/>
  <c r="P881"/>
  <c r="P876"/>
  <c r="P858"/>
  <c r="P869"/>
  <c r="P878"/>
  <c r="P855"/>
  <c r="P879"/>
  <c r="P864"/>
  <c r="P865"/>
  <c r="P873"/>
  <c r="P875"/>
  <c r="P867"/>
  <c r="P872"/>
  <c r="P851"/>
  <c r="P904"/>
  <c r="P896"/>
  <c r="P895"/>
  <c r="P903"/>
  <c r="P893"/>
  <c r="P882"/>
  <c r="P883"/>
  <c r="P884"/>
  <c r="P905"/>
  <c r="P892"/>
  <c r="P906"/>
  <c r="P907"/>
  <c r="P894"/>
  <c r="P885"/>
  <c r="P897"/>
  <c r="P899"/>
  <c r="P908"/>
  <c r="P910"/>
  <c r="P909"/>
  <c r="P898"/>
  <c r="P900"/>
  <c r="P902"/>
  <c r="P901"/>
  <c r="P886"/>
  <c r="P887"/>
  <c r="P888"/>
  <c r="P889"/>
  <c r="P890"/>
  <c r="P891"/>
  <c r="P938"/>
  <c r="P927"/>
  <c r="P935"/>
  <c r="P923"/>
  <c r="P941"/>
  <c r="P926"/>
  <c r="P920"/>
  <c r="P931"/>
  <c r="P933"/>
  <c r="P932"/>
  <c r="P930"/>
  <c r="P919"/>
  <c r="P928"/>
  <c r="P922"/>
  <c r="P918"/>
  <c r="P939"/>
  <c r="P925"/>
  <c r="P913"/>
  <c r="P940"/>
  <c r="P917"/>
  <c r="P911"/>
  <c r="P916"/>
  <c r="P929"/>
  <c r="P924"/>
  <c r="P937"/>
  <c r="P921"/>
  <c r="P914"/>
  <c r="P934"/>
  <c r="P915"/>
  <c r="P936"/>
  <c r="P912"/>
  <c r="P23"/>
</calcChain>
</file>

<file path=xl/connections.xml><?xml version="1.0" encoding="utf-8"?>
<connections xmlns="http://schemas.openxmlformats.org/spreadsheetml/2006/main">
  <connection id="1" name="dailyActivity_merged" type="6" refreshedVersion="3" background="1" saveData="1">
    <textPr codePage="737" sourceFile="C:\Users\morellos\Desktop\mturkfitbit_export_4.12.16-5.12.16\Fitabase Data 4.12.16-5.12.16\dailyActivity_merged.csv" tab="0" comma="1">
      <textFields count="1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name="dailyActivity_merged1" type="6" refreshedVersion="3" background="1" saveData="1">
    <textPr codePage="737" sourceFile="C:\Users\morellos\Desktop\mturkfitbit_export_4.12.16-5.12.16\Fitabase Data 4.12.16-5.12.16\dailyActivity_merged.csv" tab="0" comma="1">
      <textFields count="1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name="sleepDay_merged" type="6" refreshedVersion="3" background="1" saveData="1">
    <textPr codePage="737" sourceFile="C:\Users\morellos\Desktop\mturkfitbit_export_4.12.16-5.12.16\Fitabase Data 4.12.16-5.12.16\sleepDay_merged.csv" tab="0" comma="1">
      <textFields count="5">
        <textField/>
        <textField/>
        <textField/>
        <textField/>
        <textField/>
      </textFields>
    </textPr>
  </connection>
  <connection id="4" name="sleepDay_merged1" type="6" refreshedVersion="3" background="1" saveData="1">
    <textPr codePage="737" sourceFile="C:\Users\morellos\Desktop\mturkfitbit_export_4.12.16-5.12.16\Fitabase Data 4.12.16-5.12.16\sleepDay_merged.csv" tab="0" comma="1">
      <textFields count="5"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<sst xmlns="http://schemas.openxmlformats.org/spreadsheetml/2006/main" count="78" uniqueCount="54">
  <si>
    <t>Id</t>
  </si>
  <si>
    <t>ActivityDate</t>
  </si>
  <si>
    <t>TotalSteps</t>
  </si>
  <si>
    <t>TotalDistance</t>
  </si>
  <si>
    <t>TrackerDistance</t>
  </si>
  <si>
    <t>LoggedActivitiesDistance</t>
  </si>
  <si>
    <t>VeryActiveDistance</t>
  </si>
  <si>
    <t>ModeratelyActiveDistance</t>
  </si>
  <si>
    <t>LightActiveDistance</t>
  </si>
  <si>
    <t>SedentaryActiveDistance</t>
  </si>
  <si>
    <t>VeryActiveMinutes</t>
  </si>
  <si>
    <t>FairlyActiveMinutes</t>
  </si>
  <si>
    <t>LightlyActiveMinutes</t>
  </si>
  <si>
    <t>SedentaryMinutes</t>
  </si>
  <si>
    <t>Calories</t>
  </si>
  <si>
    <t>DayOfWeek</t>
  </si>
  <si>
    <t>ActivityLevel</t>
  </si>
  <si>
    <t>SleepDay</t>
  </si>
  <si>
    <t>TotalSleepRecords</t>
  </si>
  <si>
    <t>TotalMinutesAsleep</t>
  </si>
  <si>
    <t>TotalTimeInBed</t>
  </si>
  <si>
    <t>Fairly Active</t>
  </si>
  <si>
    <t>Lightly Active</t>
  </si>
  <si>
    <t>Sedentary</t>
  </si>
  <si>
    <t>Vey Active</t>
  </si>
  <si>
    <t>Fri</t>
  </si>
  <si>
    <t>Sun</t>
  </si>
  <si>
    <t>Thu</t>
  </si>
  <si>
    <t>Mon</t>
  </si>
  <si>
    <t>Sat</t>
  </si>
  <si>
    <t>Wed</t>
  </si>
  <si>
    <t>Tue</t>
  </si>
  <si>
    <t>Average Steps by Day of Week</t>
  </si>
  <si>
    <t>Average Steps by Activity Level</t>
  </si>
  <si>
    <t>Sleep Duration Analysis</t>
  </si>
  <si>
    <t>Activity Level</t>
  </si>
  <si>
    <t>Day of Week</t>
  </si>
  <si>
    <t>Average of Total Steps</t>
  </si>
  <si>
    <t>Average of Total Minutes Asleep</t>
  </si>
  <si>
    <t>Average of Total Time In Bed</t>
  </si>
  <si>
    <t>Values</t>
  </si>
  <si>
    <t>Max Steps</t>
  </si>
  <si>
    <t>Min Steps</t>
  </si>
  <si>
    <t>Consistency Score</t>
  </si>
  <si>
    <t>Consistency Level</t>
  </si>
  <si>
    <t>ID</t>
  </si>
  <si>
    <t>Average Steps</t>
  </si>
  <si>
    <t>User Consistency Score</t>
  </si>
  <si>
    <t>User Consistency Level</t>
  </si>
  <si>
    <t>Level</t>
  </si>
  <si>
    <t>Low</t>
  </si>
  <si>
    <t>Moderate</t>
  </si>
  <si>
    <t>High</t>
  </si>
  <si>
    <t>Number of Users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</si>
</sst>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0"/>
      <name val="Calibri"/>
      <family val="2"/>
      <charset val="161"/>
      <scheme val="minor"/>
    </font>
    <font>
      <b/>
      <sz val="11"/>
      <color theme="1"/>
      <name val="Calibri"/>
      <family val="2"/>
      <charset val="16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22" fontId="0" fillId="0" borderId="0" xfId="0" applyNumberFormat="1"/>
    <xf numFmtId="0" fontId="1" fillId="2" borderId="0" xfId="0" applyFont="1" applyFill="1" applyAlignment="1">
      <alignment horizontal="center"/>
    </xf>
    <xf numFmtId="14" fontId="1" fillId="2" borderId="0" xfId="0" applyNumberFormat="1" applyFont="1" applyFill="1" applyAlignment="1">
      <alignment horizontal="center"/>
    </xf>
    <xf numFmtId="1" fontId="1" fillId="2" borderId="0" xfId="0" applyNumberFormat="1" applyFont="1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0" fillId="0" borderId="0" xfId="0" applyNumberFormat="1"/>
    <xf numFmtId="2" fontId="2" fillId="0" borderId="0" xfId="0" applyNumberFormat="1" applyFont="1"/>
    <xf numFmtId="2" fontId="0" fillId="0" borderId="0" xfId="0" pivotButton="1" applyNumberFormat="1"/>
    <xf numFmtId="0" fontId="2" fillId="0" borderId="0" xfId="0" applyFont="1" applyAlignment="1">
      <alignment horizontal="center"/>
    </xf>
  </cellXfs>
  <cellStyles count="1">
    <cellStyle name="Κανονικό" xfId="0" builtinId="0"/>
  </cellStyles>
  <dxfs count="7">
    <dxf>
      <numFmt numFmtId="2" formatCode="0.00"/>
    </dxf>
    <dxf>
      <numFmt numFmtId="2" formatCode="0.00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l-GR"/>
  <c:pivotSource>
    <c:name>[Βιβλίο1 (Ανακτημένο).xlsx]Activity_Level_Analysis!Activity_Level_Pivot</c:name>
    <c:fmtId val="3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Average</a:t>
            </a:r>
            <a:r>
              <a:rPr lang="en-US" baseline="0"/>
              <a:t> Steps by Activity Level</a:t>
            </a:r>
            <a:endParaRPr lang="el-GR"/>
          </a:p>
        </c:rich>
      </c:tx>
    </c:title>
    <c:pivotFmts>
      <c:pivotFmt>
        <c:idx val="0"/>
        <c:marker>
          <c:symbol val="none"/>
        </c:marker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Activity_Level_Analysis!$B$3</c:f>
              <c:strCache>
                <c:ptCount val="1"/>
                <c:pt idx="0">
                  <c:v>Σύνολο</c:v>
                </c:pt>
              </c:strCache>
            </c:strRef>
          </c:tx>
          <c:cat>
            <c:strRef>
              <c:f>Activity_Level_Analysis!$A$4:$A$7</c:f>
              <c:strCache>
                <c:ptCount val="4"/>
                <c:pt idx="0">
                  <c:v>Sedentary</c:v>
                </c:pt>
                <c:pt idx="1">
                  <c:v>Lightly Active</c:v>
                </c:pt>
                <c:pt idx="2">
                  <c:v>Fairly Active</c:v>
                </c:pt>
                <c:pt idx="3">
                  <c:v>Vey Active</c:v>
                </c:pt>
              </c:strCache>
            </c:strRef>
          </c:cat>
          <c:val>
            <c:numRef>
              <c:f>Activity_Level_Analysis!$B$4:$B$7</c:f>
              <c:numCache>
                <c:formatCode>0</c:formatCode>
                <c:ptCount val="4"/>
                <c:pt idx="0">
                  <c:v>2128.1683168316831</c:v>
                </c:pt>
                <c:pt idx="1">
                  <c:v>6264.2339181286552</c:v>
                </c:pt>
                <c:pt idx="2">
                  <c:v>8726.2944785276068</c:v>
                </c:pt>
                <c:pt idx="3">
                  <c:v>13337.39603960396</c:v>
                </c:pt>
              </c:numCache>
            </c:numRef>
          </c:val>
        </c:ser>
        <c:axId val="153624960"/>
        <c:axId val="153627264"/>
      </c:barChart>
      <c:catAx>
        <c:axId val="153624960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Activity Level</a:t>
                </a:r>
                <a:endParaRPr lang="el-GR"/>
              </a:p>
            </c:rich>
          </c:tx>
        </c:title>
        <c:tickLblPos val="nextTo"/>
        <c:crossAx val="153627264"/>
        <c:crosses val="autoZero"/>
        <c:auto val="1"/>
        <c:lblAlgn val="ctr"/>
        <c:lblOffset val="100"/>
      </c:catAx>
      <c:valAx>
        <c:axId val="153627264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Average</a:t>
                </a:r>
                <a:r>
                  <a:rPr lang="en-US" baseline="0"/>
                  <a:t> of Total Steps</a:t>
                </a:r>
                <a:endParaRPr lang="el-GR"/>
              </a:p>
            </c:rich>
          </c:tx>
        </c:title>
        <c:numFmt formatCode="0" sourceLinked="1"/>
        <c:tickLblPos val="nextTo"/>
        <c:crossAx val="153624960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l-GR"/>
  <c:pivotSource>
    <c:name>[Βιβλίο1 (Ανακτημένο).xlsx]Day_Of_Week_Analysis!Day_Of_Week_Pivot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Average Steps by Day of Week</a:t>
            </a:r>
            <a:endParaRPr lang="el-GR"/>
          </a:p>
        </c:rich>
      </c:tx>
      <c:layout>
        <c:manualLayout>
          <c:xMode val="edge"/>
          <c:yMode val="edge"/>
          <c:x val="0.17450000000000004"/>
          <c:y val="2.3148148148148147E-2"/>
        </c:manualLayout>
      </c:layout>
    </c:title>
    <c:pivotFmts>
      <c:pivotFmt>
        <c:idx val="0"/>
        <c:marker>
          <c:symbol val="none"/>
        </c:marker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Day_Of_Week_Analysis!$B$3</c:f>
              <c:strCache>
                <c:ptCount val="1"/>
                <c:pt idx="0">
                  <c:v>Σύνολο</c:v>
                </c:pt>
              </c:strCache>
            </c:strRef>
          </c:tx>
          <c:cat>
            <c:strRef>
              <c:f>Day_Of_Week_Analysis!$A$4:$A$10</c:f>
              <c:strCache>
                <c:ptCount val="7"/>
                <c:pt idx="0">
                  <c:v>Sun</c:v>
                </c:pt>
                <c:pt idx="1">
                  <c:v>Thu</c:v>
                </c:pt>
                <c:pt idx="2">
                  <c:v>Fri</c:v>
                </c:pt>
                <c:pt idx="3">
                  <c:v>Wed</c:v>
                </c:pt>
                <c:pt idx="4">
                  <c:v>Mon</c:v>
                </c:pt>
                <c:pt idx="5">
                  <c:v>Tue</c:v>
                </c:pt>
                <c:pt idx="6">
                  <c:v>Sat</c:v>
                </c:pt>
              </c:strCache>
            </c:strRef>
          </c:cat>
          <c:val>
            <c:numRef>
              <c:f>Day_Of_Week_Analysis!$B$4:$B$10</c:f>
              <c:numCache>
                <c:formatCode>0</c:formatCode>
                <c:ptCount val="7"/>
                <c:pt idx="0">
                  <c:v>6933.2314049586776</c:v>
                </c:pt>
                <c:pt idx="1">
                  <c:v>7405.8367346938776</c:v>
                </c:pt>
                <c:pt idx="2">
                  <c:v>7448.230158730159</c:v>
                </c:pt>
                <c:pt idx="3">
                  <c:v>7559.373333333333</c:v>
                </c:pt>
                <c:pt idx="4">
                  <c:v>7780.8666666666668</c:v>
                </c:pt>
                <c:pt idx="5">
                  <c:v>8125.0065789473683</c:v>
                </c:pt>
                <c:pt idx="6">
                  <c:v>8152.9758064516127</c:v>
                </c:pt>
              </c:numCache>
            </c:numRef>
          </c:val>
        </c:ser>
        <c:axId val="153636224"/>
        <c:axId val="154133632"/>
      </c:barChart>
      <c:catAx>
        <c:axId val="153636224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Day</a:t>
                </a:r>
                <a:r>
                  <a:rPr lang="en-US" baseline="0"/>
                  <a:t> of Week</a:t>
                </a:r>
                <a:endParaRPr lang="el-GR"/>
              </a:p>
            </c:rich>
          </c:tx>
        </c:title>
        <c:tickLblPos val="nextTo"/>
        <c:crossAx val="154133632"/>
        <c:crosses val="autoZero"/>
        <c:auto val="1"/>
        <c:lblAlgn val="ctr"/>
        <c:lblOffset val="100"/>
      </c:catAx>
      <c:valAx>
        <c:axId val="15413363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Average</a:t>
                </a:r>
                <a:r>
                  <a:rPr lang="en-US" baseline="0"/>
                  <a:t> of Total Steps</a:t>
                </a:r>
                <a:endParaRPr lang="el-GR"/>
              </a:p>
            </c:rich>
          </c:tx>
        </c:title>
        <c:numFmt formatCode="0" sourceLinked="1"/>
        <c:tickLblPos val="nextTo"/>
        <c:crossAx val="153636224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l-GR"/>
  <c:chart>
    <c:title>
      <c:tx>
        <c:rich>
          <a:bodyPr/>
          <a:lstStyle/>
          <a:p>
            <a:pPr>
              <a:defRPr/>
            </a:pPr>
            <a:r>
              <a:rPr lang="en-US"/>
              <a:t>User</a:t>
            </a:r>
            <a:r>
              <a:rPr lang="en-US" baseline="0"/>
              <a:t> Consistency Distribution</a:t>
            </a:r>
            <a:endParaRPr lang="en-US"/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User_Cosistency_Analysis!$H$4</c:f>
              <c:strCache>
                <c:ptCount val="1"/>
                <c:pt idx="0">
                  <c:v>Number of Users</c:v>
                </c:pt>
              </c:strCache>
            </c:strRef>
          </c:tx>
          <c:cat>
            <c:strRef>
              <c:f>User_Cosistency_Analysis!$G$5:$G$7</c:f>
              <c:strCache>
                <c:ptCount val="3"/>
                <c:pt idx="0">
                  <c:v>Low</c:v>
                </c:pt>
                <c:pt idx="1">
                  <c:v>Moderate</c:v>
                </c:pt>
                <c:pt idx="2">
                  <c:v>High</c:v>
                </c:pt>
              </c:strCache>
            </c:strRef>
          </c:cat>
          <c:val>
            <c:numRef>
              <c:f>User_Cosistency_Analysis!$H$5:$H$7</c:f>
              <c:numCache>
                <c:formatCode>General</c:formatCode>
                <c:ptCount val="3"/>
                <c:pt idx="0">
                  <c:v>14</c:v>
                </c:pt>
                <c:pt idx="1">
                  <c:v>18</c:v>
                </c:pt>
                <c:pt idx="2">
                  <c:v>1</c:v>
                </c:pt>
              </c:numCache>
            </c:numRef>
          </c:val>
        </c:ser>
        <c:axId val="154273280"/>
        <c:axId val="154275200"/>
      </c:barChart>
      <c:catAx>
        <c:axId val="154273280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Level</a:t>
                </a:r>
                <a:endParaRPr lang="el-GR"/>
              </a:p>
            </c:rich>
          </c:tx>
          <c:layout/>
        </c:title>
        <c:tickLblPos val="nextTo"/>
        <c:crossAx val="154275200"/>
        <c:crosses val="autoZero"/>
        <c:auto val="1"/>
        <c:lblAlgn val="ctr"/>
        <c:lblOffset val="100"/>
      </c:catAx>
      <c:valAx>
        <c:axId val="154275200"/>
        <c:scaling>
          <c:orientation val="minMax"/>
        </c:scaling>
        <c:axPos val="l"/>
        <c:majorGridlines/>
        <c:numFmt formatCode="General" sourceLinked="1"/>
        <c:tickLblPos val="nextTo"/>
        <c:crossAx val="154273280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l-GR"/>
  <c:pivotSource>
    <c:name>[Βιβλίο1 (Ανακτημένο).xlsx]Sleep_Duration_Analysis!Sleep_Duration_Analysis_Pivot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Sleep Duration</a:t>
            </a:r>
            <a:r>
              <a:rPr lang="en-US" baseline="0"/>
              <a:t> Analysis</a:t>
            </a:r>
            <a:endParaRPr lang="el-GR"/>
          </a:p>
        </c:rich>
      </c:tx>
      <c:layout>
        <c:manualLayout>
          <c:xMode val="edge"/>
          <c:yMode val="edge"/>
          <c:x val="0.2477292213473318"/>
          <c:y val="1.3888888888888904E-2"/>
        </c:manualLayout>
      </c:layout>
    </c:title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Sleep_Duration_Analysis!$A$3:$A$4</c:f>
              <c:strCache>
                <c:ptCount val="1"/>
                <c:pt idx="0">
                  <c:v>Average of Total Minutes Asleep</c:v>
                </c:pt>
              </c:strCache>
            </c:strRef>
          </c:tx>
          <c:cat>
            <c:strRef>
              <c:f>Sleep_Duration_Analysis!$A$5</c:f>
              <c:strCache>
                <c:ptCount val="1"/>
                <c:pt idx="0">
                  <c:v>Σύνολο</c:v>
                </c:pt>
              </c:strCache>
            </c:strRef>
          </c:cat>
          <c:val>
            <c:numRef>
              <c:f>Sleep_Duration_Analysis!$A$5</c:f>
              <c:numCache>
                <c:formatCode>0</c:formatCode>
                <c:ptCount val="1"/>
                <c:pt idx="0">
                  <c:v>419.17317073170733</c:v>
                </c:pt>
              </c:numCache>
            </c:numRef>
          </c:val>
        </c:ser>
        <c:ser>
          <c:idx val="1"/>
          <c:order val="1"/>
          <c:tx>
            <c:strRef>
              <c:f>Sleep_Duration_Analysis!$B$3:$B$4</c:f>
              <c:strCache>
                <c:ptCount val="1"/>
                <c:pt idx="0">
                  <c:v>Average of Total Time In Bed</c:v>
                </c:pt>
              </c:strCache>
            </c:strRef>
          </c:tx>
          <c:cat>
            <c:strRef>
              <c:f>Sleep_Duration_Analysis!$A$5</c:f>
              <c:strCache>
                <c:ptCount val="1"/>
                <c:pt idx="0">
                  <c:v>Σύνολο</c:v>
                </c:pt>
              </c:strCache>
            </c:strRef>
          </c:cat>
          <c:val>
            <c:numRef>
              <c:f>Sleep_Duration_Analysis!$B$5</c:f>
              <c:numCache>
                <c:formatCode>0</c:formatCode>
                <c:ptCount val="1"/>
                <c:pt idx="0">
                  <c:v>458.48292682926831</c:v>
                </c:pt>
              </c:numCache>
            </c:numRef>
          </c:val>
        </c:ser>
        <c:axId val="154231552"/>
        <c:axId val="154233088"/>
      </c:barChart>
      <c:catAx>
        <c:axId val="154231552"/>
        <c:scaling>
          <c:orientation val="minMax"/>
        </c:scaling>
        <c:axPos val="b"/>
        <c:tickLblPos val="nextTo"/>
        <c:crossAx val="154233088"/>
        <c:crosses val="autoZero"/>
        <c:auto val="1"/>
        <c:lblAlgn val="ctr"/>
        <c:lblOffset val="100"/>
      </c:catAx>
      <c:valAx>
        <c:axId val="154233088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Average</a:t>
                </a:r>
                <a:r>
                  <a:rPr lang="en-US" baseline="0"/>
                  <a:t> Minutes</a:t>
                </a:r>
                <a:endParaRPr lang="el-GR"/>
              </a:p>
            </c:rich>
          </c:tx>
          <c:layout/>
        </c:title>
        <c:numFmt formatCode="0" sourceLinked="1"/>
        <c:tickLblPos val="nextTo"/>
        <c:crossAx val="154231552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57150</xdr:colOff>
      <xdr:row>2</xdr:row>
      <xdr:rowOff>47625</xdr:rowOff>
    </xdr:from>
    <xdr:to>
      <xdr:col>11</xdr:col>
      <xdr:colOff>361950</xdr:colOff>
      <xdr:row>16</xdr:row>
      <xdr:rowOff>123825</xdr:rowOff>
    </xdr:to>
    <xdr:graphicFrame macro="">
      <xdr:nvGraphicFramePr>
        <xdr:cNvPr id="5" name="4 - Γράφημα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476250</xdr:colOff>
      <xdr:row>1</xdr:row>
      <xdr:rowOff>76200</xdr:rowOff>
    </xdr:from>
    <xdr:to>
      <xdr:col>14</xdr:col>
      <xdr:colOff>171450</xdr:colOff>
      <xdr:row>15</xdr:row>
      <xdr:rowOff>152400</xdr:rowOff>
    </xdr:to>
    <xdr:graphicFrame macro="">
      <xdr:nvGraphicFramePr>
        <xdr:cNvPr id="2" name="1 - Γράφημα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8</xdr:row>
      <xdr:rowOff>76200</xdr:rowOff>
    </xdr:from>
    <xdr:to>
      <xdr:col>13</xdr:col>
      <xdr:colOff>285750</xdr:colOff>
      <xdr:row>22</xdr:row>
      <xdr:rowOff>152400</xdr:rowOff>
    </xdr:to>
    <xdr:graphicFrame macro="">
      <xdr:nvGraphicFramePr>
        <xdr:cNvPr id="3" name="2 - Γράφημα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1047750</xdr:colOff>
      <xdr:row>2</xdr:row>
      <xdr:rowOff>28575</xdr:rowOff>
    </xdr:from>
    <xdr:to>
      <xdr:col>9</xdr:col>
      <xdr:colOff>581025</xdr:colOff>
      <xdr:row>16</xdr:row>
      <xdr:rowOff>104775</xdr:rowOff>
    </xdr:to>
    <xdr:graphicFrame macro="">
      <xdr:nvGraphicFramePr>
        <xdr:cNvPr id="2" name="1 - Γράφημα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114299</xdr:colOff>
      <xdr:row>0</xdr:row>
      <xdr:rowOff>171449</xdr:rowOff>
    </xdr:from>
    <xdr:to>
      <xdr:col>9</xdr:col>
      <xdr:colOff>542924</xdr:colOff>
      <xdr:row>37</xdr:row>
      <xdr:rowOff>161925</xdr:rowOff>
    </xdr:to>
    <xdr:sp macro="" textlink="">
      <xdr:nvSpPr>
        <xdr:cNvPr id="2" name="1 - TextBox"/>
        <xdr:cNvSpPr txBox="1"/>
      </xdr:nvSpPr>
      <xdr:spPr>
        <a:xfrm>
          <a:off x="114299" y="171449"/>
          <a:ext cx="5915025" cy="703897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100" b="1"/>
            <a:t>KEY INSIGHTS</a:t>
          </a:r>
        </a:p>
        <a:p>
          <a:endParaRPr lang="en-US" sz="1100" b="1"/>
        </a:p>
        <a:p>
          <a:pPr>
            <a:buFont typeface="Arial" pitchFamily="34" charset="0"/>
            <a:buChar char="•"/>
          </a:pPr>
          <a:r>
            <a:rPr lang="en-US" sz="1100" b="1"/>
            <a:t>Activity Level</a:t>
          </a:r>
          <a:r>
            <a:rPr lang="en-US" sz="1100" b="1" baseline="0"/>
            <a:t> Impact</a:t>
          </a:r>
          <a:r>
            <a:rPr lang="en-US" sz="1100" baseline="0"/>
            <a:t/>
          </a:r>
          <a:br>
            <a:rPr lang="en-US" sz="1100" baseline="0"/>
          </a:br>
          <a:r>
            <a:rPr lang="en-US" sz="1100" baseline="0"/>
            <a:t>Higher activity levels are strongly linked to more daily steps.Users in the "very active" category reach 13.337 steps, compared to 2.128 for "sedentary" users,showing a clear positive relationship.</a:t>
          </a:r>
          <a:br>
            <a:rPr lang="en-US" sz="1100" baseline="0"/>
          </a:br>
          <a:endParaRPr lang="en-US" sz="1100" baseline="0"/>
        </a:p>
        <a:p>
          <a:pPr>
            <a:buFont typeface="Arial" pitchFamily="34" charset="0"/>
            <a:buChar char="•"/>
          </a:pPr>
          <a:r>
            <a:rPr lang="en-US" sz="1100" b="1" baseline="0"/>
            <a:t>Weekly Consistency Pattern</a:t>
          </a:r>
          <a:r>
            <a:rPr lang="en-US" sz="1100" baseline="0"/>
            <a:t/>
          </a:r>
          <a:br>
            <a:rPr lang="en-US" sz="1100" baseline="0"/>
          </a:br>
          <a:r>
            <a:rPr lang="en-US" sz="1100" baseline="0"/>
            <a:t>Average steps remain relatively stable throughout the week (ranging from 6.933 to 8.153), resulting in high weekly consistency (0.85). This suggests that overall user behavior follows a predictable weekly pattern.</a:t>
          </a:r>
          <a:br>
            <a:rPr lang="en-US" sz="1100" baseline="0"/>
          </a:br>
          <a:endParaRPr lang="en-US" sz="1100" baseline="0"/>
        </a:p>
        <a:p>
          <a:pPr>
            <a:buFont typeface="Arial" pitchFamily="34" charset="0"/>
            <a:buChar char="•"/>
          </a:pPr>
          <a:r>
            <a:rPr lang="en-US" sz="1100" b="1" baseline="0"/>
            <a:t>Individual User Consistency Distribution</a:t>
          </a:r>
          <a:r>
            <a:rPr lang="en-US" sz="1100" baseline="0"/>
            <a:t/>
          </a:r>
          <a:br>
            <a:rPr lang="en-US" sz="1100" baseline="0"/>
          </a:br>
          <a:r>
            <a:rPr lang="en-US" sz="1100" baseline="0"/>
            <a:t>Despite the stable weekly pattern, most users show low to moderate consistency (14 low, 18 moderate and only 1 high), indicating that individuals do not maintain steady daily habits.</a:t>
          </a:r>
          <a:br>
            <a:rPr lang="en-US" sz="1100" baseline="0"/>
          </a:br>
          <a:endParaRPr lang="en-US" sz="1100" baseline="0"/>
        </a:p>
        <a:p>
          <a:pPr>
            <a:buFont typeface="Arial" pitchFamily="34" charset="0"/>
            <a:buChar char="•"/>
          </a:pPr>
          <a:r>
            <a:rPr lang="en-US" sz="1100" b="1" baseline="0"/>
            <a:t>Group vs Individual Behavior</a:t>
          </a:r>
          <a:br>
            <a:rPr lang="en-US" sz="1100" b="1" baseline="0"/>
          </a:br>
          <a:r>
            <a:rPr lang="en-US" sz="1100" b="0" baseline="0"/>
            <a:t>While overall weekly behavior appears stable, individual users are not consistent. This shows that aggregated data can hide individual variability.</a:t>
          </a:r>
          <a:br>
            <a:rPr lang="en-US" sz="1100" b="0" baseline="0"/>
          </a:br>
          <a:endParaRPr lang="en-US" sz="1100" b="1" baseline="0"/>
        </a:p>
        <a:p>
          <a:pPr>
            <a:buFont typeface="Arial" pitchFamily="34" charset="0"/>
            <a:buChar char="•"/>
          </a:pPr>
          <a:r>
            <a:rPr lang="en-US" sz="1100" b="1" baseline="0"/>
            <a:t>Sleep Duration and Efficiency</a:t>
          </a:r>
          <a:r>
            <a:rPr lang="en-US" sz="1100" b="0" baseline="0"/>
            <a:t/>
          </a:r>
          <a:br>
            <a:rPr lang="en-US" sz="1100" b="0" baseline="0"/>
          </a:br>
          <a:r>
            <a:rPr lang="en-US" sz="1100" b="0" baseline="0"/>
            <a:t>Users sleep on average 419 minutes (~7.0 hours) while spending  458 minutes (~7.6 hours) in bed, indicating moderate sleep efficiency and potential  for lifestyle improvement.</a:t>
          </a:r>
          <a:r>
            <a:rPr lang="en-US" sz="1100" b="1" baseline="0"/>
            <a:t/>
          </a:r>
          <a:br>
            <a:rPr lang="en-US" sz="1100" b="1" baseline="0"/>
          </a:br>
          <a:r>
            <a:rPr lang="en-US" sz="1100" b="1" baseline="0"/>
            <a:t/>
          </a:r>
          <a:br>
            <a:rPr lang="en-US" sz="1100" b="1" baseline="0"/>
          </a:br>
          <a:r>
            <a:rPr lang="en-US" sz="1100" b="1" baseline="0"/>
            <a:t>BUSINESS RECOMMENDATIONS</a:t>
          </a:r>
          <a:r>
            <a:rPr lang="en-US" sz="1100" b="0" baseline="0"/>
            <a:t/>
          </a:r>
          <a:br>
            <a:rPr lang="en-US" sz="1100" b="0" baseline="0"/>
          </a:br>
          <a:endParaRPr lang="en-US" sz="1100" b="0" baseline="0"/>
        </a:p>
        <a:p>
          <a:pPr>
            <a:buFont typeface="Arial" pitchFamily="34" charset="0"/>
            <a:buChar char="•"/>
          </a:pPr>
          <a:r>
            <a:rPr lang="en-US" sz="1100" b="1" baseline="0"/>
            <a:t>Habit Formation Opportunities</a:t>
          </a:r>
          <a:br>
            <a:rPr lang="en-US" sz="1100" b="1" baseline="0"/>
          </a:br>
          <a:r>
            <a:rPr lang="en-US" sz="1100" b="0" baseline="0"/>
            <a:t>The high number of low and moderate users shows that many users struggle to maintain stable routine,creating an opportunity to improve engagement through better-building strategies.</a:t>
          </a:r>
          <a:br>
            <a:rPr lang="en-US" sz="1100" b="0" baseline="0"/>
          </a:br>
          <a:endParaRPr lang="en-US" sz="1100" b="0" baseline="0"/>
        </a:p>
        <a:p>
          <a:pPr>
            <a:buFont typeface="Arial" pitchFamily="34" charset="0"/>
            <a:buChar char="•"/>
          </a:pPr>
          <a:r>
            <a:rPr lang="en-US" sz="1100" b="1" baseline="0"/>
            <a:t>Personalized Engagement Strategy</a:t>
          </a:r>
          <a:r>
            <a:rPr lang="en-US" sz="1100" b="0" baseline="0"/>
            <a:t/>
          </a:r>
          <a:br>
            <a:rPr lang="en-US" sz="1100" b="0" baseline="0"/>
          </a:br>
          <a:r>
            <a:rPr lang="en-US" sz="1100" b="0" baseline="0"/>
            <a:t>Targeted notifications and reminders based on user activity patterns can encourage them to increase activity and build more consistent daily routines.</a:t>
          </a:r>
          <a:br>
            <a:rPr lang="en-US" sz="1100" b="0" baseline="0"/>
          </a:br>
          <a:endParaRPr lang="en-US" sz="1100" b="0" baseline="0"/>
        </a:p>
        <a:p>
          <a:pPr>
            <a:buFont typeface="Arial" pitchFamily="34" charset="0"/>
            <a:buChar char="•"/>
          </a:pPr>
          <a:r>
            <a:rPr lang="en-US" sz="1100" b="1" baseline="0"/>
            <a:t>User Segmentation Strategy</a:t>
          </a:r>
          <a:br>
            <a:rPr lang="en-US" sz="1100" b="1" baseline="0"/>
          </a:br>
          <a:r>
            <a:rPr lang="en-US" sz="1100" b="0" baseline="0"/>
            <a:t>Segmenting users into low, moderate and high consistency groups, enables more personalized communication and more effective marketing strategies.</a:t>
          </a:r>
          <a:endParaRPr lang="en-US" sz="1100" b="1" baseline="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orellos" refreshedDate="46127.963680671295" createdVersion="3" refreshedVersion="3" minRefreshableVersion="3" recordCount="410">
  <cacheSource type="worksheet">
    <worksheetSource ref="A1:E411" sheet="Clean_Sleep_Data"/>
  </cacheSource>
  <cacheFields count="5">
    <cacheField name="Id" numFmtId="0">
      <sharedItems containsSemiMixedTypes="0" containsString="0" containsNumber="1" containsInteger="1" minValue="1503960366" maxValue="8792009665" count="24">
        <n v="1503960366"/>
        <n v="1644430081"/>
        <n v="1844505072"/>
        <n v="1927972279"/>
        <n v="2026352035"/>
        <n v="2320127002"/>
        <n v="2347167796"/>
        <n v="3977333714"/>
        <n v="4020332650"/>
        <n v="4319703577"/>
        <n v="4388161847"/>
        <n v="4445114986"/>
        <n v="4558609924"/>
        <n v="4702921684"/>
        <n v="5553957443"/>
        <n v="5577150313"/>
        <n v="6117666160"/>
        <n v="6775888955"/>
        <n v="6962181067"/>
        <n v="7007744171"/>
        <n v="7086361926"/>
        <n v="8053475328"/>
        <n v="8378563200"/>
        <n v="8792009665"/>
      </sharedItems>
    </cacheField>
    <cacheField name="SleepDay" numFmtId="14">
      <sharedItems containsSemiMixedTypes="0" containsNonDate="0" containsDate="1" containsString="0" minDate="2016-04-12T00:00:00" maxDate="2016-05-13T00:00:00" count="31">
        <d v="2016-04-12T00:00:00"/>
        <d v="2016-04-13T00:00:00"/>
        <d v="2016-04-15T00:00:00"/>
        <d v="2016-04-16T00:00:00"/>
        <d v="2016-04-17T00:00:00"/>
        <d v="2016-04-19T00:00:00"/>
        <d v="2016-04-20T00:00:00"/>
        <d v="2016-04-21T00:00:00"/>
        <d v="2016-04-23T00:00:00"/>
        <d v="2016-04-24T00:00:00"/>
        <d v="2016-04-25T00:00:00"/>
        <d v="2016-04-26T00:00:00"/>
        <d v="2016-04-28T00:00:00"/>
        <d v="2016-04-29T00:00:00"/>
        <d v="2016-04-30T00:00:00"/>
        <d v="2016-05-01T00:00:00"/>
        <d v="2016-05-02T00:00:00"/>
        <d v="2016-05-03T00:00:00"/>
        <d v="2016-05-05T00:00:00"/>
        <d v="2016-05-06T00:00:00"/>
        <d v="2016-05-07T00:00:00"/>
        <d v="2016-05-08T00:00:00"/>
        <d v="2016-05-09T00:00:00"/>
        <d v="2016-05-10T00:00:00"/>
        <d v="2016-05-11T00:00:00"/>
        <d v="2016-04-14T00:00:00"/>
        <d v="2016-04-22T00:00:00"/>
        <d v="2016-04-27T00:00:00"/>
        <d v="2016-05-04T00:00:00"/>
        <d v="2016-05-12T00:00:00"/>
        <d v="2016-04-18T00:00:00"/>
      </sharedItems>
    </cacheField>
    <cacheField name="TotalSleepRecords" numFmtId="1">
      <sharedItems containsSemiMixedTypes="0" containsString="0" containsNumber="1" containsInteger="1" minValue="1" maxValue="3" count="3">
        <n v="1"/>
        <n v="2"/>
        <n v="3"/>
      </sharedItems>
    </cacheField>
    <cacheField name="TotalMinutesAsleep" numFmtId="1">
      <sharedItems containsSemiMixedTypes="0" containsString="0" containsNumber="1" containsInteger="1" minValue="58" maxValue="796"/>
    </cacheField>
    <cacheField name="TotalTimeInBed" numFmtId="1">
      <sharedItems containsSemiMixedTypes="0" containsString="0" containsNumber="1" containsInteger="1" minValue="61" maxValue="961" count="242">
        <n v="346"/>
        <n v="407"/>
        <n v="442"/>
        <n v="367"/>
        <n v="712"/>
        <n v="320"/>
        <n v="377"/>
        <n v="364"/>
        <n v="384"/>
        <n v="449"/>
        <n v="323"/>
        <n v="274"/>
        <n v="393"/>
        <n v="354"/>
        <n v="425"/>
        <n v="396"/>
        <n v="309"/>
        <n v="296"/>
        <n v="264"/>
        <n v="349"/>
        <n v="611"/>
        <n v="342"/>
        <n v="403"/>
        <n v="306"/>
        <n v="127"/>
        <n v="142"/>
        <n v="961"/>
        <n v="154"/>
        <n v="775"/>
        <n v="422"/>
        <n v="499"/>
        <n v="315"/>
        <n v="178"/>
        <n v="546"/>
        <n v="565"/>
        <n v="568"/>
        <n v="573"/>
        <n v="567"/>
        <n v="498"/>
        <n v="540"/>
        <n v="510"/>
        <n v="514"/>
        <n v="545"/>
        <n v="554"/>
        <n v="591"/>
        <n v="531"/>
        <n v="607"/>
        <n v="543"/>
        <n v="560"/>
        <n v="485"/>
        <n v="548"/>
        <n v="521"/>
        <n v="556"/>
        <n v="380"/>
        <n v="553"/>
        <n v="69"/>
        <n v="489"/>
        <n v="504"/>
        <n v="602"/>
        <n v="557"/>
        <n v="484"/>
        <n v="461"/>
        <n v="386"/>
        <n v="459"/>
        <n v="471"/>
        <n v="490"/>
        <n v="450"/>
        <n v="473"/>
        <n v="469"/>
        <n v="456"/>
        <n v="397"/>
        <n v="566"/>
        <n v="522"/>
        <n v="395"/>
        <n v="305"/>
        <n v="512"/>
        <n v="476"/>
        <n v="372"/>
        <n v="526"/>
        <n v="467"/>
        <n v="371"/>
        <n v="423"/>
        <n v="478"/>
        <n v="382"/>
        <n v="626"/>
        <n v="500"/>
        <n v="336"/>
        <n v="480"/>
        <n v="443"/>
        <n v="452"/>
        <n v="541"/>
        <n v="77"/>
        <n v="332"/>
        <n v="536"/>
        <n v="248"/>
        <n v="408"/>
        <n v="402"/>
        <n v="494"/>
        <n v="491"/>
        <n v="551"/>
        <n v="65"/>
        <n v="550"/>
        <n v="722"/>
        <n v="501"/>
        <n v="506"/>
        <n v="516"/>
        <n v="307"/>
        <n v="530"/>
        <n v="638"/>
        <n v="517"/>
        <n v="558"/>
        <n v="321"/>
        <n v="448"/>
        <n v="641"/>
        <n v="104"/>
        <n v="338"/>
        <n v="451"/>
        <n v="458"/>
        <n v="85"/>
        <n v="595"/>
        <n v="430"/>
        <n v="597"/>
        <n v="376"/>
        <n v="414"/>
        <n v="495"/>
        <n v="496"/>
        <n v="375"/>
        <n v="457"/>
        <n v="406"/>
        <n v="492"/>
        <n v="379"/>
        <n v="107"/>
        <n v="424"/>
        <n v="462"/>
        <n v="417"/>
        <n v="345"/>
        <n v="391"/>
        <n v="374"/>
        <n v="108"/>
        <n v="353"/>
        <n v="542"/>
        <n v="363"/>
        <n v="513"/>
        <n v="436"/>
        <n v="533"/>
        <n v="426"/>
        <n v="137"/>
        <n v="121"/>
        <n v="179"/>
        <n v="129"/>
        <n v="134"/>
        <n v="439"/>
        <n v="415"/>
        <n v="257"/>
        <n v="612"/>
        <n v="312"/>
        <n v="487"/>
        <n v="468"/>
        <n v="434"/>
        <n v="475"/>
        <n v="429"/>
        <n v="447"/>
        <n v="373"/>
        <n v="428"/>
        <n v="431"/>
        <n v="366"/>
        <n v="464"/>
        <n v="488"/>
        <n v="418"/>
        <n v="409"/>
        <n v="686"/>
        <n v="410"/>
        <n v="678"/>
        <n v="725"/>
        <n v="640"/>
        <n v="453"/>
        <n v="843"/>
        <n v="470"/>
        <n v="608"/>
        <n v="486"/>
        <n v="438"/>
        <n v="497"/>
        <n v="413"/>
        <n v="445"/>
        <n v="583"/>
        <n v="465"/>
        <n v="437"/>
        <n v="615"/>
        <n v="433"/>
        <n v="398"/>
        <n v="634"/>
        <n v="78"/>
        <n v="562"/>
        <n v="350"/>
        <n v="502"/>
        <n v="539"/>
        <n v="416"/>
        <n v="636"/>
        <n v="575"/>
        <n v="698"/>
        <n v="507"/>
        <n v="603"/>
        <n v="260"/>
        <n v="441"/>
        <n v="387"/>
        <n v="679"/>
        <n v="535"/>
        <n v="446"/>
        <n v="435"/>
        <n v="482"/>
        <n v="455"/>
        <n v="334"/>
        <n v="569"/>
        <n v="481"/>
        <n v="82"/>
        <n v="61"/>
        <n v="525"/>
        <n v="483"/>
        <n v="411"/>
        <n v="704"/>
        <n v="479"/>
        <n v="333"/>
        <n v="463"/>
        <n v="493"/>
        <n v="337"/>
        <n v="75"/>
        <n v="356"/>
        <n v="689"/>
        <n v="421"/>
        <n v="584"/>
        <n v="600"/>
        <n v="555"/>
        <n v="385"/>
        <n v="477"/>
        <n v="355"/>
        <n v="606"/>
        <n v="399"/>
        <n v="552"/>
        <n v="503"/>
        <n v="547"/>
        <n v="360"/>
        <n v="527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orellos" refreshedDate="46128.003945717595" createdVersion="3" refreshedVersion="3" minRefreshableVersion="3" recordCount="940">
  <cacheSource type="worksheet">
    <worksheetSource ref="A1:Q941" sheet="Clean_Daily_Activity"/>
  </cacheSource>
  <cacheFields count="17">
    <cacheField name="Id" numFmtId="0">
      <sharedItems containsSemiMixedTypes="0" containsString="0" containsNumber="1" containsInteger="1" minValue="1503960366" maxValue="8877689391" count="33">
        <n v="1503960366"/>
        <n v="1624580081"/>
        <n v="1644430081"/>
        <n v="1844505072"/>
        <n v="1927972279"/>
        <n v="2022484408"/>
        <n v="2026352035"/>
        <n v="2320127002"/>
        <n v="2347167796"/>
        <n v="2873212765"/>
        <n v="3372868164"/>
        <n v="3977333714"/>
        <n v="4020332650"/>
        <n v="4057192912"/>
        <n v="4319703577"/>
        <n v="4388161847"/>
        <n v="4445114986"/>
        <n v="4558609924"/>
        <n v="4702921684"/>
        <n v="5553957443"/>
        <n v="5577150313"/>
        <n v="6117666160"/>
        <n v="6290855005"/>
        <n v="6775888955"/>
        <n v="6962181067"/>
        <n v="7007744171"/>
        <n v="7086361926"/>
        <n v="8053475328"/>
        <n v="8253242879"/>
        <n v="8378563200"/>
        <n v="8583815059"/>
        <n v="8792009665"/>
        <n v="8877689391"/>
      </sharedItems>
    </cacheField>
    <cacheField name="ActivityDate" numFmtId="14">
      <sharedItems containsSemiMixedTypes="0" containsNonDate="0" containsDate="1" containsString="0" minDate="2016-04-12T00:00:00" maxDate="2016-05-13T00:00:00"/>
    </cacheField>
    <cacheField name="TotalSteps" numFmtId="1">
      <sharedItems containsSemiMixedTypes="0" containsString="0" containsNumber="1" containsInteger="1" minValue="0" maxValue="36019"/>
    </cacheField>
    <cacheField name="TotalDistance" numFmtId="2">
      <sharedItems containsSemiMixedTypes="0" containsString="0" containsNumber="1" minValue="0" maxValue="28.030000686645501"/>
    </cacheField>
    <cacheField name="TrackerDistance" numFmtId="2">
      <sharedItems containsSemiMixedTypes="0" containsString="0" containsNumber="1" minValue="0" maxValue="28.030000686645501"/>
    </cacheField>
    <cacheField name="LoggedActivitiesDistance" numFmtId="2">
      <sharedItems containsSemiMixedTypes="0" containsString="0" containsNumber="1" minValue="0" maxValue="4.9421420097351101"/>
    </cacheField>
    <cacheField name="VeryActiveDistance" numFmtId="2">
      <sharedItems containsSemiMixedTypes="0" containsString="0" containsNumber="1" minValue="0" maxValue="21.920000076293899"/>
    </cacheField>
    <cacheField name="ModeratelyActiveDistance" numFmtId="2">
      <sharedItems containsSemiMixedTypes="0" containsString="0" containsNumber="1" minValue="0" maxValue="6.4800000190734899"/>
    </cacheField>
    <cacheField name="LightActiveDistance" numFmtId="2">
      <sharedItems containsSemiMixedTypes="0" containsString="0" containsNumber="1" minValue="0" maxValue="10.710000038146999"/>
    </cacheField>
    <cacheField name="SedentaryActiveDistance" numFmtId="2">
      <sharedItems containsSemiMixedTypes="0" containsString="0" containsNumber="1" minValue="0" maxValue="0.109999999403954"/>
    </cacheField>
    <cacheField name="VeryActiveMinutes" numFmtId="1">
      <sharedItems containsSemiMixedTypes="0" containsString="0" containsNumber="1" containsInteger="1" minValue="0" maxValue="210"/>
    </cacheField>
    <cacheField name="FairlyActiveMinutes" numFmtId="1">
      <sharedItems containsSemiMixedTypes="0" containsString="0" containsNumber="1" containsInteger="1" minValue="0" maxValue="143"/>
    </cacheField>
    <cacheField name="LightlyActiveMinutes" numFmtId="1">
      <sharedItems containsSemiMixedTypes="0" containsString="0" containsNumber="1" containsInteger="1" minValue="0" maxValue="518"/>
    </cacheField>
    <cacheField name="SedentaryMinutes" numFmtId="1">
      <sharedItems containsSemiMixedTypes="0" containsString="0" containsNumber="1" containsInteger="1" minValue="0" maxValue="1440"/>
    </cacheField>
    <cacheField name="Calories" numFmtId="1">
      <sharedItems containsSemiMixedTypes="0" containsString="0" containsNumber="1" containsInteger="1" minValue="0" maxValue="4900"/>
    </cacheField>
    <cacheField name="DayOfWeek" numFmtId="0">
      <sharedItems count="7">
        <s v="Thu"/>
        <s v="Sun"/>
        <s v="Fri"/>
        <s v="Wed"/>
        <s v="Sat"/>
        <s v="Mon"/>
        <s v="Tue"/>
      </sharedItems>
    </cacheField>
    <cacheField name="ActivityLevel" numFmtId="0">
      <sharedItems count="4">
        <s v="Sedentary"/>
        <s v="Fairly Active"/>
        <s v="Vey Active"/>
        <s v="Lightly Active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10">
  <r>
    <x v="0"/>
    <x v="0"/>
    <x v="0"/>
    <n v="327"/>
    <x v="0"/>
  </r>
  <r>
    <x v="0"/>
    <x v="1"/>
    <x v="1"/>
    <n v="384"/>
    <x v="1"/>
  </r>
  <r>
    <x v="0"/>
    <x v="2"/>
    <x v="0"/>
    <n v="412"/>
    <x v="2"/>
  </r>
  <r>
    <x v="0"/>
    <x v="3"/>
    <x v="1"/>
    <n v="340"/>
    <x v="3"/>
  </r>
  <r>
    <x v="0"/>
    <x v="4"/>
    <x v="0"/>
    <n v="700"/>
    <x v="4"/>
  </r>
  <r>
    <x v="0"/>
    <x v="5"/>
    <x v="0"/>
    <n v="304"/>
    <x v="5"/>
  </r>
  <r>
    <x v="0"/>
    <x v="6"/>
    <x v="0"/>
    <n v="360"/>
    <x v="6"/>
  </r>
  <r>
    <x v="0"/>
    <x v="7"/>
    <x v="0"/>
    <n v="325"/>
    <x v="7"/>
  </r>
  <r>
    <x v="0"/>
    <x v="8"/>
    <x v="0"/>
    <n v="361"/>
    <x v="8"/>
  </r>
  <r>
    <x v="0"/>
    <x v="9"/>
    <x v="0"/>
    <n v="430"/>
    <x v="9"/>
  </r>
  <r>
    <x v="0"/>
    <x v="10"/>
    <x v="0"/>
    <n v="277"/>
    <x v="10"/>
  </r>
  <r>
    <x v="0"/>
    <x v="11"/>
    <x v="0"/>
    <n v="245"/>
    <x v="11"/>
  </r>
  <r>
    <x v="0"/>
    <x v="12"/>
    <x v="0"/>
    <n v="366"/>
    <x v="12"/>
  </r>
  <r>
    <x v="0"/>
    <x v="13"/>
    <x v="0"/>
    <n v="341"/>
    <x v="13"/>
  </r>
  <r>
    <x v="0"/>
    <x v="14"/>
    <x v="0"/>
    <n v="404"/>
    <x v="14"/>
  </r>
  <r>
    <x v="0"/>
    <x v="15"/>
    <x v="0"/>
    <n v="369"/>
    <x v="15"/>
  </r>
  <r>
    <x v="0"/>
    <x v="16"/>
    <x v="0"/>
    <n v="277"/>
    <x v="16"/>
  </r>
  <r>
    <x v="0"/>
    <x v="17"/>
    <x v="0"/>
    <n v="273"/>
    <x v="17"/>
  </r>
  <r>
    <x v="0"/>
    <x v="18"/>
    <x v="0"/>
    <n v="247"/>
    <x v="18"/>
  </r>
  <r>
    <x v="0"/>
    <x v="19"/>
    <x v="0"/>
    <n v="334"/>
    <x v="3"/>
  </r>
  <r>
    <x v="0"/>
    <x v="20"/>
    <x v="0"/>
    <n v="331"/>
    <x v="19"/>
  </r>
  <r>
    <x v="0"/>
    <x v="21"/>
    <x v="0"/>
    <n v="594"/>
    <x v="20"/>
  </r>
  <r>
    <x v="0"/>
    <x v="22"/>
    <x v="0"/>
    <n v="338"/>
    <x v="21"/>
  </r>
  <r>
    <x v="0"/>
    <x v="23"/>
    <x v="0"/>
    <n v="383"/>
    <x v="22"/>
  </r>
  <r>
    <x v="0"/>
    <x v="24"/>
    <x v="0"/>
    <n v="285"/>
    <x v="23"/>
  </r>
  <r>
    <x v="1"/>
    <x v="13"/>
    <x v="0"/>
    <n v="119"/>
    <x v="24"/>
  </r>
  <r>
    <x v="1"/>
    <x v="14"/>
    <x v="0"/>
    <n v="124"/>
    <x v="25"/>
  </r>
  <r>
    <x v="1"/>
    <x v="16"/>
    <x v="0"/>
    <n v="796"/>
    <x v="26"/>
  </r>
  <r>
    <x v="1"/>
    <x v="21"/>
    <x v="0"/>
    <n v="137"/>
    <x v="27"/>
  </r>
  <r>
    <x v="2"/>
    <x v="2"/>
    <x v="0"/>
    <n v="644"/>
    <x v="26"/>
  </r>
  <r>
    <x v="2"/>
    <x v="14"/>
    <x v="0"/>
    <n v="722"/>
    <x v="26"/>
  </r>
  <r>
    <x v="2"/>
    <x v="15"/>
    <x v="0"/>
    <n v="590"/>
    <x v="26"/>
  </r>
  <r>
    <x v="3"/>
    <x v="0"/>
    <x v="2"/>
    <n v="750"/>
    <x v="28"/>
  </r>
  <r>
    <x v="3"/>
    <x v="1"/>
    <x v="0"/>
    <n v="398"/>
    <x v="29"/>
  </r>
  <r>
    <x v="3"/>
    <x v="2"/>
    <x v="1"/>
    <n v="475"/>
    <x v="30"/>
  </r>
  <r>
    <x v="3"/>
    <x v="11"/>
    <x v="0"/>
    <n v="296"/>
    <x v="31"/>
  </r>
  <r>
    <x v="3"/>
    <x v="12"/>
    <x v="0"/>
    <n v="166"/>
    <x v="32"/>
  </r>
  <r>
    <x v="4"/>
    <x v="0"/>
    <x v="0"/>
    <n v="503"/>
    <x v="33"/>
  </r>
  <r>
    <x v="4"/>
    <x v="1"/>
    <x v="0"/>
    <n v="531"/>
    <x v="34"/>
  </r>
  <r>
    <x v="4"/>
    <x v="25"/>
    <x v="0"/>
    <n v="545"/>
    <x v="35"/>
  </r>
  <r>
    <x v="4"/>
    <x v="2"/>
    <x v="0"/>
    <n v="523"/>
    <x v="36"/>
  </r>
  <r>
    <x v="4"/>
    <x v="3"/>
    <x v="0"/>
    <n v="524"/>
    <x v="37"/>
  </r>
  <r>
    <x v="4"/>
    <x v="4"/>
    <x v="0"/>
    <n v="437"/>
    <x v="38"/>
  </r>
  <r>
    <x v="4"/>
    <x v="5"/>
    <x v="0"/>
    <n v="498"/>
    <x v="39"/>
  </r>
  <r>
    <x v="4"/>
    <x v="6"/>
    <x v="0"/>
    <n v="461"/>
    <x v="40"/>
  </r>
  <r>
    <x v="4"/>
    <x v="7"/>
    <x v="0"/>
    <n v="477"/>
    <x v="41"/>
  </r>
  <r>
    <x v="4"/>
    <x v="26"/>
    <x v="0"/>
    <n v="520"/>
    <x v="42"/>
  </r>
  <r>
    <x v="4"/>
    <x v="8"/>
    <x v="0"/>
    <n v="522"/>
    <x v="43"/>
  </r>
  <r>
    <x v="4"/>
    <x v="9"/>
    <x v="0"/>
    <n v="555"/>
    <x v="44"/>
  </r>
  <r>
    <x v="4"/>
    <x v="10"/>
    <x v="0"/>
    <n v="506"/>
    <x v="45"/>
  </r>
  <r>
    <x v="4"/>
    <x v="27"/>
    <x v="0"/>
    <n v="508"/>
    <x v="42"/>
  </r>
  <r>
    <x v="4"/>
    <x v="12"/>
    <x v="0"/>
    <n v="513"/>
    <x v="42"/>
  </r>
  <r>
    <x v="4"/>
    <x v="13"/>
    <x v="0"/>
    <n v="490"/>
    <x v="40"/>
  </r>
  <r>
    <x v="4"/>
    <x v="14"/>
    <x v="0"/>
    <n v="573"/>
    <x v="46"/>
  </r>
  <r>
    <x v="4"/>
    <x v="15"/>
    <x v="0"/>
    <n v="527"/>
    <x v="33"/>
  </r>
  <r>
    <x v="4"/>
    <x v="16"/>
    <x v="0"/>
    <n v="511"/>
    <x v="47"/>
  </r>
  <r>
    <x v="4"/>
    <x v="28"/>
    <x v="0"/>
    <n v="538"/>
    <x v="48"/>
  </r>
  <r>
    <x v="4"/>
    <x v="18"/>
    <x v="0"/>
    <n v="468"/>
    <x v="49"/>
  </r>
  <r>
    <x v="4"/>
    <x v="19"/>
    <x v="0"/>
    <n v="524"/>
    <x v="50"/>
  </r>
  <r>
    <x v="4"/>
    <x v="20"/>
    <x v="0"/>
    <n v="511"/>
    <x v="51"/>
  </r>
  <r>
    <x v="4"/>
    <x v="21"/>
    <x v="0"/>
    <n v="541"/>
    <x v="35"/>
  </r>
  <r>
    <x v="4"/>
    <x v="22"/>
    <x v="0"/>
    <n v="531"/>
    <x v="52"/>
  </r>
  <r>
    <x v="4"/>
    <x v="23"/>
    <x v="0"/>
    <n v="357"/>
    <x v="53"/>
  </r>
  <r>
    <x v="4"/>
    <x v="24"/>
    <x v="0"/>
    <n v="523"/>
    <x v="54"/>
  </r>
  <r>
    <x v="4"/>
    <x v="29"/>
    <x v="0"/>
    <n v="456"/>
    <x v="49"/>
  </r>
  <r>
    <x v="5"/>
    <x v="8"/>
    <x v="0"/>
    <n v="61"/>
    <x v="55"/>
  </r>
  <r>
    <x v="6"/>
    <x v="1"/>
    <x v="0"/>
    <n v="467"/>
    <x v="45"/>
  </r>
  <r>
    <x v="6"/>
    <x v="25"/>
    <x v="0"/>
    <n v="445"/>
    <x v="56"/>
  </r>
  <r>
    <x v="6"/>
    <x v="2"/>
    <x v="0"/>
    <n v="452"/>
    <x v="57"/>
  </r>
  <r>
    <x v="6"/>
    <x v="4"/>
    <x v="0"/>
    <n v="556"/>
    <x v="58"/>
  </r>
  <r>
    <x v="6"/>
    <x v="30"/>
    <x v="0"/>
    <n v="500"/>
    <x v="59"/>
  </r>
  <r>
    <x v="6"/>
    <x v="5"/>
    <x v="0"/>
    <n v="465"/>
    <x v="41"/>
  </r>
  <r>
    <x v="6"/>
    <x v="7"/>
    <x v="0"/>
    <n v="460"/>
    <x v="60"/>
  </r>
  <r>
    <x v="6"/>
    <x v="26"/>
    <x v="0"/>
    <n v="405"/>
    <x v="61"/>
  </r>
  <r>
    <x v="6"/>
    <x v="8"/>
    <x v="0"/>
    <n v="374"/>
    <x v="62"/>
  </r>
  <r>
    <x v="6"/>
    <x v="9"/>
    <x v="0"/>
    <n v="442"/>
    <x v="63"/>
  </r>
  <r>
    <x v="6"/>
    <x v="10"/>
    <x v="0"/>
    <n v="433"/>
    <x v="64"/>
  </r>
  <r>
    <x v="6"/>
    <x v="11"/>
    <x v="0"/>
    <n v="436"/>
    <x v="65"/>
  </r>
  <r>
    <x v="6"/>
    <x v="27"/>
    <x v="0"/>
    <n v="448"/>
    <x v="30"/>
  </r>
  <r>
    <x v="6"/>
    <x v="12"/>
    <x v="0"/>
    <n v="408"/>
    <x v="66"/>
  </r>
  <r>
    <x v="6"/>
    <x v="13"/>
    <x v="0"/>
    <n v="411"/>
    <x v="67"/>
  </r>
  <r>
    <x v="7"/>
    <x v="0"/>
    <x v="0"/>
    <n v="274"/>
    <x v="68"/>
  </r>
  <r>
    <x v="7"/>
    <x v="1"/>
    <x v="1"/>
    <n v="295"/>
    <x v="69"/>
  </r>
  <r>
    <x v="7"/>
    <x v="25"/>
    <x v="0"/>
    <n v="291"/>
    <x v="70"/>
  </r>
  <r>
    <x v="7"/>
    <x v="2"/>
    <x v="0"/>
    <n v="424"/>
    <x v="52"/>
  </r>
  <r>
    <x v="7"/>
    <x v="3"/>
    <x v="0"/>
    <n v="283"/>
    <x v="40"/>
  </r>
  <r>
    <x v="7"/>
    <x v="4"/>
    <x v="0"/>
    <n v="381"/>
    <x v="71"/>
  </r>
  <r>
    <x v="7"/>
    <x v="30"/>
    <x v="1"/>
    <n v="412"/>
    <x v="72"/>
  </r>
  <r>
    <x v="7"/>
    <x v="5"/>
    <x v="0"/>
    <n v="219"/>
    <x v="73"/>
  </r>
  <r>
    <x v="7"/>
    <x v="6"/>
    <x v="1"/>
    <n v="152"/>
    <x v="74"/>
  </r>
  <r>
    <x v="7"/>
    <x v="7"/>
    <x v="0"/>
    <n v="332"/>
    <x v="75"/>
  </r>
  <r>
    <x v="7"/>
    <x v="26"/>
    <x v="0"/>
    <n v="355"/>
    <x v="76"/>
  </r>
  <r>
    <x v="7"/>
    <x v="8"/>
    <x v="0"/>
    <n v="235"/>
    <x v="77"/>
  </r>
  <r>
    <x v="7"/>
    <x v="9"/>
    <x v="0"/>
    <n v="310"/>
    <x v="78"/>
  </r>
  <r>
    <x v="7"/>
    <x v="10"/>
    <x v="0"/>
    <n v="262"/>
    <x v="79"/>
  </r>
  <r>
    <x v="7"/>
    <x v="11"/>
    <x v="0"/>
    <n v="250"/>
    <x v="80"/>
  </r>
  <r>
    <x v="7"/>
    <x v="27"/>
    <x v="0"/>
    <n v="349"/>
    <x v="39"/>
  </r>
  <r>
    <x v="7"/>
    <x v="12"/>
    <x v="0"/>
    <n v="261"/>
    <x v="81"/>
  </r>
  <r>
    <x v="7"/>
    <x v="13"/>
    <x v="0"/>
    <n v="333"/>
    <x v="82"/>
  </r>
  <r>
    <x v="7"/>
    <x v="14"/>
    <x v="0"/>
    <n v="237"/>
    <x v="83"/>
  </r>
  <r>
    <x v="7"/>
    <x v="15"/>
    <x v="0"/>
    <n v="383"/>
    <x v="84"/>
  </r>
  <r>
    <x v="7"/>
    <x v="16"/>
    <x v="0"/>
    <n v="230"/>
    <x v="8"/>
  </r>
  <r>
    <x v="7"/>
    <x v="17"/>
    <x v="0"/>
    <n v="292"/>
    <x v="85"/>
  </r>
  <r>
    <x v="7"/>
    <x v="28"/>
    <x v="0"/>
    <n v="213"/>
    <x v="86"/>
  </r>
  <r>
    <x v="7"/>
    <x v="18"/>
    <x v="0"/>
    <n v="318"/>
    <x v="87"/>
  </r>
  <r>
    <x v="7"/>
    <x v="19"/>
    <x v="0"/>
    <n v="323"/>
    <x v="75"/>
  </r>
  <r>
    <x v="7"/>
    <x v="20"/>
    <x v="0"/>
    <n v="237"/>
    <x v="88"/>
  </r>
  <r>
    <x v="7"/>
    <x v="21"/>
    <x v="1"/>
    <n v="259"/>
    <x v="69"/>
  </r>
  <r>
    <x v="7"/>
    <x v="23"/>
    <x v="0"/>
    <n v="312"/>
    <x v="89"/>
  </r>
  <r>
    <x v="8"/>
    <x v="0"/>
    <x v="0"/>
    <n v="501"/>
    <x v="90"/>
  </r>
  <r>
    <x v="8"/>
    <x v="3"/>
    <x v="0"/>
    <n v="77"/>
    <x v="91"/>
  </r>
  <r>
    <x v="8"/>
    <x v="17"/>
    <x v="0"/>
    <n v="322"/>
    <x v="92"/>
  </r>
  <r>
    <x v="8"/>
    <x v="28"/>
    <x v="0"/>
    <n v="478"/>
    <x v="93"/>
  </r>
  <r>
    <x v="8"/>
    <x v="18"/>
    <x v="0"/>
    <n v="226"/>
    <x v="94"/>
  </r>
  <r>
    <x v="8"/>
    <x v="19"/>
    <x v="0"/>
    <n v="385"/>
    <x v="95"/>
  </r>
  <r>
    <x v="8"/>
    <x v="21"/>
    <x v="0"/>
    <n v="364"/>
    <x v="96"/>
  </r>
  <r>
    <x v="8"/>
    <x v="23"/>
    <x v="0"/>
    <n v="442"/>
    <x v="97"/>
  </r>
  <r>
    <x v="9"/>
    <x v="25"/>
    <x v="0"/>
    <n v="535"/>
    <x v="59"/>
  </r>
  <r>
    <x v="9"/>
    <x v="2"/>
    <x v="0"/>
    <n v="465"/>
    <x v="98"/>
  </r>
  <r>
    <x v="9"/>
    <x v="3"/>
    <x v="0"/>
    <n v="506"/>
    <x v="72"/>
  </r>
  <r>
    <x v="9"/>
    <x v="30"/>
    <x v="0"/>
    <n v="515"/>
    <x v="99"/>
  </r>
  <r>
    <x v="9"/>
    <x v="5"/>
    <x v="1"/>
    <n v="461"/>
    <x v="38"/>
  </r>
  <r>
    <x v="9"/>
    <x v="6"/>
    <x v="0"/>
    <n v="523"/>
    <x v="47"/>
  </r>
  <r>
    <x v="9"/>
    <x v="7"/>
    <x v="0"/>
    <n v="59"/>
    <x v="100"/>
  </r>
  <r>
    <x v="9"/>
    <x v="26"/>
    <x v="0"/>
    <n v="533"/>
    <x v="101"/>
  </r>
  <r>
    <x v="9"/>
    <x v="8"/>
    <x v="0"/>
    <n v="692"/>
    <x v="102"/>
  </r>
  <r>
    <x v="9"/>
    <x v="9"/>
    <x v="0"/>
    <n v="467"/>
    <x v="103"/>
  </r>
  <r>
    <x v="9"/>
    <x v="10"/>
    <x v="0"/>
    <n v="488"/>
    <x v="104"/>
  </r>
  <r>
    <x v="9"/>
    <x v="11"/>
    <x v="0"/>
    <n v="505"/>
    <x v="105"/>
  </r>
  <r>
    <x v="9"/>
    <x v="27"/>
    <x v="0"/>
    <n v="286"/>
    <x v="106"/>
  </r>
  <r>
    <x v="9"/>
    <x v="12"/>
    <x v="0"/>
    <n v="497"/>
    <x v="72"/>
  </r>
  <r>
    <x v="9"/>
    <x v="13"/>
    <x v="0"/>
    <n v="523"/>
    <x v="33"/>
  </r>
  <r>
    <x v="9"/>
    <x v="14"/>
    <x v="0"/>
    <n v="490"/>
    <x v="105"/>
  </r>
  <r>
    <x v="9"/>
    <x v="15"/>
    <x v="0"/>
    <n v="484"/>
    <x v="85"/>
  </r>
  <r>
    <x v="9"/>
    <x v="16"/>
    <x v="0"/>
    <n v="478"/>
    <x v="104"/>
  </r>
  <r>
    <x v="9"/>
    <x v="17"/>
    <x v="0"/>
    <n v="474"/>
    <x v="75"/>
  </r>
  <r>
    <x v="9"/>
    <x v="19"/>
    <x v="0"/>
    <n v="450"/>
    <x v="98"/>
  </r>
  <r>
    <x v="9"/>
    <x v="20"/>
    <x v="0"/>
    <n v="507"/>
    <x v="107"/>
  </r>
  <r>
    <x v="9"/>
    <x v="21"/>
    <x v="0"/>
    <n v="602"/>
    <x v="108"/>
  </r>
  <r>
    <x v="9"/>
    <x v="22"/>
    <x v="0"/>
    <n v="535"/>
    <x v="34"/>
  </r>
  <r>
    <x v="9"/>
    <x v="23"/>
    <x v="0"/>
    <n v="487"/>
    <x v="109"/>
  </r>
  <r>
    <x v="9"/>
    <x v="24"/>
    <x v="0"/>
    <n v="529"/>
    <x v="110"/>
  </r>
  <r>
    <x v="9"/>
    <x v="29"/>
    <x v="0"/>
    <n v="302"/>
    <x v="111"/>
  </r>
  <r>
    <x v="10"/>
    <x v="2"/>
    <x v="0"/>
    <n v="499"/>
    <x v="78"/>
  </r>
  <r>
    <x v="10"/>
    <x v="3"/>
    <x v="1"/>
    <n v="426"/>
    <x v="112"/>
  </r>
  <r>
    <x v="10"/>
    <x v="4"/>
    <x v="1"/>
    <n v="619"/>
    <x v="113"/>
  </r>
  <r>
    <x v="10"/>
    <x v="30"/>
    <x v="0"/>
    <n v="99"/>
    <x v="114"/>
  </r>
  <r>
    <x v="10"/>
    <x v="5"/>
    <x v="0"/>
    <n v="329"/>
    <x v="115"/>
  </r>
  <r>
    <x v="10"/>
    <x v="6"/>
    <x v="0"/>
    <n v="421"/>
    <x v="116"/>
  </r>
  <r>
    <x v="10"/>
    <x v="7"/>
    <x v="0"/>
    <n v="442"/>
    <x v="117"/>
  </r>
  <r>
    <x v="10"/>
    <x v="26"/>
    <x v="0"/>
    <n v="82"/>
    <x v="118"/>
  </r>
  <r>
    <x v="10"/>
    <x v="8"/>
    <x v="0"/>
    <n v="478"/>
    <x v="103"/>
  </r>
  <r>
    <x v="10"/>
    <x v="9"/>
    <x v="2"/>
    <n v="552"/>
    <x v="119"/>
  </r>
  <r>
    <x v="10"/>
    <x v="11"/>
    <x v="0"/>
    <n v="319"/>
    <x v="0"/>
  </r>
  <r>
    <x v="10"/>
    <x v="27"/>
    <x v="0"/>
    <n v="439"/>
    <x v="85"/>
  </r>
  <r>
    <x v="10"/>
    <x v="12"/>
    <x v="0"/>
    <n v="428"/>
    <x v="117"/>
  </r>
  <r>
    <x v="10"/>
    <x v="14"/>
    <x v="1"/>
    <n v="409"/>
    <x v="120"/>
  </r>
  <r>
    <x v="10"/>
    <x v="15"/>
    <x v="0"/>
    <n v="547"/>
    <x v="121"/>
  </r>
  <r>
    <x v="10"/>
    <x v="16"/>
    <x v="1"/>
    <n v="368"/>
    <x v="122"/>
  </r>
  <r>
    <x v="10"/>
    <x v="28"/>
    <x v="0"/>
    <n v="390"/>
    <x v="123"/>
  </r>
  <r>
    <x v="10"/>
    <x v="18"/>
    <x v="0"/>
    <n v="471"/>
    <x v="124"/>
  </r>
  <r>
    <x v="10"/>
    <x v="20"/>
    <x v="0"/>
    <n v="472"/>
    <x v="125"/>
  </r>
  <r>
    <x v="10"/>
    <x v="21"/>
    <x v="1"/>
    <n v="529"/>
    <x v="90"/>
  </r>
  <r>
    <x v="10"/>
    <x v="22"/>
    <x v="0"/>
    <n v="62"/>
    <x v="100"/>
  </r>
  <r>
    <x v="10"/>
    <x v="23"/>
    <x v="0"/>
    <n v="354"/>
    <x v="126"/>
  </r>
  <r>
    <x v="10"/>
    <x v="24"/>
    <x v="0"/>
    <n v="469"/>
    <x v="97"/>
  </r>
  <r>
    <x v="11"/>
    <x v="0"/>
    <x v="1"/>
    <n v="429"/>
    <x v="127"/>
  </r>
  <r>
    <x v="11"/>
    <x v="1"/>
    <x v="1"/>
    <n v="370"/>
    <x v="128"/>
  </r>
  <r>
    <x v="11"/>
    <x v="25"/>
    <x v="0"/>
    <n v="441"/>
    <x v="129"/>
  </r>
  <r>
    <x v="11"/>
    <x v="2"/>
    <x v="1"/>
    <n v="337"/>
    <x v="130"/>
  </r>
  <r>
    <x v="11"/>
    <x v="3"/>
    <x v="0"/>
    <n v="462"/>
    <x v="30"/>
  </r>
  <r>
    <x v="11"/>
    <x v="4"/>
    <x v="0"/>
    <n v="98"/>
    <x v="131"/>
  </r>
  <r>
    <x v="11"/>
    <x v="5"/>
    <x v="1"/>
    <n v="388"/>
    <x v="132"/>
  </r>
  <r>
    <x v="11"/>
    <x v="6"/>
    <x v="0"/>
    <n v="439"/>
    <x v="133"/>
  </r>
  <r>
    <x v="11"/>
    <x v="7"/>
    <x v="0"/>
    <n v="436"/>
    <x v="68"/>
  </r>
  <r>
    <x v="11"/>
    <x v="26"/>
    <x v="0"/>
    <n v="388"/>
    <x v="134"/>
  </r>
  <r>
    <x v="11"/>
    <x v="10"/>
    <x v="0"/>
    <n v="328"/>
    <x v="135"/>
  </r>
  <r>
    <x v="11"/>
    <x v="11"/>
    <x v="1"/>
    <n v="353"/>
    <x v="136"/>
  </r>
  <r>
    <x v="11"/>
    <x v="27"/>
    <x v="0"/>
    <n v="332"/>
    <x v="137"/>
  </r>
  <r>
    <x v="11"/>
    <x v="12"/>
    <x v="0"/>
    <n v="419"/>
    <x v="2"/>
  </r>
  <r>
    <x v="11"/>
    <x v="13"/>
    <x v="0"/>
    <n v="106"/>
    <x v="138"/>
  </r>
  <r>
    <x v="11"/>
    <x v="14"/>
    <x v="0"/>
    <n v="322"/>
    <x v="139"/>
  </r>
  <r>
    <x v="11"/>
    <x v="15"/>
    <x v="1"/>
    <n v="439"/>
    <x v="63"/>
  </r>
  <r>
    <x v="11"/>
    <x v="16"/>
    <x v="0"/>
    <n v="502"/>
    <x v="140"/>
  </r>
  <r>
    <x v="11"/>
    <x v="17"/>
    <x v="1"/>
    <n v="417"/>
    <x v="66"/>
  </r>
  <r>
    <x v="11"/>
    <x v="28"/>
    <x v="1"/>
    <n v="337"/>
    <x v="141"/>
  </r>
  <r>
    <x v="11"/>
    <x v="18"/>
    <x v="1"/>
    <n v="462"/>
    <x v="142"/>
  </r>
  <r>
    <x v="11"/>
    <x v="19"/>
    <x v="1"/>
    <n v="374"/>
    <x v="96"/>
  </r>
  <r>
    <x v="11"/>
    <x v="20"/>
    <x v="1"/>
    <n v="401"/>
    <x v="143"/>
  </r>
  <r>
    <x v="11"/>
    <x v="21"/>
    <x v="0"/>
    <n v="361"/>
    <x v="136"/>
  </r>
  <r>
    <x v="11"/>
    <x v="22"/>
    <x v="0"/>
    <n v="457"/>
    <x v="144"/>
  </r>
  <r>
    <x v="11"/>
    <x v="23"/>
    <x v="0"/>
    <n v="405"/>
    <x v="145"/>
  </r>
  <r>
    <x v="11"/>
    <x v="24"/>
    <x v="0"/>
    <n v="499"/>
    <x v="107"/>
  </r>
  <r>
    <x v="11"/>
    <x v="29"/>
    <x v="0"/>
    <n v="483"/>
    <x v="103"/>
  </r>
  <r>
    <x v="12"/>
    <x v="7"/>
    <x v="0"/>
    <n v="126"/>
    <x v="146"/>
  </r>
  <r>
    <x v="12"/>
    <x v="11"/>
    <x v="0"/>
    <n v="103"/>
    <x v="147"/>
  </r>
  <r>
    <x v="12"/>
    <x v="13"/>
    <x v="0"/>
    <n v="171"/>
    <x v="148"/>
  </r>
  <r>
    <x v="12"/>
    <x v="15"/>
    <x v="0"/>
    <n v="115"/>
    <x v="149"/>
  </r>
  <r>
    <x v="12"/>
    <x v="21"/>
    <x v="0"/>
    <n v="123"/>
    <x v="150"/>
  </r>
  <r>
    <x v="13"/>
    <x v="0"/>
    <x v="0"/>
    <n v="425"/>
    <x v="151"/>
  </r>
  <r>
    <x v="13"/>
    <x v="1"/>
    <x v="1"/>
    <n v="400"/>
    <x v="120"/>
  </r>
  <r>
    <x v="13"/>
    <x v="25"/>
    <x v="0"/>
    <n v="384"/>
    <x v="152"/>
  </r>
  <r>
    <x v="13"/>
    <x v="2"/>
    <x v="0"/>
    <n v="253"/>
    <x v="153"/>
  </r>
  <r>
    <x v="13"/>
    <x v="3"/>
    <x v="1"/>
    <n v="382"/>
    <x v="128"/>
  </r>
  <r>
    <x v="13"/>
    <x v="4"/>
    <x v="0"/>
    <n v="591"/>
    <x v="154"/>
  </r>
  <r>
    <x v="13"/>
    <x v="30"/>
    <x v="0"/>
    <n v="293"/>
    <x v="155"/>
  </r>
  <r>
    <x v="13"/>
    <x v="5"/>
    <x v="0"/>
    <n v="457"/>
    <x v="156"/>
  </r>
  <r>
    <x v="13"/>
    <x v="6"/>
    <x v="0"/>
    <n v="454"/>
    <x v="157"/>
  </r>
  <r>
    <x v="13"/>
    <x v="7"/>
    <x v="0"/>
    <n v="425"/>
    <x v="158"/>
  </r>
  <r>
    <x v="13"/>
    <x v="8"/>
    <x v="0"/>
    <n v="465"/>
    <x v="159"/>
  </r>
  <r>
    <x v="13"/>
    <x v="9"/>
    <x v="0"/>
    <n v="480"/>
    <x v="104"/>
  </r>
  <r>
    <x v="13"/>
    <x v="10"/>
    <x v="0"/>
    <n v="370"/>
    <x v="53"/>
  </r>
  <r>
    <x v="13"/>
    <x v="11"/>
    <x v="0"/>
    <n v="421"/>
    <x v="160"/>
  </r>
  <r>
    <x v="13"/>
    <x v="27"/>
    <x v="0"/>
    <n v="432"/>
    <x v="9"/>
  </r>
  <r>
    <x v="13"/>
    <x v="12"/>
    <x v="0"/>
    <n v="442"/>
    <x v="61"/>
  </r>
  <r>
    <x v="13"/>
    <x v="13"/>
    <x v="0"/>
    <n v="433"/>
    <x v="161"/>
  </r>
  <r>
    <x v="13"/>
    <x v="14"/>
    <x v="0"/>
    <n v="479"/>
    <x v="103"/>
  </r>
  <r>
    <x v="13"/>
    <x v="17"/>
    <x v="0"/>
    <n v="327"/>
    <x v="162"/>
  </r>
  <r>
    <x v="13"/>
    <x v="28"/>
    <x v="0"/>
    <n v="412"/>
    <x v="158"/>
  </r>
  <r>
    <x v="13"/>
    <x v="18"/>
    <x v="0"/>
    <n v="414"/>
    <x v="163"/>
  </r>
  <r>
    <x v="13"/>
    <x v="19"/>
    <x v="0"/>
    <n v="404"/>
    <x v="9"/>
  </r>
  <r>
    <x v="13"/>
    <x v="20"/>
    <x v="0"/>
    <n v="520"/>
    <x v="47"/>
  </r>
  <r>
    <x v="13"/>
    <x v="22"/>
    <x v="0"/>
    <n v="435"/>
    <x v="117"/>
  </r>
  <r>
    <x v="13"/>
    <x v="23"/>
    <x v="0"/>
    <n v="416"/>
    <x v="164"/>
  </r>
  <r>
    <x v="13"/>
    <x v="24"/>
    <x v="0"/>
    <n v="354"/>
    <x v="165"/>
  </r>
  <r>
    <x v="13"/>
    <x v="29"/>
    <x v="0"/>
    <n v="404"/>
    <x v="2"/>
  </r>
  <r>
    <x v="14"/>
    <x v="0"/>
    <x v="0"/>
    <n v="441"/>
    <x v="166"/>
  </r>
  <r>
    <x v="14"/>
    <x v="1"/>
    <x v="1"/>
    <n v="455"/>
    <x v="167"/>
  </r>
  <r>
    <x v="14"/>
    <x v="25"/>
    <x v="0"/>
    <n v="357"/>
    <x v="168"/>
  </r>
  <r>
    <x v="14"/>
    <x v="2"/>
    <x v="0"/>
    <n v="377"/>
    <x v="169"/>
  </r>
  <r>
    <x v="14"/>
    <x v="3"/>
    <x v="1"/>
    <n v="651"/>
    <x v="170"/>
  </r>
  <r>
    <x v="14"/>
    <x v="4"/>
    <x v="0"/>
    <n v="350"/>
    <x v="96"/>
  </r>
  <r>
    <x v="14"/>
    <x v="30"/>
    <x v="1"/>
    <n v="520"/>
    <x v="90"/>
  </r>
  <r>
    <x v="14"/>
    <x v="5"/>
    <x v="0"/>
    <n v="357"/>
    <x v="171"/>
  </r>
  <r>
    <x v="14"/>
    <x v="6"/>
    <x v="0"/>
    <n v="658"/>
    <x v="172"/>
  </r>
  <r>
    <x v="14"/>
    <x v="7"/>
    <x v="0"/>
    <n v="399"/>
    <x v="164"/>
  </r>
  <r>
    <x v="14"/>
    <x v="26"/>
    <x v="0"/>
    <n v="322"/>
    <x v="139"/>
  </r>
  <r>
    <x v="14"/>
    <x v="8"/>
    <x v="1"/>
    <n v="631"/>
    <x v="173"/>
  </r>
  <r>
    <x v="14"/>
    <x v="9"/>
    <x v="1"/>
    <n v="553"/>
    <x v="174"/>
  </r>
  <r>
    <x v="14"/>
    <x v="10"/>
    <x v="0"/>
    <n v="433"/>
    <x v="157"/>
  </r>
  <r>
    <x v="14"/>
    <x v="11"/>
    <x v="0"/>
    <n v="412"/>
    <x v="175"/>
  </r>
  <r>
    <x v="14"/>
    <x v="27"/>
    <x v="0"/>
    <n v="347"/>
    <x v="136"/>
  </r>
  <r>
    <x v="14"/>
    <x v="12"/>
    <x v="0"/>
    <n v="421"/>
    <x v="127"/>
  </r>
  <r>
    <x v="14"/>
    <x v="13"/>
    <x v="0"/>
    <n v="450"/>
    <x v="124"/>
  </r>
  <r>
    <x v="14"/>
    <x v="14"/>
    <x v="1"/>
    <n v="775"/>
    <x v="176"/>
  </r>
  <r>
    <x v="14"/>
    <x v="15"/>
    <x v="1"/>
    <n v="622"/>
    <x v="170"/>
  </r>
  <r>
    <x v="14"/>
    <x v="16"/>
    <x v="0"/>
    <n v="409"/>
    <x v="64"/>
  </r>
  <r>
    <x v="14"/>
    <x v="17"/>
    <x v="0"/>
    <n v="380"/>
    <x v="160"/>
  </r>
  <r>
    <x v="14"/>
    <x v="28"/>
    <x v="0"/>
    <n v="447"/>
    <x v="177"/>
  </r>
  <r>
    <x v="14"/>
    <x v="18"/>
    <x v="0"/>
    <n v="419"/>
    <x v="166"/>
  </r>
  <r>
    <x v="14"/>
    <x v="19"/>
    <x v="0"/>
    <n v="400"/>
    <x v="158"/>
  </r>
  <r>
    <x v="14"/>
    <x v="20"/>
    <x v="0"/>
    <n v="442"/>
    <x v="177"/>
  </r>
  <r>
    <x v="14"/>
    <x v="21"/>
    <x v="0"/>
    <n v="568"/>
    <x v="178"/>
  </r>
  <r>
    <x v="14"/>
    <x v="22"/>
    <x v="0"/>
    <n v="453"/>
    <x v="97"/>
  </r>
  <r>
    <x v="14"/>
    <x v="23"/>
    <x v="0"/>
    <n v="418"/>
    <x v="88"/>
  </r>
  <r>
    <x v="14"/>
    <x v="24"/>
    <x v="0"/>
    <n v="463"/>
    <x v="179"/>
  </r>
  <r>
    <x v="14"/>
    <x v="29"/>
    <x v="0"/>
    <n v="438"/>
    <x v="159"/>
  </r>
  <r>
    <x v="15"/>
    <x v="0"/>
    <x v="0"/>
    <n v="419"/>
    <x v="180"/>
  </r>
  <r>
    <x v="15"/>
    <x v="1"/>
    <x v="0"/>
    <n v="432"/>
    <x v="117"/>
  </r>
  <r>
    <x v="15"/>
    <x v="25"/>
    <x v="0"/>
    <n v="477"/>
    <x v="181"/>
  </r>
  <r>
    <x v="15"/>
    <x v="2"/>
    <x v="0"/>
    <n v="392"/>
    <x v="182"/>
  </r>
  <r>
    <x v="15"/>
    <x v="3"/>
    <x v="0"/>
    <n v="406"/>
    <x v="183"/>
  </r>
  <r>
    <x v="15"/>
    <x v="4"/>
    <x v="0"/>
    <n v="549"/>
    <x v="184"/>
  </r>
  <r>
    <x v="15"/>
    <x v="30"/>
    <x v="0"/>
    <n v="527"/>
    <x v="54"/>
  </r>
  <r>
    <x v="15"/>
    <x v="5"/>
    <x v="0"/>
    <n v="449"/>
    <x v="185"/>
  </r>
  <r>
    <x v="15"/>
    <x v="6"/>
    <x v="0"/>
    <n v="447"/>
    <x v="87"/>
  </r>
  <r>
    <x v="15"/>
    <x v="7"/>
    <x v="0"/>
    <n v="414"/>
    <x v="186"/>
  </r>
  <r>
    <x v="15"/>
    <x v="26"/>
    <x v="0"/>
    <n v="338"/>
    <x v="165"/>
  </r>
  <r>
    <x v="15"/>
    <x v="8"/>
    <x v="0"/>
    <n v="384"/>
    <x v="96"/>
  </r>
  <r>
    <x v="15"/>
    <x v="9"/>
    <x v="0"/>
    <n v="543"/>
    <x v="187"/>
  </r>
  <r>
    <x v="15"/>
    <x v="10"/>
    <x v="0"/>
    <n v="421"/>
    <x v="61"/>
  </r>
  <r>
    <x v="15"/>
    <x v="11"/>
    <x v="0"/>
    <n v="354"/>
    <x v="6"/>
  </r>
  <r>
    <x v="15"/>
    <x v="27"/>
    <x v="0"/>
    <n v="424"/>
    <x v="89"/>
  </r>
  <r>
    <x v="15"/>
    <x v="12"/>
    <x v="0"/>
    <n v="361"/>
    <x v="77"/>
  </r>
  <r>
    <x v="15"/>
    <x v="13"/>
    <x v="0"/>
    <n v="459"/>
    <x v="49"/>
  </r>
  <r>
    <x v="15"/>
    <x v="14"/>
    <x v="0"/>
    <n v="412"/>
    <x v="188"/>
  </r>
  <r>
    <x v="15"/>
    <x v="15"/>
    <x v="0"/>
    <n v="379"/>
    <x v="189"/>
  </r>
  <r>
    <x v="15"/>
    <x v="16"/>
    <x v="1"/>
    <n v="525"/>
    <x v="54"/>
  </r>
  <r>
    <x v="15"/>
    <x v="17"/>
    <x v="0"/>
    <n v="508"/>
    <x v="47"/>
  </r>
  <r>
    <x v="15"/>
    <x v="28"/>
    <x v="0"/>
    <n v="603"/>
    <x v="190"/>
  </r>
  <r>
    <x v="15"/>
    <x v="18"/>
    <x v="0"/>
    <n v="74"/>
    <x v="191"/>
  </r>
  <r>
    <x v="15"/>
    <x v="23"/>
    <x v="0"/>
    <n v="504"/>
    <x v="192"/>
  </r>
  <r>
    <x v="15"/>
    <x v="24"/>
    <x v="0"/>
    <n v="431"/>
    <x v="76"/>
  </r>
  <r>
    <x v="16"/>
    <x v="3"/>
    <x v="0"/>
    <n v="380"/>
    <x v="189"/>
  </r>
  <r>
    <x v="16"/>
    <x v="4"/>
    <x v="1"/>
    <n v="336"/>
    <x v="193"/>
  </r>
  <r>
    <x v="16"/>
    <x v="30"/>
    <x v="1"/>
    <n v="493"/>
    <x v="40"/>
  </r>
  <r>
    <x v="16"/>
    <x v="5"/>
    <x v="0"/>
    <n v="465"/>
    <x v="129"/>
  </r>
  <r>
    <x v="16"/>
    <x v="6"/>
    <x v="0"/>
    <n v="474"/>
    <x v="194"/>
  </r>
  <r>
    <x v="16"/>
    <x v="7"/>
    <x v="0"/>
    <n v="508"/>
    <x v="101"/>
  </r>
  <r>
    <x v="16"/>
    <x v="26"/>
    <x v="0"/>
    <n v="480"/>
    <x v="33"/>
  </r>
  <r>
    <x v="16"/>
    <x v="8"/>
    <x v="0"/>
    <n v="492"/>
    <x v="195"/>
  </r>
  <r>
    <x v="16"/>
    <x v="9"/>
    <x v="0"/>
    <n v="353"/>
    <x v="3"/>
  </r>
  <r>
    <x v="16"/>
    <x v="27"/>
    <x v="0"/>
    <n v="542"/>
    <x v="59"/>
  </r>
  <r>
    <x v="16"/>
    <x v="12"/>
    <x v="0"/>
    <n v="393"/>
    <x v="196"/>
  </r>
  <r>
    <x v="16"/>
    <x v="13"/>
    <x v="0"/>
    <n v="600"/>
    <x v="197"/>
  </r>
  <r>
    <x v="16"/>
    <x v="15"/>
    <x v="0"/>
    <n v="507"/>
    <x v="198"/>
  </r>
  <r>
    <x v="16"/>
    <x v="18"/>
    <x v="0"/>
    <n v="392"/>
    <x v="152"/>
  </r>
  <r>
    <x v="16"/>
    <x v="19"/>
    <x v="1"/>
    <n v="658"/>
    <x v="199"/>
  </r>
  <r>
    <x v="16"/>
    <x v="20"/>
    <x v="1"/>
    <n v="498"/>
    <x v="200"/>
  </r>
  <r>
    <x v="16"/>
    <x v="21"/>
    <x v="0"/>
    <n v="555"/>
    <x v="201"/>
  </r>
  <r>
    <x v="16"/>
    <x v="22"/>
    <x v="0"/>
    <n v="492"/>
    <x v="72"/>
  </r>
  <r>
    <x v="17"/>
    <x v="1"/>
    <x v="0"/>
    <n v="235"/>
    <x v="202"/>
  </r>
  <r>
    <x v="17"/>
    <x v="25"/>
    <x v="0"/>
    <n v="423"/>
    <x v="203"/>
  </r>
  <r>
    <x v="17"/>
    <x v="2"/>
    <x v="0"/>
    <n v="391"/>
    <x v="128"/>
  </r>
  <r>
    <x v="18"/>
    <x v="0"/>
    <x v="0"/>
    <n v="366"/>
    <x v="204"/>
  </r>
  <r>
    <x v="18"/>
    <x v="1"/>
    <x v="2"/>
    <n v="630"/>
    <x v="205"/>
  </r>
  <r>
    <x v="18"/>
    <x v="25"/>
    <x v="1"/>
    <n v="508"/>
    <x v="206"/>
  </r>
  <r>
    <x v="18"/>
    <x v="2"/>
    <x v="0"/>
    <n v="370"/>
    <x v="62"/>
  </r>
  <r>
    <x v="18"/>
    <x v="3"/>
    <x v="0"/>
    <n v="357"/>
    <x v="165"/>
  </r>
  <r>
    <x v="18"/>
    <x v="4"/>
    <x v="0"/>
    <n v="427"/>
    <x v="207"/>
  </r>
  <r>
    <x v="18"/>
    <x v="30"/>
    <x v="0"/>
    <n v="442"/>
    <x v="117"/>
  </r>
  <r>
    <x v="18"/>
    <x v="5"/>
    <x v="0"/>
    <n v="476"/>
    <x v="206"/>
  </r>
  <r>
    <x v="18"/>
    <x v="6"/>
    <x v="0"/>
    <n v="418"/>
    <x v="132"/>
  </r>
  <r>
    <x v="18"/>
    <x v="7"/>
    <x v="0"/>
    <n v="451"/>
    <x v="127"/>
  </r>
  <r>
    <x v="18"/>
    <x v="26"/>
    <x v="0"/>
    <n v="425"/>
    <x v="208"/>
  </r>
  <r>
    <x v="18"/>
    <x v="8"/>
    <x v="0"/>
    <n v="528"/>
    <x v="33"/>
  </r>
  <r>
    <x v="18"/>
    <x v="9"/>
    <x v="0"/>
    <n v="511"/>
    <x v="41"/>
  </r>
  <r>
    <x v="18"/>
    <x v="10"/>
    <x v="0"/>
    <n v="400"/>
    <x v="152"/>
  </r>
  <r>
    <x v="18"/>
    <x v="11"/>
    <x v="0"/>
    <n v="441"/>
    <x v="207"/>
  </r>
  <r>
    <x v="18"/>
    <x v="27"/>
    <x v="0"/>
    <n v="455"/>
    <x v="79"/>
  </r>
  <r>
    <x v="18"/>
    <x v="12"/>
    <x v="0"/>
    <n v="440"/>
    <x v="175"/>
  </r>
  <r>
    <x v="18"/>
    <x v="13"/>
    <x v="0"/>
    <n v="433"/>
    <x v="161"/>
  </r>
  <r>
    <x v="18"/>
    <x v="14"/>
    <x v="0"/>
    <n v="422"/>
    <x v="132"/>
  </r>
  <r>
    <x v="18"/>
    <x v="15"/>
    <x v="0"/>
    <n v="411"/>
    <x v="145"/>
  </r>
  <r>
    <x v="18"/>
    <x v="16"/>
    <x v="0"/>
    <n v="466"/>
    <x v="209"/>
  </r>
  <r>
    <x v="18"/>
    <x v="17"/>
    <x v="0"/>
    <n v="394"/>
    <x v="168"/>
  </r>
  <r>
    <x v="18"/>
    <x v="28"/>
    <x v="0"/>
    <n v="442"/>
    <x v="210"/>
  </r>
  <r>
    <x v="18"/>
    <x v="18"/>
    <x v="0"/>
    <n v="467"/>
    <x v="98"/>
  </r>
  <r>
    <x v="18"/>
    <x v="19"/>
    <x v="0"/>
    <n v="443"/>
    <x v="133"/>
  </r>
  <r>
    <x v="18"/>
    <x v="20"/>
    <x v="0"/>
    <n v="298"/>
    <x v="211"/>
  </r>
  <r>
    <x v="18"/>
    <x v="21"/>
    <x v="0"/>
    <n v="541"/>
    <x v="212"/>
  </r>
  <r>
    <x v="18"/>
    <x v="22"/>
    <x v="0"/>
    <n v="489"/>
    <x v="181"/>
  </r>
  <r>
    <x v="18"/>
    <x v="23"/>
    <x v="0"/>
    <n v="469"/>
    <x v="213"/>
  </r>
  <r>
    <x v="18"/>
    <x v="24"/>
    <x v="0"/>
    <n v="452"/>
    <x v="87"/>
  </r>
  <r>
    <x v="18"/>
    <x v="29"/>
    <x v="0"/>
    <n v="516"/>
    <x v="206"/>
  </r>
  <r>
    <x v="19"/>
    <x v="3"/>
    <x v="0"/>
    <n v="79"/>
    <x v="214"/>
  </r>
  <r>
    <x v="19"/>
    <x v="15"/>
    <x v="0"/>
    <n v="58"/>
    <x v="215"/>
  </r>
  <r>
    <x v="20"/>
    <x v="0"/>
    <x v="0"/>
    <n v="514"/>
    <x v="216"/>
  </r>
  <r>
    <x v="20"/>
    <x v="1"/>
    <x v="0"/>
    <n v="451"/>
    <x v="185"/>
  </r>
  <r>
    <x v="20"/>
    <x v="25"/>
    <x v="0"/>
    <n v="472"/>
    <x v="76"/>
  </r>
  <r>
    <x v="20"/>
    <x v="2"/>
    <x v="0"/>
    <n v="377"/>
    <x v="62"/>
  </r>
  <r>
    <x v="20"/>
    <x v="5"/>
    <x v="0"/>
    <n v="472"/>
    <x v="217"/>
  </r>
  <r>
    <x v="20"/>
    <x v="6"/>
    <x v="0"/>
    <n v="492"/>
    <x v="194"/>
  </r>
  <r>
    <x v="20"/>
    <x v="7"/>
    <x v="0"/>
    <n v="390"/>
    <x v="218"/>
  </r>
  <r>
    <x v="20"/>
    <x v="26"/>
    <x v="0"/>
    <n v="428"/>
    <x v="112"/>
  </r>
  <r>
    <x v="20"/>
    <x v="9"/>
    <x v="0"/>
    <n v="681"/>
    <x v="219"/>
  </r>
  <r>
    <x v="20"/>
    <x v="10"/>
    <x v="0"/>
    <n v="446"/>
    <x v="161"/>
  </r>
  <r>
    <x v="20"/>
    <x v="11"/>
    <x v="0"/>
    <n v="485"/>
    <x v="85"/>
  </r>
  <r>
    <x v="20"/>
    <x v="27"/>
    <x v="0"/>
    <n v="469"/>
    <x v="220"/>
  </r>
  <r>
    <x v="20"/>
    <x v="12"/>
    <x v="0"/>
    <n v="354"/>
    <x v="3"/>
  </r>
  <r>
    <x v="20"/>
    <x v="14"/>
    <x v="0"/>
    <n v="485"/>
    <x v="56"/>
  </r>
  <r>
    <x v="20"/>
    <x v="15"/>
    <x v="0"/>
    <n v="388"/>
    <x v="1"/>
  </r>
  <r>
    <x v="20"/>
    <x v="16"/>
    <x v="0"/>
    <n v="440"/>
    <x v="63"/>
  </r>
  <r>
    <x v="20"/>
    <x v="17"/>
    <x v="0"/>
    <n v="456"/>
    <x v="61"/>
  </r>
  <r>
    <x v="20"/>
    <x v="28"/>
    <x v="0"/>
    <n v="420"/>
    <x v="143"/>
  </r>
  <r>
    <x v="20"/>
    <x v="19"/>
    <x v="0"/>
    <n v="322"/>
    <x v="221"/>
  </r>
  <r>
    <x v="20"/>
    <x v="20"/>
    <x v="0"/>
    <n v="530"/>
    <x v="50"/>
  </r>
  <r>
    <x v="20"/>
    <x v="21"/>
    <x v="0"/>
    <n v="481"/>
    <x v="40"/>
  </r>
  <r>
    <x v="20"/>
    <x v="22"/>
    <x v="0"/>
    <n v="427"/>
    <x v="180"/>
  </r>
  <r>
    <x v="20"/>
    <x v="24"/>
    <x v="0"/>
    <n v="451"/>
    <x v="222"/>
  </r>
  <r>
    <x v="20"/>
    <x v="29"/>
    <x v="0"/>
    <n v="444"/>
    <x v="127"/>
  </r>
  <r>
    <x v="21"/>
    <x v="6"/>
    <x v="0"/>
    <n v="486"/>
    <x v="223"/>
  </r>
  <r>
    <x v="21"/>
    <x v="8"/>
    <x v="0"/>
    <n v="331"/>
    <x v="224"/>
  </r>
  <r>
    <x v="21"/>
    <x v="20"/>
    <x v="0"/>
    <n v="74"/>
    <x v="225"/>
  </r>
  <r>
    <x v="22"/>
    <x v="0"/>
    <x v="0"/>
    <n v="338"/>
    <x v="226"/>
  </r>
  <r>
    <x v="22"/>
    <x v="1"/>
    <x v="1"/>
    <n v="447"/>
    <x v="156"/>
  </r>
  <r>
    <x v="22"/>
    <x v="25"/>
    <x v="0"/>
    <n v="424"/>
    <x v="210"/>
  </r>
  <r>
    <x v="22"/>
    <x v="2"/>
    <x v="0"/>
    <n v="513"/>
    <x v="144"/>
  </r>
  <r>
    <x v="22"/>
    <x v="3"/>
    <x v="1"/>
    <n v="611"/>
    <x v="227"/>
  </r>
  <r>
    <x v="22"/>
    <x v="4"/>
    <x v="1"/>
    <n v="525"/>
    <x v="44"/>
  </r>
  <r>
    <x v="22"/>
    <x v="30"/>
    <x v="0"/>
    <n v="398"/>
    <x v="116"/>
  </r>
  <r>
    <x v="22"/>
    <x v="5"/>
    <x v="0"/>
    <n v="387"/>
    <x v="228"/>
  </r>
  <r>
    <x v="22"/>
    <x v="6"/>
    <x v="0"/>
    <n v="381"/>
    <x v="169"/>
  </r>
  <r>
    <x v="22"/>
    <x v="7"/>
    <x v="0"/>
    <n v="396"/>
    <x v="134"/>
  </r>
  <r>
    <x v="22"/>
    <x v="26"/>
    <x v="0"/>
    <n v="441"/>
    <x v="68"/>
  </r>
  <r>
    <x v="22"/>
    <x v="8"/>
    <x v="0"/>
    <n v="565"/>
    <x v="44"/>
  </r>
  <r>
    <x v="22"/>
    <x v="9"/>
    <x v="0"/>
    <n v="458"/>
    <x v="129"/>
  </r>
  <r>
    <x v="22"/>
    <x v="10"/>
    <x v="0"/>
    <n v="388"/>
    <x v="96"/>
  </r>
  <r>
    <x v="22"/>
    <x v="11"/>
    <x v="0"/>
    <n v="550"/>
    <x v="229"/>
  </r>
  <r>
    <x v="22"/>
    <x v="27"/>
    <x v="0"/>
    <n v="531"/>
    <x v="230"/>
  </r>
  <r>
    <x v="22"/>
    <x v="12"/>
    <x v="0"/>
    <n v="506"/>
    <x v="52"/>
  </r>
  <r>
    <x v="22"/>
    <x v="13"/>
    <x v="0"/>
    <n v="527"/>
    <x v="192"/>
  </r>
  <r>
    <x v="22"/>
    <x v="14"/>
    <x v="0"/>
    <n v="468"/>
    <x v="231"/>
  </r>
  <r>
    <x v="22"/>
    <x v="15"/>
    <x v="0"/>
    <n v="475"/>
    <x v="195"/>
  </r>
  <r>
    <x v="22"/>
    <x v="16"/>
    <x v="0"/>
    <n v="351"/>
    <x v="232"/>
  </r>
  <r>
    <x v="22"/>
    <x v="17"/>
    <x v="0"/>
    <n v="405"/>
    <x v="160"/>
  </r>
  <r>
    <x v="22"/>
    <x v="28"/>
    <x v="0"/>
    <n v="441"/>
    <x v="233"/>
  </r>
  <r>
    <x v="22"/>
    <x v="18"/>
    <x v="0"/>
    <n v="381"/>
    <x v="134"/>
  </r>
  <r>
    <x v="22"/>
    <x v="19"/>
    <x v="0"/>
    <n v="323"/>
    <x v="234"/>
  </r>
  <r>
    <x v="22"/>
    <x v="20"/>
    <x v="1"/>
    <n v="459"/>
    <x v="142"/>
  </r>
  <r>
    <x v="22"/>
    <x v="21"/>
    <x v="0"/>
    <n v="545"/>
    <x v="235"/>
  </r>
  <r>
    <x v="22"/>
    <x v="22"/>
    <x v="0"/>
    <n v="359"/>
    <x v="236"/>
  </r>
  <r>
    <x v="22"/>
    <x v="23"/>
    <x v="0"/>
    <n v="342"/>
    <x v="136"/>
  </r>
  <r>
    <x v="22"/>
    <x v="24"/>
    <x v="0"/>
    <n v="368"/>
    <x v="204"/>
  </r>
  <r>
    <x v="22"/>
    <x v="29"/>
    <x v="0"/>
    <n v="496"/>
    <x v="33"/>
  </r>
  <r>
    <x v="23"/>
    <x v="0"/>
    <x v="0"/>
    <n v="458"/>
    <x v="223"/>
  </r>
  <r>
    <x v="23"/>
    <x v="1"/>
    <x v="0"/>
    <n v="531"/>
    <x v="237"/>
  </r>
  <r>
    <x v="23"/>
    <x v="25"/>
    <x v="0"/>
    <n v="486"/>
    <x v="238"/>
  </r>
  <r>
    <x v="23"/>
    <x v="2"/>
    <x v="0"/>
    <n v="363"/>
    <x v="6"/>
  </r>
  <r>
    <x v="23"/>
    <x v="6"/>
    <x v="0"/>
    <n v="528"/>
    <x v="239"/>
  </r>
  <r>
    <x v="23"/>
    <x v="26"/>
    <x v="0"/>
    <n v="391"/>
    <x v="1"/>
  </r>
  <r>
    <x v="23"/>
    <x v="8"/>
    <x v="0"/>
    <n v="339"/>
    <x v="240"/>
  </r>
  <r>
    <x v="23"/>
    <x v="27"/>
    <x v="0"/>
    <n v="423"/>
    <x v="163"/>
  </r>
  <r>
    <x v="23"/>
    <x v="12"/>
    <x v="0"/>
    <n v="402"/>
    <x v="196"/>
  </r>
  <r>
    <x v="23"/>
    <x v="13"/>
    <x v="0"/>
    <n v="398"/>
    <x v="128"/>
  </r>
  <r>
    <x v="23"/>
    <x v="14"/>
    <x v="0"/>
    <n v="343"/>
    <x v="240"/>
  </r>
  <r>
    <x v="23"/>
    <x v="15"/>
    <x v="0"/>
    <n v="503"/>
    <x v="241"/>
  </r>
  <r>
    <x v="23"/>
    <x v="16"/>
    <x v="0"/>
    <n v="415"/>
    <x v="81"/>
  </r>
  <r>
    <x v="23"/>
    <x v="17"/>
    <x v="0"/>
    <n v="516"/>
    <x v="42"/>
  </r>
  <r>
    <x v="23"/>
    <x v="28"/>
    <x v="0"/>
    <n v="439"/>
    <x v="22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940">
  <r>
    <x v="0"/>
    <d v="2016-05-12T00:00:00"/>
    <n v="0"/>
    <n v="0"/>
    <n v="0"/>
    <n v="0"/>
    <n v="0"/>
    <n v="0"/>
    <n v="0"/>
    <n v="0"/>
    <n v="0"/>
    <n v="0"/>
    <n v="0"/>
    <n v="1440"/>
    <n v="0"/>
    <x v="0"/>
    <x v="0"/>
  </r>
  <r>
    <x v="0"/>
    <d v="2016-04-17T00:00:00"/>
    <n v="9705"/>
    <n v="6.4800000190734899"/>
    <n v="6.4800000190734899"/>
    <n v="0"/>
    <n v="3.1900000572204599"/>
    <n v="0.77999997138977095"/>
    <n v="2.5099999904632599"/>
    <n v="0"/>
    <n v="38"/>
    <n v="20"/>
    <n v="164"/>
    <n v="539"/>
    <n v="1728"/>
    <x v="1"/>
    <x v="1"/>
  </r>
  <r>
    <x v="0"/>
    <d v="2016-04-15T00:00:00"/>
    <n v="9762"/>
    <n v="6.2800002098083496"/>
    <n v="6.2800002098083496"/>
    <n v="0"/>
    <n v="2.1400001049041699"/>
    <n v="1.2599999904632599"/>
    <n v="2.8299999237060498"/>
    <n v="0"/>
    <n v="29"/>
    <n v="34"/>
    <n v="209"/>
    <n v="726"/>
    <n v="1745"/>
    <x v="2"/>
    <x v="1"/>
  </r>
  <r>
    <x v="0"/>
    <d v="2016-04-21T00:00:00"/>
    <n v="9819"/>
    <n v="6.3400001525878897"/>
    <n v="6.3400001525878897"/>
    <n v="0"/>
    <n v="1.3400000333786"/>
    <n v="0.34999999403953602"/>
    <n v="4.6500000953674299"/>
    <n v="0"/>
    <n v="19"/>
    <n v="8"/>
    <n v="211"/>
    <n v="838"/>
    <n v="1775"/>
    <x v="0"/>
    <x v="1"/>
  </r>
  <r>
    <x v="0"/>
    <d v="2016-04-24T00:00:00"/>
    <n v="10039"/>
    <n v="6.4099998474121103"/>
    <n v="6.4099998474121103"/>
    <n v="0"/>
    <n v="2.9200000762939502"/>
    <n v="0.20999999344348899"/>
    <n v="3.2799999713897701"/>
    <n v="0"/>
    <n v="39"/>
    <n v="5"/>
    <n v="238"/>
    <n v="709"/>
    <n v="1788"/>
    <x v="1"/>
    <x v="2"/>
  </r>
  <r>
    <x v="0"/>
    <d v="2016-05-08T00:00:00"/>
    <n v="10060"/>
    <n v="6.5799999237060502"/>
    <n v="6.5799999237060502"/>
    <n v="0"/>
    <n v="3.5299999713897701"/>
    <n v="0.31999999284744302"/>
    <n v="2.7300000190734899"/>
    <n v="0"/>
    <n v="44"/>
    <n v="8"/>
    <n v="203"/>
    <n v="574"/>
    <n v="1740"/>
    <x v="1"/>
    <x v="2"/>
  </r>
  <r>
    <x v="0"/>
    <d v="2016-04-14T00:00:00"/>
    <n v="10460"/>
    <n v="6.7399997711181596"/>
    <n v="6.7399997711181596"/>
    <n v="0"/>
    <n v="2.4400000572204599"/>
    <n v="0.40000000596046398"/>
    <n v="3.9100000858306898"/>
    <n v="0"/>
    <n v="30"/>
    <n v="11"/>
    <n v="181"/>
    <n v="1218"/>
    <n v="1776"/>
    <x v="0"/>
    <x v="2"/>
  </r>
  <r>
    <x v="0"/>
    <d v="2016-04-20T00:00:00"/>
    <n v="10544"/>
    <n v="6.6799998283386204"/>
    <n v="6.6799998283386204"/>
    <n v="0"/>
    <n v="1.96000003814697"/>
    <n v="0.479999989271164"/>
    <n v="4.2399997711181596"/>
    <n v="0"/>
    <n v="28"/>
    <n v="12"/>
    <n v="205"/>
    <n v="818"/>
    <n v="1786"/>
    <x v="3"/>
    <x v="2"/>
  </r>
  <r>
    <x v="0"/>
    <d v="2016-05-01T00:00:00"/>
    <n v="10602"/>
    <n v="6.8099999427795401"/>
    <n v="6.8099999427795401"/>
    <n v="0"/>
    <n v="2.28999996185303"/>
    <n v="1.6000000238418599"/>
    <n v="2.9200000762939502"/>
    <n v="0"/>
    <n v="33"/>
    <n v="35"/>
    <n v="246"/>
    <n v="730"/>
    <n v="1820"/>
    <x v="1"/>
    <x v="2"/>
  </r>
  <r>
    <x v="0"/>
    <d v="2016-04-13T00:00:00"/>
    <n v="10735"/>
    <n v="6.9699997901916504"/>
    <n v="6.9699997901916504"/>
    <n v="0"/>
    <n v="1.5700000524520901"/>
    <n v="0.68999999761581399"/>
    <n v="4.71000003814697"/>
    <n v="0"/>
    <n v="21"/>
    <n v="19"/>
    <n v="217"/>
    <n v="776"/>
    <n v="1797"/>
    <x v="3"/>
    <x v="2"/>
  </r>
  <r>
    <x v="0"/>
    <d v="2016-05-04T00:00:00"/>
    <n v="11100"/>
    <n v="7.1500000953674299"/>
    <n v="7.1500000953674299"/>
    <n v="0"/>
    <n v="2.46000003814697"/>
    <n v="0.87000000476837203"/>
    <n v="3.8199999332428001"/>
    <n v="0"/>
    <n v="36"/>
    <n v="22"/>
    <n v="203"/>
    <n v="1179"/>
    <n v="1819"/>
    <x v="3"/>
    <x v="2"/>
  </r>
  <r>
    <x v="0"/>
    <d v="2016-04-29T00:00:00"/>
    <n v="11181"/>
    <n v="7.1500000953674299"/>
    <n v="7.1500000953674299"/>
    <n v="0"/>
    <n v="1.0599999427795399"/>
    <n v="0.5"/>
    <n v="5.5799999237060502"/>
    <n v="0"/>
    <n v="16"/>
    <n v="12"/>
    <n v="243"/>
    <n v="815"/>
    <n v="1837"/>
    <x v="2"/>
    <x v="2"/>
  </r>
  <r>
    <x v="0"/>
    <d v="2016-05-07T00:00:00"/>
    <n v="11992"/>
    <n v="7.71000003814697"/>
    <n v="7.71000003814697"/>
    <n v="0"/>
    <n v="2.46000003814697"/>
    <n v="2.1199998855590798"/>
    <n v="3.1300001144409202"/>
    <n v="0"/>
    <n v="37"/>
    <n v="46"/>
    <n v="175"/>
    <n v="833"/>
    <n v="1821"/>
    <x v="4"/>
    <x v="2"/>
  </r>
  <r>
    <x v="0"/>
    <d v="2016-05-09T00:00:00"/>
    <n v="12022"/>
    <n v="7.7199997901916504"/>
    <n v="7.7199997901916504"/>
    <n v="0"/>
    <n v="3.4500000476837198"/>
    <n v="0.52999997138977095"/>
    <n v="3.7400000095367401"/>
    <n v="0"/>
    <n v="46"/>
    <n v="11"/>
    <n v="206"/>
    <n v="835"/>
    <n v="1819"/>
    <x v="5"/>
    <x v="2"/>
  </r>
  <r>
    <x v="0"/>
    <d v="2016-05-06T00:00:00"/>
    <n v="12159"/>
    <n v="8.0299997329711896"/>
    <n v="8.0299997329711896"/>
    <n v="0"/>
    <n v="1.9700000286102299"/>
    <n v="0.25"/>
    <n v="5.8099999427795401"/>
    <n v="0"/>
    <n v="24"/>
    <n v="6"/>
    <n v="289"/>
    <n v="754"/>
    <n v="1896"/>
    <x v="2"/>
    <x v="2"/>
  </r>
  <r>
    <x v="0"/>
    <d v="2016-05-10T00:00:00"/>
    <n v="12207"/>
    <n v="7.7699999809265101"/>
    <n v="7.7699999809265101"/>
    <n v="0"/>
    <n v="3.3499999046325701"/>
    <n v="1.1599999666214"/>
    <n v="3.2599999904632599"/>
    <n v="0"/>
    <n v="46"/>
    <n v="31"/>
    <n v="214"/>
    <n v="746"/>
    <n v="1859"/>
    <x v="6"/>
    <x v="2"/>
  </r>
  <r>
    <x v="0"/>
    <d v="2016-04-16T00:00:00"/>
    <n v="12669"/>
    <n v="8.1599998474121094"/>
    <n v="8.1599998474121094"/>
    <n v="0"/>
    <n v="2.71000003814697"/>
    <n v="0.40999999642372098"/>
    <n v="5.03999996185303"/>
    <n v="0"/>
    <n v="36"/>
    <n v="10"/>
    <n v="221"/>
    <n v="773"/>
    <n v="1863"/>
    <x v="4"/>
    <x v="2"/>
  </r>
  <r>
    <x v="0"/>
    <d v="2016-04-22T00:00:00"/>
    <n v="12764"/>
    <n v="8.1300001144409197"/>
    <n v="8.1300001144409197"/>
    <n v="0"/>
    <n v="4.7600002288818404"/>
    <n v="1.12000000476837"/>
    <n v="2.2400000095367401"/>
    <n v="0"/>
    <n v="66"/>
    <n v="27"/>
    <n v="130"/>
    <n v="1217"/>
    <n v="1827"/>
    <x v="2"/>
    <x v="2"/>
  </r>
  <r>
    <x v="0"/>
    <d v="2016-05-11T00:00:00"/>
    <n v="12770"/>
    <n v="8.1300001144409197"/>
    <n v="8.1300001144409197"/>
    <n v="0"/>
    <n v="2.5599999427795401"/>
    <n v="1.0099999904632599"/>
    <n v="4.5500001907348597"/>
    <n v="0"/>
    <n v="36"/>
    <n v="23"/>
    <n v="251"/>
    <n v="669"/>
    <n v="1783"/>
    <x v="3"/>
    <x v="2"/>
  </r>
  <r>
    <x v="0"/>
    <d v="2016-04-18T00:00:00"/>
    <n v="13019"/>
    <n v="8.5900001525878906"/>
    <n v="8.5900001525878906"/>
    <n v="0"/>
    <n v="3.25"/>
    <n v="0.63999998569488503"/>
    <n v="4.71000003814697"/>
    <n v="0"/>
    <n v="42"/>
    <n v="16"/>
    <n v="233"/>
    <n v="1149"/>
    <n v="1921"/>
    <x v="5"/>
    <x v="2"/>
  </r>
  <r>
    <x v="0"/>
    <d v="2016-04-28T00:00:00"/>
    <n v="13154"/>
    <n v="8.5299997329711896"/>
    <n v="8.5299997329711896"/>
    <n v="0"/>
    <n v="3.53999996185303"/>
    <n v="1.1599999666214"/>
    <n v="3.78999996185303"/>
    <n v="0"/>
    <n v="48"/>
    <n v="28"/>
    <n v="189"/>
    <n v="782"/>
    <n v="1898"/>
    <x v="0"/>
    <x v="2"/>
  </r>
  <r>
    <x v="0"/>
    <d v="2016-04-12T00:00:00"/>
    <n v="13162"/>
    <n v="8.5"/>
    <n v="8.5"/>
    <n v="0"/>
    <n v="1.87999999523163"/>
    <n v="0.55000001192092896"/>
    <n v="6.0599999427795401"/>
    <n v="0"/>
    <n v="25"/>
    <n v="13"/>
    <n v="328"/>
    <n v="728"/>
    <n v="1985"/>
    <x v="6"/>
    <x v="2"/>
  </r>
  <r>
    <x v="0"/>
    <d v="2016-04-26T00:00:00"/>
    <n v="13755"/>
    <n v="8.7899999618530291"/>
    <n v="8.7899999618530291"/>
    <n v="0"/>
    <n v="2.3299999237060498"/>
    <n v="0.92000001668930098"/>
    <n v="5.53999996185303"/>
    <n v="0"/>
    <n v="31"/>
    <n v="23"/>
    <n v="279"/>
    <n v="833"/>
    <n v="1970"/>
    <x v="6"/>
    <x v="2"/>
  </r>
  <r>
    <x v="0"/>
    <d v="2016-05-05T00:00:00"/>
    <n v="14070"/>
    <n v="8.8999996185302699"/>
    <n v="8.8999996185302699"/>
    <n v="0"/>
    <n v="2.9200000762939502"/>
    <n v="1.08000004291534"/>
    <n v="4.8800001144409197"/>
    <n v="0"/>
    <n v="45"/>
    <n v="24"/>
    <n v="250"/>
    <n v="857"/>
    <n v="1959"/>
    <x v="0"/>
    <x v="2"/>
  </r>
  <r>
    <x v="0"/>
    <d v="2016-04-23T00:00:00"/>
    <n v="14371"/>
    <n v="9.0399999618530291"/>
    <n v="9.0399999618530291"/>
    <n v="0"/>
    <n v="2.8099999427795401"/>
    <n v="0.87000000476837203"/>
    <n v="5.3600001335143999"/>
    <n v="0"/>
    <n v="41"/>
    <n v="21"/>
    <n v="262"/>
    <n v="732"/>
    <n v="1949"/>
    <x v="4"/>
    <x v="2"/>
  </r>
  <r>
    <x v="0"/>
    <d v="2016-04-30T00:00:00"/>
    <n v="14673"/>
    <n v="9.25"/>
    <n v="9.25"/>
    <n v="0"/>
    <n v="3.5599999427795401"/>
    <n v="1.41999995708466"/>
    <n v="4.2699999809265101"/>
    <n v="0"/>
    <n v="52"/>
    <n v="34"/>
    <n v="217"/>
    <n v="712"/>
    <n v="1947"/>
    <x v="4"/>
    <x v="2"/>
  </r>
  <r>
    <x v="0"/>
    <d v="2016-05-02T00:00:00"/>
    <n v="14727"/>
    <n v="9.7100000381469709"/>
    <n v="9.7100000381469709"/>
    <n v="0"/>
    <n v="3.21000003814697"/>
    <n v="0.56999999284744296"/>
    <n v="5.9200000762939498"/>
    <n v="0"/>
    <n v="41"/>
    <n v="15"/>
    <n v="277"/>
    <n v="798"/>
    <n v="2004"/>
    <x v="5"/>
    <x v="2"/>
  </r>
  <r>
    <x v="0"/>
    <d v="2016-05-03T00:00:00"/>
    <n v="15103"/>
    <n v="9.6599998474121094"/>
    <n v="9.6599998474121094"/>
    <n v="0"/>
    <n v="3.7300000190734899"/>
    <n v="1.04999995231628"/>
    <n v="4.8800001144409197"/>
    <n v="0"/>
    <n v="50"/>
    <n v="24"/>
    <n v="254"/>
    <n v="816"/>
    <n v="1990"/>
    <x v="6"/>
    <x v="2"/>
  </r>
  <r>
    <x v="0"/>
    <d v="2016-04-25T00:00:00"/>
    <n v="15355"/>
    <n v="9.8000001907348597"/>
    <n v="9.8000001907348597"/>
    <n v="0"/>
    <n v="5.28999996185303"/>
    <n v="0.56999999284744296"/>
    <n v="3.9400000572204599"/>
    <n v="0"/>
    <n v="73"/>
    <n v="14"/>
    <n v="216"/>
    <n v="814"/>
    <n v="2013"/>
    <x v="5"/>
    <x v="2"/>
  </r>
  <r>
    <x v="0"/>
    <d v="2016-04-19T00:00:00"/>
    <n v="15506"/>
    <n v="9.8800001144409197"/>
    <n v="9.8800001144409197"/>
    <n v="0"/>
    <n v="3.5299999713897701"/>
    <n v="1.3200000524520901"/>
    <n v="5.0300002098083496"/>
    <n v="0"/>
    <n v="50"/>
    <n v="31"/>
    <n v="264"/>
    <n v="775"/>
    <n v="2035"/>
    <x v="6"/>
    <x v="2"/>
  </r>
  <r>
    <x v="0"/>
    <d v="2016-04-27T00:00:00"/>
    <n v="18134"/>
    <n v="12.210000038146999"/>
    <n v="12.210000038146999"/>
    <n v="0"/>
    <n v="6.4000000953674299"/>
    <n v="0.40999999642372098"/>
    <n v="5.4099998474121103"/>
    <n v="0"/>
    <n v="78"/>
    <n v="11"/>
    <n v="243"/>
    <n v="1108"/>
    <n v="2159"/>
    <x v="3"/>
    <x v="2"/>
  </r>
  <r>
    <x v="1"/>
    <d v="2016-04-15T00:00:00"/>
    <n v="1510"/>
    <n v="0.980000019073486"/>
    <n v="0.980000019073486"/>
    <n v="0"/>
    <n v="0"/>
    <n v="0"/>
    <n v="0.97000002861022905"/>
    <n v="0"/>
    <n v="0"/>
    <n v="0"/>
    <n v="96"/>
    <n v="1344"/>
    <n v="1344"/>
    <x v="2"/>
    <x v="0"/>
  </r>
  <r>
    <x v="1"/>
    <d v="2016-05-06T00:00:00"/>
    <n v="1727"/>
    <n v="1.12000000476837"/>
    <n v="1.12000000476837"/>
    <n v="0"/>
    <n v="0"/>
    <n v="0"/>
    <n v="1.12000000476837"/>
    <n v="9.9999997764825804E-3"/>
    <n v="0"/>
    <n v="0"/>
    <n v="102"/>
    <n v="1338"/>
    <n v="1341"/>
    <x v="2"/>
    <x v="0"/>
  </r>
  <r>
    <x v="1"/>
    <d v="2016-05-09T00:00:00"/>
    <n v="1732"/>
    <n v="1.12999999523163"/>
    <n v="1.12999999523163"/>
    <n v="0"/>
    <n v="0"/>
    <n v="0"/>
    <n v="1.12999999523163"/>
    <n v="0"/>
    <n v="0"/>
    <n v="0"/>
    <n v="91"/>
    <n v="1349"/>
    <n v="1328"/>
    <x v="5"/>
    <x v="0"/>
  </r>
  <r>
    <x v="1"/>
    <d v="2016-05-03T00:00:00"/>
    <n v="2100"/>
    <n v="1.37000000476837"/>
    <n v="1.37000000476837"/>
    <n v="0"/>
    <n v="0"/>
    <n v="0"/>
    <n v="1.3400000333786"/>
    <n v="1.9999999552965199E-2"/>
    <n v="0"/>
    <n v="0"/>
    <n v="96"/>
    <n v="1344"/>
    <n v="1334"/>
    <x v="6"/>
    <x v="0"/>
  </r>
  <r>
    <x v="1"/>
    <d v="2016-05-07T00:00:00"/>
    <n v="2104"/>
    <n v="1.37000000476837"/>
    <n v="1.37000000476837"/>
    <n v="0"/>
    <n v="0"/>
    <n v="0"/>
    <n v="1.37000000476837"/>
    <n v="0"/>
    <n v="0"/>
    <n v="0"/>
    <n v="182"/>
    <n v="1258"/>
    <n v="1474"/>
    <x v="4"/>
    <x v="0"/>
  </r>
  <r>
    <x v="1"/>
    <d v="2016-05-04T00:00:00"/>
    <n v="2193"/>
    <n v="1.4299999475479099"/>
    <n v="1.4299999475479099"/>
    <n v="0"/>
    <n v="0"/>
    <n v="0"/>
    <n v="1.41999995708466"/>
    <n v="0"/>
    <n v="0"/>
    <n v="0"/>
    <n v="118"/>
    <n v="1322"/>
    <n v="1368"/>
    <x v="3"/>
    <x v="0"/>
  </r>
  <r>
    <x v="1"/>
    <d v="2016-04-29T00:00:00"/>
    <n v="2390"/>
    <n v="1.54999995231628"/>
    <n v="1.54999995231628"/>
    <n v="0"/>
    <n v="0"/>
    <n v="0"/>
    <n v="1.54999995231628"/>
    <n v="0"/>
    <n v="0"/>
    <n v="0"/>
    <n v="150"/>
    <n v="1290"/>
    <n v="1404"/>
    <x v="2"/>
    <x v="0"/>
  </r>
  <r>
    <x v="1"/>
    <d v="2016-05-05T00:00:00"/>
    <n v="2470"/>
    <n v="1.6100000143051101"/>
    <n v="1.6100000143051101"/>
    <n v="0"/>
    <n v="0"/>
    <n v="0"/>
    <n v="1.58000004291534"/>
    <n v="1.9999999552965199E-2"/>
    <n v="0"/>
    <n v="0"/>
    <n v="117"/>
    <n v="1323"/>
    <n v="1370"/>
    <x v="0"/>
    <x v="0"/>
  </r>
  <r>
    <x v="1"/>
    <d v="2016-04-28T00:00:00"/>
    <n v="2759"/>
    <n v="1.78999996185303"/>
    <n v="1.78999996185303"/>
    <n v="0"/>
    <n v="0"/>
    <n v="0.20000000298023199"/>
    <n v="1.6000000238418599"/>
    <n v="0"/>
    <n v="0"/>
    <n v="5"/>
    <n v="115"/>
    <n v="1320"/>
    <n v="1401"/>
    <x v="0"/>
    <x v="0"/>
  </r>
  <r>
    <x v="1"/>
    <d v="2016-04-26T00:00:00"/>
    <n v="2826"/>
    <n v="1.8400000333786"/>
    <n v="1.8400000333786"/>
    <n v="0"/>
    <n v="0"/>
    <n v="0"/>
    <n v="1.83000004291534"/>
    <n v="9.9999997764825804E-3"/>
    <n v="0"/>
    <n v="0"/>
    <n v="140"/>
    <n v="1300"/>
    <n v="1402"/>
    <x v="6"/>
    <x v="0"/>
  </r>
  <r>
    <x v="1"/>
    <d v="2016-04-19T00:00:00"/>
    <n v="2916"/>
    <n v="1.8999999761581401"/>
    <n v="1.8999999761581401"/>
    <n v="0"/>
    <n v="0"/>
    <n v="0"/>
    <n v="1.8999999761581401"/>
    <n v="0"/>
    <n v="0"/>
    <n v="0"/>
    <n v="141"/>
    <n v="1299"/>
    <n v="1435"/>
    <x v="6"/>
    <x v="0"/>
  </r>
  <r>
    <x v="1"/>
    <d v="2016-05-10T00:00:00"/>
    <n v="2969"/>
    <n v="1.9299999475479099"/>
    <n v="1.9299999475479099"/>
    <n v="0"/>
    <n v="0"/>
    <n v="0"/>
    <n v="1.91999995708466"/>
    <n v="9.9999997764825804E-3"/>
    <n v="0"/>
    <n v="0"/>
    <n v="139"/>
    <n v="1301"/>
    <n v="1393"/>
    <x v="6"/>
    <x v="0"/>
  </r>
  <r>
    <x v="1"/>
    <d v="2016-05-12T00:00:00"/>
    <n v="2971"/>
    <n v="1.9299999475479099"/>
    <n v="1.9299999475479099"/>
    <n v="0"/>
    <n v="0"/>
    <n v="0"/>
    <n v="1.91999995708466"/>
    <n v="9.9999997764825804E-3"/>
    <n v="0"/>
    <n v="0"/>
    <n v="107"/>
    <n v="890"/>
    <n v="1002"/>
    <x v="0"/>
    <x v="0"/>
  </r>
  <r>
    <x v="1"/>
    <d v="2016-05-11T00:00:00"/>
    <n v="3134"/>
    <n v="2.03999996185303"/>
    <n v="2.03999996185303"/>
    <n v="0"/>
    <n v="0"/>
    <n v="0"/>
    <n v="2.03999996185303"/>
    <n v="0"/>
    <n v="0"/>
    <n v="0"/>
    <n v="112"/>
    <n v="1328"/>
    <n v="1359"/>
    <x v="3"/>
    <x v="0"/>
  </r>
  <r>
    <x v="1"/>
    <d v="2016-05-08T00:00:00"/>
    <n v="3427"/>
    <n v="2.2300000190734899"/>
    <n v="2.2300000190734899"/>
    <n v="0"/>
    <n v="0"/>
    <n v="0"/>
    <n v="2.2200000286102299"/>
    <n v="0"/>
    <n v="0"/>
    <n v="0"/>
    <n v="152"/>
    <n v="1288"/>
    <n v="1427"/>
    <x v="1"/>
    <x v="0"/>
  </r>
  <r>
    <x v="1"/>
    <d v="2016-04-22T00:00:00"/>
    <n v="4026"/>
    <n v="2.6199998855590798"/>
    <n v="2.6199998855590798"/>
    <n v="0"/>
    <n v="0"/>
    <n v="0"/>
    <n v="2.5999999046325701"/>
    <n v="0"/>
    <n v="0"/>
    <n v="0"/>
    <n v="199"/>
    <n v="1241"/>
    <n v="1470"/>
    <x v="2"/>
    <x v="0"/>
  </r>
  <r>
    <x v="1"/>
    <d v="2016-04-20T00:00:00"/>
    <n v="4974"/>
    <n v="3.2300000190734899"/>
    <n v="3.2300000190734899"/>
    <n v="0"/>
    <n v="0"/>
    <n v="0"/>
    <n v="3.2300000190734899"/>
    <n v="0"/>
    <n v="0"/>
    <n v="0"/>
    <n v="151"/>
    <n v="1289"/>
    <n v="1446"/>
    <x v="3"/>
    <x v="0"/>
  </r>
  <r>
    <x v="1"/>
    <d v="2016-04-16T00:00:00"/>
    <n v="5370"/>
    <n v="3.4900000095367401"/>
    <n v="3.4900000095367401"/>
    <n v="0"/>
    <n v="0"/>
    <n v="0"/>
    <n v="3.4900000095367401"/>
    <n v="0"/>
    <n v="0"/>
    <n v="0"/>
    <n v="176"/>
    <n v="1264"/>
    <n v="1463"/>
    <x v="4"/>
    <x v="3"/>
  </r>
  <r>
    <x v="1"/>
    <d v="2016-04-24T00:00:00"/>
    <n v="6076"/>
    <n v="3.9500000476837198"/>
    <n v="3.9500000476837198"/>
    <n v="0"/>
    <n v="1.1499999761581401"/>
    <n v="0.91000002622604403"/>
    <n v="1.8899999856948899"/>
    <n v="0"/>
    <n v="16"/>
    <n v="18"/>
    <n v="185"/>
    <n v="1221"/>
    <n v="1617"/>
    <x v="1"/>
    <x v="3"/>
  </r>
  <r>
    <x v="1"/>
    <d v="2016-04-17T00:00:00"/>
    <n v="6175"/>
    <n v="4.0599999427795401"/>
    <n v="4.0599999427795401"/>
    <n v="0"/>
    <n v="1.0299999713897701"/>
    <n v="1.5199999809265099"/>
    <n v="1.4900000095367401"/>
    <n v="9.9999997764825804E-3"/>
    <n v="15"/>
    <n v="22"/>
    <n v="127"/>
    <n v="1276"/>
    <n v="1554"/>
    <x v="1"/>
    <x v="3"/>
  </r>
  <r>
    <x v="1"/>
    <d v="2016-04-21T00:00:00"/>
    <n v="6349"/>
    <n v="4.1300001144409197"/>
    <n v="4.1300001144409197"/>
    <n v="0"/>
    <n v="0"/>
    <n v="0"/>
    <n v="4.1100001335143999"/>
    <n v="1.9999999552965199E-2"/>
    <n v="0"/>
    <n v="0"/>
    <n v="186"/>
    <n v="1254"/>
    <n v="1467"/>
    <x v="0"/>
    <x v="3"/>
  </r>
  <r>
    <x v="1"/>
    <d v="2016-04-30T00:00:00"/>
    <n v="6474"/>
    <n v="4.3000001907348597"/>
    <n v="4.3000001907348597"/>
    <n v="0"/>
    <n v="0.89999997615814198"/>
    <n v="1.2799999713897701"/>
    <n v="2.1199998855590798"/>
    <n v="9.9999997764825804E-3"/>
    <n v="11"/>
    <n v="23"/>
    <n v="224"/>
    <n v="1182"/>
    <n v="1655"/>
    <x v="4"/>
    <x v="3"/>
  </r>
  <r>
    <x v="1"/>
    <d v="2016-04-25T00:00:00"/>
    <n v="6497"/>
    <n v="4.2199997901916504"/>
    <n v="4.2199997901916504"/>
    <n v="0"/>
    <n v="0"/>
    <n v="0"/>
    <n v="4.1999998092651403"/>
    <n v="1.9999999552965199E-2"/>
    <n v="0"/>
    <n v="0"/>
    <n v="202"/>
    <n v="1238"/>
    <n v="1492"/>
    <x v="5"/>
    <x v="3"/>
  </r>
  <r>
    <x v="1"/>
    <d v="2016-04-13T00:00:00"/>
    <n v="7007"/>
    <n v="4.5500001907348597"/>
    <n v="4.5500001907348597"/>
    <n v="0"/>
    <n v="0"/>
    <n v="0"/>
    <n v="4.5500001907348597"/>
    <n v="0"/>
    <n v="0"/>
    <n v="0"/>
    <n v="148"/>
    <n v="1292"/>
    <n v="1411"/>
    <x v="3"/>
    <x v="3"/>
  </r>
  <r>
    <x v="1"/>
    <d v="2016-05-02T00:00:00"/>
    <n v="7155"/>
    <n v="4.9299998283386204"/>
    <n v="4.9299998283386204"/>
    <n v="0"/>
    <n v="0.86000001430511497"/>
    <n v="0.58999997377395597"/>
    <n v="3.4700000286102299"/>
    <n v="0"/>
    <n v="7"/>
    <n v="6"/>
    <n v="166"/>
    <n v="1261"/>
    <n v="1497"/>
    <x v="5"/>
    <x v="3"/>
  </r>
  <r>
    <x v="1"/>
    <d v="2016-04-12T00:00:00"/>
    <n v="8163"/>
    <n v="5.3099999427795401"/>
    <n v="5.3099999427795401"/>
    <n v="0"/>
    <n v="0"/>
    <n v="0"/>
    <n v="5.3099999427795401"/>
    <n v="0"/>
    <n v="0"/>
    <n v="0"/>
    <n v="146"/>
    <n v="1294"/>
    <n v="1432"/>
    <x v="6"/>
    <x v="1"/>
  </r>
  <r>
    <x v="1"/>
    <d v="2016-04-27T00:00:00"/>
    <n v="8367"/>
    <n v="5.4400000572204599"/>
    <n v="5.4400000572204599"/>
    <n v="0"/>
    <n v="1.1100000143051101"/>
    <n v="1.87000000476837"/>
    <n v="2.46000003814697"/>
    <n v="0"/>
    <n v="17"/>
    <n v="36"/>
    <n v="154"/>
    <n v="1233"/>
    <n v="1670"/>
    <x v="3"/>
    <x v="1"/>
  </r>
  <r>
    <x v="1"/>
    <d v="2016-04-23T00:00:00"/>
    <n v="8538"/>
    <n v="5.5500001907348597"/>
    <n v="5.5500001907348597"/>
    <n v="0"/>
    <n v="0"/>
    <n v="0"/>
    <n v="5.53999996185303"/>
    <n v="9.9999997764825804E-3"/>
    <n v="0"/>
    <n v="0"/>
    <n v="227"/>
    <n v="1213"/>
    <n v="1562"/>
    <x v="4"/>
    <x v="1"/>
  </r>
  <r>
    <x v="1"/>
    <d v="2016-04-14T00:00:00"/>
    <n v="9107"/>
    <n v="5.9200000762939498"/>
    <n v="5.9200000762939498"/>
    <n v="0"/>
    <n v="0"/>
    <n v="0"/>
    <n v="5.9099998474121103"/>
    <n v="9.9999997764825804E-3"/>
    <n v="0"/>
    <n v="0"/>
    <n v="236"/>
    <n v="1204"/>
    <n v="1572"/>
    <x v="0"/>
    <x v="1"/>
  </r>
  <r>
    <x v="1"/>
    <d v="2016-04-18T00:00:00"/>
    <n v="10536"/>
    <n v="7.4099998474121103"/>
    <n v="7.4099998474121103"/>
    <n v="0"/>
    <n v="2.1500000953674299"/>
    <n v="0.62000000476837203"/>
    <n v="4.6199998855590803"/>
    <n v="9.9999997764825804E-3"/>
    <n v="17"/>
    <n v="7"/>
    <n v="202"/>
    <n v="1214"/>
    <n v="1604"/>
    <x v="5"/>
    <x v="2"/>
  </r>
  <r>
    <x v="1"/>
    <d v="2016-05-01T00:00:00"/>
    <n v="36019"/>
    <n v="28.030000686645501"/>
    <n v="28.030000686645501"/>
    <n v="0"/>
    <n v="21.920000076293899"/>
    <n v="4.1900000572204599"/>
    <n v="1.9099999666214"/>
    <n v="1.9999999552965199E-2"/>
    <n v="186"/>
    <n v="63"/>
    <n v="171"/>
    <n v="1020"/>
    <n v="2690"/>
    <x v="1"/>
    <x v="2"/>
  </r>
  <r>
    <x v="2"/>
    <d v="2016-04-21T00:00:00"/>
    <n v="1223"/>
    <n v="0.88999998569488503"/>
    <n v="0.88999998569488503"/>
    <n v="0"/>
    <n v="0"/>
    <n v="0"/>
    <n v="0.87999999523162797"/>
    <n v="9.9999997764825804E-3"/>
    <n v="0"/>
    <n v="0"/>
    <n v="38"/>
    <n v="1402"/>
    <n v="2140"/>
    <x v="0"/>
    <x v="0"/>
  </r>
  <r>
    <x v="2"/>
    <d v="2016-05-11T00:00:00"/>
    <n v="1329"/>
    <n v="0.97000002861022905"/>
    <n v="0.97000002861022905"/>
    <n v="0"/>
    <n v="0"/>
    <n v="0"/>
    <n v="0.94999998807907104"/>
    <n v="9.9999997764825804E-3"/>
    <n v="0"/>
    <n v="0"/>
    <n v="49"/>
    <n v="713"/>
    <n v="1276"/>
    <x v="3"/>
    <x v="0"/>
  </r>
  <r>
    <x v="2"/>
    <d v="2016-05-04T00:00:00"/>
    <n v="2309"/>
    <n v="1.6799999475479099"/>
    <n v="1.6799999475479099"/>
    <n v="0"/>
    <n v="0"/>
    <n v="0"/>
    <n v="1.6599999666214"/>
    <n v="1.9999999552965199E-2"/>
    <n v="0"/>
    <n v="0"/>
    <n v="52"/>
    <n v="1388"/>
    <n v="2222"/>
    <x v="3"/>
    <x v="0"/>
  </r>
  <r>
    <x v="2"/>
    <d v="2016-04-20T00:00:00"/>
    <n v="2436"/>
    <n v="1.7699999809265099"/>
    <n v="1.7699999809265099"/>
    <n v="0"/>
    <n v="0"/>
    <n v="0"/>
    <n v="1.7599999904632599"/>
    <n v="9.9999997764825804E-3"/>
    <n v="0"/>
    <n v="0"/>
    <n v="125"/>
    <n v="1315"/>
    <n v="2430"/>
    <x v="3"/>
    <x v="0"/>
  </r>
  <r>
    <x v="2"/>
    <d v="2016-04-27T00:00:00"/>
    <n v="3032"/>
    <n v="2.2000000476837198"/>
    <n v="2.2000000476837198"/>
    <n v="0"/>
    <n v="0"/>
    <n v="0"/>
    <n v="2.2000000476837198"/>
    <n v="0"/>
    <n v="0"/>
    <n v="0"/>
    <n v="118"/>
    <n v="1322"/>
    <n v="2489"/>
    <x v="3"/>
    <x v="0"/>
  </r>
  <r>
    <x v="2"/>
    <d v="2016-04-29T00:00:00"/>
    <n v="3176"/>
    <n v="2.3099999427795401"/>
    <n v="2.3099999427795401"/>
    <n v="0"/>
    <n v="0"/>
    <n v="0"/>
    <n v="2.3099999427795401"/>
    <n v="0"/>
    <n v="0"/>
    <n v="0"/>
    <n v="120"/>
    <n v="1193"/>
    <n v="2498"/>
    <x v="2"/>
    <x v="0"/>
  </r>
  <r>
    <x v="2"/>
    <d v="2016-04-24T00:00:00"/>
    <n v="3321"/>
    <n v="2.4100000858306898"/>
    <n v="2.4100000858306898"/>
    <n v="0"/>
    <n v="0"/>
    <n v="0"/>
    <n v="2.4100000858306898"/>
    <n v="0"/>
    <n v="0"/>
    <n v="0"/>
    <n v="89"/>
    <n v="1351"/>
    <n v="2413"/>
    <x v="1"/>
    <x v="0"/>
  </r>
  <r>
    <x v="2"/>
    <d v="2016-04-25T00:00:00"/>
    <n v="3580"/>
    <n v="2.5999999046325701"/>
    <n v="2.5999999046325701"/>
    <n v="0"/>
    <n v="0.58999997377395597"/>
    <n v="5.9999998658895499E-2"/>
    <n v="1.95000004768372"/>
    <n v="0"/>
    <n v="8"/>
    <n v="1"/>
    <n v="94"/>
    <n v="1337"/>
    <n v="2497"/>
    <x v="5"/>
    <x v="0"/>
  </r>
  <r>
    <x v="2"/>
    <d v="2016-04-22T00:00:00"/>
    <n v="3673"/>
    <n v="2.6700000762939502"/>
    <n v="2.6700000762939502"/>
    <n v="0"/>
    <n v="0"/>
    <n v="0"/>
    <n v="2.6600000858306898"/>
    <n v="9.9999997764825804E-3"/>
    <n v="0"/>
    <n v="0"/>
    <n v="86"/>
    <n v="1354"/>
    <n v="2344"/>
    <x v="2"/>
    <x v="0"/>
  </r>
  <r>
    <x v="2"/>
    <d v="2016-05-02T00:00:00"/>
    <n v="3758"/>
    <n v="2.7300000190734899"/>
    <n v="2.7300000190734899"/>
    <n v="0"/>
    <n v="7.0000000298023196E-2"/>
    <n v="0.31000000238418601"/>
    <n v="2.3499999046325701"/>
    <n v="0"/>
    <n v="1"/>
    <n v="7"/>
    <n v="148"/>
    <n v="682"/>
    <n v="2580"/>
    <x v="5"/>
    <x v="0"/>
  </r>
  <r>
    <x v="2"/>
    <d v="2016-05-05T00:00:00"/>
    <n v="4363"/>
    <n v="3.1900000572204599"/>
    <n v="3.1900000572204599"/>
    <n v="0"/>
    <n v="0.519999980926514"/>
    <n v="0.54000002145767201"/>
    <n v="2.1300001144409202"/>
    <n v="9.9999997764825804E-3"/>
    <n v="6"/>
    <n v="12"/>
    <n v="81"/>
    <n v="1341"/>
    <n v="2463"/>
    <x v="0"/>
    <x v="0"/>
  </r>
  <r>
    <x v="2"/>
    <d v="2016-04-15T00:00:00"/>
    <n v="5263"/>
    <n v="3.8299999237060498"/>
    <n v="3.8299999237060498"/>
    <n v="0"/>
    <n v="0.21999999880790699"/>
    <n v="0.15000000596046401"/>
    <n v="3.4500000476837198"/>
    <n v="0"/>
    <n v="3"/>
    <n v="4"/>
    <n v="170"/>
    <n v="1263"/>
    <n v="2750"/>
    <x v="2"/>
    <x v="3"/>
  </r>
  <r>
    <x v="2"/>
    <d v="2016-05-01T00:00:00"/>
    <n v="6132"/>
    <n v="4.46000003814697"/>
    <n v="4.46000003814697"/>
    <n v="0"/>
    <n v="0.239999994635582"/>
    <n v="0.99000000953674305"/>
    <n v="3.2300000190734899"/>
    <n v="0"/>
    <n v="3"/>
    <n v="24"/>
    <n v="146"/>
    <n v="908"/>
    <n v="2696"/>
    <x v="1"/>
    <x v="3"/>
  </r>
  <r>
    <x v="2"/>
    <d v="2016-04-23T00:00:00"/>
    <n v="6637"/>
    <n v="4.8299999237060502"/>
    <n v="4.8299999237060502"/>
    <n v="0"/>
    <n v="0"/>
    <n v="0.57999998331069902"/>
    <n v="4.25"/>
    <n v="0"/>
    <n v="0"/>
    <n v="15"/>
    <n v="160"/>
    <n v="1265"/>
    <n v="2677"/>
    <x v="4"/>
    <x v="3"/>
  </r>
  <r>
    <x v="2"/>
    <d v="2016-05-09T00:00:00"/>
    <n v="6643"/>
    <n v="4.8299999237060502"/>
    <n v="4.8299999237060502"/>
    <n v="0"/>
    <n v="2.3900001049041699"/>
    <n v="0.34999999403953602"/>
    <n v="2.0899999141693102"/>
    <n v="9.9999997764825804E-3"/>
    <n v="32"/>
    <n v="6"/>
    <n v="303"/>
    <n v="1099"/>
    <n v="3008"/>
    <x v="5"/>
    <x v="3"/>
  </r>
  <r>
    <x v="2"/>
    <d v="2016-05-08T00:00:00"/>
    <n v="6724"/>
    <n v="4.8899998664856001"/>
    <n v="4.8899998664856001"/>
    <n v="0"/>
    <n v="0"/>
    <n v="0"/>
    <n v="4.8800001144409197"/>
    <n v="0"/>
    <n v="0"/>
    <n v="0"/>
    <n v="295"/>
    <n v="991"/>
    <n v="2987"/>
    <x v="1"/>
    <x v="3"/>
  </r>
  <r>
    <x v="2"/>
    <d v="2016-04-18T00:00:00"/>
    <n v="7132"/>
    <n v="5.1900000572204599"/>
    <n v="5.1900000572204599"/>
    <n v="0"/>
    <n v="1.0700000524520901"/>
    <n v="1.66999995708466"/>
    <n v="2.4500000476837198"/>
    <n v="0"/>
    <n v="15"/>
    <n v="33"/>
    <n v="121"/>
    <n v="1271"/>
    <n v="2806"/>
    <x v="5"/>
    <x v="3"/>
  </r>
  <r>
    <x v="2"/>
    <d v="2016-04-13T00:00:00"/>
    <n v="8001"/>
    <n v="5.8200001716613796"/>
    <n v="5.8200001716613796"/>
    <n v="0"/>
    <n v="2.2799999713897701"/>
    <n v="0.89999997615814198"/>
    <n v="2.6400001049041699"/>
    <n v="0"/>
    <n v="30"/>
    <n v="16"/>
    <n v="135"/>
    <n v="1259"/>
    <n v="2902"/>
    <x v="3"/>
    <x v="1"/>
  </r>
  <r>
    <x v="2"/>
    <d v="2016-04-17T00:00:00"/>
    <n v="8757"/>
    <n v="6.3699998855590803"/>
    <n v="6.3699998855590803"/>
    <n v="0"/>
    <n v="2.25"/>
    <n v="0.56999999284744296"/>
    <n v="3.5499999523162802"/>
    <n v="0"/>
    <n v="29"/>
    <n v="13"/>
    <n v="186"/>
    <n v="1212"/>
    <n v="3011"/>
    <x v="1"/>
    <x v="1"/>
  </r>
  <r>
    <x v="2"/>
    <d v="2016-05-10T00:00:00"/>
    <n v="9167"/>
    <n v="6.6599998474121103"/>
    <n v="6.6599998474121103"/>
    <n v="0"/>
    <n v="0.87999999523162797"/>
    <n v="0.81000000238418601"/>
    <n v="4.9699997901916504"/>
    <n v="9.9999997764825804E-3"/>
    <n v="12"/>
    <n v="19"/>
    <n v="155"/>
    <n v="1254"/>
    <n v="2799"/>
    <x v="6"/>
    <x v="1"/>
  </r>
  <r>
    <x v="2"/>
    <d v="2016-04-28T00:00:00"/>
    <n v="9405"/>
    <n v="6.8400001525878897"/>
    <n v="6.8400001525878897"/>
    <n v="0"/>
    <n v="0.20000000298023199"/>
    <n v="2.3199999332428001"/>
    <n v="4.3099999427795401"/>
    <n v="0"/>
    <n v="3"/>
    <n v="53"/>
    <n v="227"/>
    <n v="1157"/>
    <n v="3108"/>
    <x v="0"/>
    <x v="1"/>
  </r>
  <r>
    <x v="2"/>
    <d v="2016-05-06T00:00:00"/>
    <n v="9787"/>
    <n v="7.1199998855590803"/>
    <n v="7.1199998855590803"/>
    <n v="0"/>
    <n v="0.81999999284744296"/>
    <n v="0.270000010728836"/>
    <n v="6.0100002288818404"/>
    <n v="1.9999999552965199E-2"/>
    <n v="11"/>
    <n v="6"/>
    <n v="369"/>
    <n v="1054"/>
    <n v="3328"/>
    <x v="2"/>
    <x v="1"/>
  </r>
  <r>
    <x v="2"/>
    <d v="2016-04-26T00:00:00"/>
    <n v="9919"/>
    <n v="7.21000003814697"/>
    <n v="7.21000003814697"/>
    <n v="0"/>
    <n v="0.80000001192092896"/>
    <n v="1.7200000286102299"/>
    <n v="4.6900000572204599"/>
    <n v="0"/>
    <n v="11"/>
    <n v="41"/>
    <n v="223"/>
    <n v="1165"/>
    <n v="3123"/>
    <x v="6"/>
    <x v="1"/>
  </r>
  <r>
    <x v="2"/>
    <d v="2016-04-12T00:00:00"/>
    <n v="10694"/>
    <n v="7.7699999809265101"/>
    <n v="7.7699999809265101"/>
    <n v="0"/>
    <n v="0.140000000596046"/>
    <n v="2.2999999523162802"/>
    <n v="5.3299999237060502"/>
    <n v="0"/>
    <n v="2"/>
    <n v="51"/>
    <n v="256"/>
    <n v="1131"/>
    <n v="3199"/>
    <x v="6"/>
    <x v="2"/>
  </r>
  <r>
    <x v="2"/>
    <d v="2016-04-14T00:00:00"/>
    <n v="11037"/>
    <n v="8.0200004577636701"/>
    <n v="8.0200004577636701"/>
    <n v="0"/>
    <n v="0.36000001430511502"/>
    <n v="2.5599999427795401"/>
    <n v="5.0999999046325701"/>
    <n v="0"/>
    <n v="5"/>
    <n v="58"/>
    <n v="252"/>
    <n v="1125"/>
    <n v="3226"/>
    <x v="0"/>
    <x v="2"/>
  </r>
  <r>
    <x v="2"/>
    <d v="2016-04-19T00:00:00"/>
    <n v="11256"/>
    <n v="8.1800003051757795"/>
    <n v="8.1800003051757795"/>
    <n v="0"/>
    <n v="0.36000001430511502"/>
    <n v="2.5299999713897701"/>
    <n v="5.3000001907348597"/>
    <n v="0"/>
    <n v="5"/>
    <n v="58"/>
    <n v="278"/>
    <n v="1099"/>
    <n v="3300"/>
    <x v="6"/>
    <x v="2"/>
  </r>
  <r>
    <x v="2"/>
    <d v="2016-05-03T00:00:00"/>
    <n v="12850"/>
    <n v="9.3400001525878906"/>
    <n v="9.3400001525878906"/>
    <n v="0"/>
    <n v="0.72000002861022905"/>
    <n v="4.0900001525878897"/>
    <n v="4.53999996185303"/>
    <n v="0"/>
    <n v="10"/>
    <n v="94"/>
    <n v="221"/>
    <n v="1115"/>
    <n v="3324"/>
    <x v="6"/>
    <x v="2"/>
  </r>
  <r>
    <x v="2"/>
    <d v="2016-05-07T00:00:00"/>
    <n v="13372"/>
    <n v="9.7200002670288104"/>
    <n v="9.7200002670288104"/>
    <n v="0"/>
    <n v="3.2599999904632599"/>
    <n v="0.79000002145767201"/>
    <n v="5.6700000762939498"/>
    <n v="9.9999997764825804E-3"/>
    <n v="41"/>
    <n v="17"/>
    <n v="243"/>
    <n v="1139"/>
    <n v="3404"/>
    <x v="4"/>
    <x v="2"/>
  </r>
  <r>
    <x v="2"/>
    <d v="2016-04-16T00:00:00"/>
    <n v="15300"/>
    <n v="11.1199998855591"/>
    <n v="11.1199998855591"/>
    <n v="0"/>
    <n v="4.0999999046325701"/>
    <n v="1.87999999523163"/>
    <n v="5.0900001525878897"/>
    <n v="0"/>
    <n v="51"/>
    <n v="42"/>
    <n v="212"/>
    <n v="1135"/>
    <n v="3493"/>
    <x v="4"/>
    <x v="2"/>
  </r>
  <r>
    <x v="2"/>
    <d v="2016-04-30T00:00:00"/>
    <n v="18213"/>
    <n v="13.2399997711182"/>
    <n v="13.2399997711182"/>
    <n v="0"/>
    <n v="0.62999999523162797"/>
    <n v="3.1400001049041699"/>
    <n v="9.4600000381469709"/>
    <n v="0"/>
    <n v="9"/>
    <n v="71"/>
    <n v="402"/>
    <n v="816"/>
    <n v="3846"/>
    <x v="4"/>
    <x v="2"/>
  </r>
  <r>
    <x v="3"/>
    <d v="2016-04-24T00:00:00"/>
    <n v="0"/>
    <n v="0"/>
    <n v="0"/>
    <n v="0"/>
    <n v="0"/>
    <n v="0"/>
    <n v="0"/>
    <n v="0"/>
    <n v="0"/>
    <n v="0"/>
    <n v="0"/>
    <n v="1440"/>
    <n v="1347"/>
    <x v="1"/>
    <x v="0"/>
  </r>
  <r>
    <x v="3"/>
    <d v="2016-04-25T00:00:00"/>
    <n v="0"/>
    <n v="0"/>
    <n v="0"/>
    <n v="0"/>
    <n v="0"/>
    <n v="0"/>
    <n v="0"/>
    <n v="0"/>
    <n v="0"/>
    <n v="0"/>
    <n v="0"/>
    <n v="1440"/>
    <n v="1347"/>
    <x v="5"/>
    <x v="0"/>
  </r>
  <r>
    <x v="3"/>
    <d v="2016-04-26T00:00:00"/>
    <n v="0"/>
    <n v="0"/>
    <n v="0"/>
    <n v="0"/>
    <n v="0"/>
    <n v="0"/>
    <n v="0"/>
    <n v="0"/>
    <n v="0"/>
    <n v="0"/>
    <n v="0"/>
    <n v="1440"/>
    <n v="1347"/>
    <x v="6"/>
    <x v="0"/>
  </r>
  <r>
    <x v="3"/>
    <d v="2016-05-02T00:00:00"/>
    <n v="0"/>
    <n v="0"/>
    <n v="0"/>
    <n v="0"/>
    <n v="0"/>
    <n v="0"/>
    <n v="0"/>
    <n v="0"/>
    <n v="0"/>
    <n v="0"/>
    <n v="0"/>
    <n v="1440"/>
    <n v="1348"/>
    <x v="5"/>
    <x v="0"/>
  </r>
  <r>
    <x v="3"/>
    <d v="2016-05-07T00:00:00"/>
    <n v="0"/>
    <n v="0"/>
    <n v="0"/>
    <n v="0"/>
    <n v="0"/>
    <n v="0"/>
    <n v="0"/>
    <n v="0"/>
    <n v="0"/>
    <n v="0"/>
    <n v="0"/>
    <n v="1440"/>
    <n v="1347"/>
    <x v="4"/>
    <x v="0"/>
  </r>
  <r>
    <x v="3"/>
    <d v="2016-05-08T00:00:00"/>
    <n v="0"/>
    <n v="0"/>
    <n v="0"/>
    <n v="0"/>
    <n v="0"/>
    <n v="0"/>
    <n v="0"/>
    <n v="0"/>
    <n v="0"/>
    <n v="0"/>
    <n v="0"/>
    <n v="1440"/>
    <n v="1347"/>
    <x v="1"/>
    <x v="0"/>
  </r>
  <r>
    <x v="3"/>
    <d v="2016-05-09T00:00:00"/>
    <n v="0"/>
    <n v="0"/>
    <n v="0"/>
    <n v="0"/>
    <n v="0"/>
    <n v="0"/>
    <n v="0"/>
    <n v="0"/>
    <n v="0"/>
    <n v="0"/>
    <n v="0"/>
    <n v="1440"/>
    <n v="1347"/>
    <x v="5"/>
    <x v="0"/>
  </r>
  <r>
    <x v="3"/>
    <d v="2016-05-10T00:00:00"/>
    <n v="0"/>
    <n v="0"/>
    <n v="0"/>
    <n v="0"/>
    <n v="0"/>
    <n v="0"/>
    <n v="0"/>
    <n v="0"/>
    <n v="0"/>
    <n v="0"/>
    <n v="0"/>
    <n v="1440"/>
    <n v="1347"/>
    <x v="6"/>
    <x v="0"/>
  </r>
  <r>
    <x v="3"/>
    <d v="2016-05-11T00:00:00"/>
    <n v="0"/>
    <n v="0"/>
    <n v="0"/>
    <n v="0"/>
    <n v="0"/>
    <n v="0"/>
    <n v="0"/>
    <n v="0"/>
    <n v="0"/>
    <n v="0"/>
    <n v="0"/>
    <n v="1440"/>
    <n v="1347"/>
    <x v="3"/>
    <x v="0"/>
  </r>
  <r>
    <x v="3"/>
    <d v="2016-05-12T00:00:00"/>
    <n v="0"/>
    <n v="0"/>
    <n v="0"/>
    <n v="0"/>
    <n v="0"/>
    <n v="0"/>
    <n v="0"/>
    <n v="0"/>
    <n v="0"/>
    <n v="0"/>
    <n v="0"/>
    <n v="711"/>
    <n v="665"/>
    <x v="0"/>
    <x v="0"/>
  </r>
  <r>
    <x v="3"/>
    <d v="2016-04-27T00:00:00"/>
    <n v="4"/>
    <n v="0"/>
    <n v="0"/>
    <n v="0"/>
    <n v="0"/>
    <n v="0"/>
    <n v="0"/>
    <n v="0"/>
    <n v="0"/>
    <n v="0"/>
    <n v="1"/>
    <n v="1439"/>
    <n v="1348"/>
    <x v="3"/>
    <x v="0"/>
  </r>
  <r>
    <x v="3"/>
    <d v="2016-04-20T00:00:00"/>
    <n v="8"/>
    <n v="9.9999997764825804E-3"/>
    <n v="9.9999997764825804E-3"/>
    <n v="0"/>
    <n v="0"/>
    <n v="0"/>
    <n v="9.9999997764825804E-3"/>
    <n v="0"/>
    <n v="0"/>
    <n v="0"/>
    <n v="1"/>
    <n v="1439"/>
    <n v="1349"/>
    <x v="3"/>
    <x v="0"/>
  </r>
  <r>
    <x v="3"/>
    <d v="2016-05-06T00:00:00"/>
    <n v="44"/>
    <n v="2.9999999329447701E-2"/>
    <n v="2.9999999329447701E-2"/>
    <n v="0"/>
    <n v="0"/>
    <n v="0"/>
    <n v="2.9999999329447701E-2"/>
    <n v="0"/>
    <n v="0"/>
    <n v="0"/>
    <n v="2"/>
    <n v="1438"/>
    <n v="1351"/>
    <x v="2"/>
    <x v="0"/>
  </r>
  <r>
    <x v="3"/>
    <d v="2016-04-19T00:00:00"/>
    <n v="197"/>
    <n v="0.129999995231628"/>
    <n v="0.129999995231628"/>
    <n v="0"/>
    <n v="0"/>
    <n v="0"/>
    <n v="0.129999995231628"/>
    <n v="0"/>
    <n v="0"/>
    <n v="0"/>
    <n v="10"/>
    <n v="1430"/>
    <n v="1366"/>
    <x v="6"/>
    <x v="0"/>
  </r>
  <r>
    <x v="3"/>
    <d v="2016-05-04T00:00:00"/>
    <n v="2080"/>
    <n v="1.37000000476837"/>
    <n v="1.37000000476837"/>
    <n v="0"/>
    <n v="0"/>
    <n v="0"/>
    <n v="1.37000000476837"/>
    <n v="0"/>
    <n v="0"/>
    <n v="0"/>
    <n v="87"/>
    <n v="1353"/>
    <n v="1549"/>
    <x v="3"/>
    <x v="0"/>
  </r>
  <r>
    <x v="3"/>
    <d v="2016-05-05T00:00:00"/>
    <n v="2237"/>
    <n v="1.4800000190734901"/>
    <n v="1.4800000190734901"/>
    <n v="0"/>
    <n v="0"/>
    <n v="0"/>
    <n v="1.4800000190734901"/>
    <n v="0"/>
    <n v="0"/>
    <n v="0"/>
    <n v="120"/>
    <n v="1320"/>
    <n v="1589"/>
    <x v="0"/>
    <x v="0"/>
  </r>
  <r>
    <x v="3"/>
    <d v="2016-05-01T00:00:00"/>
    <n v="2573"/>
    <n v="1.70000004768372"/>
    <n v="1.70000004768372"/>
    <n v="0"/>
    <n v="0"/>
    <n v="0.259999990463257"/>
    <n v="1.45000004768372"/>
    <n v="0"/>
    <n v="0"/>
    <n v="7"/>
    <n v="75"/>
    <n v="585"/>
    <n v="1541"/>
    <x v="1"/>
    <x v="0"/>
  </r>
  <r>
    <x v="3"/>
    <d v="2016-04-16T00:00:00"/>
    <n v="3414"/>
    <n v="2.2599999904632599"/>
    <n v="2.2599999904632599"/>
    <n v="0"/>
    <n v="0"/>
    <n v="0"/>
    <n v="2.2599999904632599"/>
    <n v="0"/>
    <n v="0"/>
    <n v="0"/>
    <n v="147"/>
    <n v="1293"/>
    <n v="1657"/>
    <x v="4"/>
    <x v="0"/>
  </r>
  <r>
    <x v="3"/>
    <d v="2016-04-23T00:00:00"/>
    <n v="3570"/>
    <n v="2.3599998950958301"/>
    <n v="2.3599998950958301"/>
    <n v="0"/>
    <n v="0"/>
    <n v="0"/>
    <n v="2.3599998950958301"/>
    <n v="0"/>
    <n v="0"/>
    <n v="0"/>
    <n v="139"/>
    <n v="1301"/>
    <n v="1645"/>
    <x v="4"/>
    <x v="0"/>
  </r>
  <r>
    <x v="3"/>
    <d v="2016-04-15T00:00:00"/>
    <n v="3844"/>
    <n v="2.53999996185303"/>
    <n v="2.53999996185303"/>
    <n v="0"/>
    <n v="0"/>
    <n v="0"/>
    <n v="2.53999996185303"/>
    <n v="0"/>
    <n v="0"/>
    <n v="0"/>
    <n v="176"/>
    <n v="527"/>
    <n v="1725"/>
    <x v="2"/>
    <x v="0"/>
  </r>
  <r>
    <x v="3"/>
    <d v="2016-04-30T00:00:00"/>
    <n v="4014"/>
    <n v="2.6700000762939502"/>
    <n v="2.6700000762939502"/>
    <n v="0"/>
    <n v="0"/>
    <n v="0"/>
    <n v="2.6500000953674299"/>
    <n v="0"/>
    <n v="0"/>
    <n v="0"/>
    <n v="184"/>
    <n v="218"/>
    <n v="1763"/>
    <x v="4"/>
    <x v="0"/>
  </r>
  <r>
    <x v="3"/>
    <d v="2016-05-03T00:00:00"/>
    <n v="4059"/>
    <n v="2.6800000667571999"/>
    <n v="2.6800000667571999"/>
    <n v="0"/>
    <n v="0"/>
    <n v="0"/>
    <n v="2.6800000667571999"/>
    <n v="0"/>
    <n v="0"/>
    <n v="0"/>
    <n v="184"/>
    <n v="1256"/>
    <n v="1742"/>
    <x v="6"/>
    <x v="0"/>
  </r>
  <r>
    <x v="3"/>
    <d v="2016-04-17T00:00:00"/>
    <n v="4525"/>
    <n v="2.9900000095367401"/>
    <n v="2.9900000095367401"/>
    <n v="0"/>
    <n v="0.140000000596046"/>
    <n v="0.259999990463257"/>
    <n v="2.5899999141693102"/>
    <n v="0"/>
    <n v="2"/>
    <n v="8"/>
    <n v="199"/>
    <n v="1231"/>
    <n v="1793"/>
    <x v="1"/>
    <x v="0"/>
  </r>
  <r>
    <x v="3"/>
    <d v="2016-04-18T00:00:00"/>
    <n v="4597"/>
    <n v="3.03999996185303"/>
    <n v="3.03999996185303"/>
    <n v="0"/>
    <n v="0"/>
    <n v="0.479999989271164"/>
    <n v="2.5599999427795401"/>
    <n v="0"/>
    <n v="0"/>
    <n v="12"/>
    <n v="217"/>
    <n v="1211"/>
    <n v="1814"/>
    <x v="5"/>
    <x v="0"/>
  </r>
  <r>
    <x v="3"/>
    <d v="2016-04-29T00:00:00"/>
    <n v="4920"/>
    <n v="3.25"/>
    <n v="3.25"/>
    <n v="0"/>
    <n v="0"/>
    <n v="0"/>
    <n v="3.25"/>
    <n v="0"/>
    <n v="0"/>
    <n v="0"/>
    <n v="247"/>
    <n v="1082"/>
    <n v="1856"/>
    <x v="2"/>
    <x v="0"/>
  </r>
  <r>
    <x v="3"/>
    <d v="2016-04-13T00:00:00"/>
    <n v="4929"/>
    <n v="3.2599999904632599"/>
    <n v="3.2599999904632599"/>
    <n v="0"/>
    <n v="0"/>
    <n v="0"/>
    <n v="3.2599999904632599"/>
    <n v="0"/>
    <n v="0"/>
    <n v="0"/>
    <n v="248"/>
    <n v="1192"/>
    <n v="1860"/>
    <x v="3"/>
    <x v="0"/>
  </r>
  <r>
    <x v="3"/>
    <d v="2016-04-22T00:00:00"/>
    <n v="5372"/>
    <n v="3.5499999523162802"/>
    <n v="3.5499999523162802"/>
    <n v="0"/>
    <n v="0"/>
    <n v="0"/>
    <n v="3.5499999523162802"/>
    <n v="0"/>
    <n v="0"/>
    <n v="0"/>
    <n v="220"/>
    <n v="1220"/>
    <n v="1827"/>
    <x v="2"/>
    <x v="3"/>
  </r>
  <r>
    <x v="3"/>
    <d v="2016-04-12T00:00:00"/>
    <n v="6697"/>
    <n v="4.4299998283386204"/>
    <n v="4.4299998283386204"/>
    <n v="0"/>
    <n v="0"/>
    <n v="0"/>
    <n v="4.4299998283386204"/>
    <n v="0"/>
    <n v="0"/>
    <n v="0"/>
    <n v="339"/>
    <n v="1101"/>
    <n v="2030"/>
    <x v="6"/>
    <x v="3"/>
  </r>
  <r>
    <x v="3"/>
    <d v="2016-04-28T00:00:00"/>
    <n v="6907"/>
    <n v="4.5700001716613796"/>
    <n v="4.5700001716613796"/>
    <n v="0"/>
    <n v="0"/>
    <n v="0"/>
    <n v="4.5599999427795401"/>
    <n v="0"/>
    <n v="0"/>
    <n v="0"/>
    <n v="302"/>
    <n v="1138"/>
    <n v="1992"/>
    <x v="0"/>
    <x v="3"/>
  </r>
  <r>
    <x v="3"/>
    <d v="2016-04-14T00:00:00"/>
    <n v="7937"/>
    <n v="5.25"/>
    <n v="5.25"/>
    <n v="0"/>
    <n v="0"/>
    <n v="0"/>
    <n v="5.2300000190734899"/>
    <n v="0"/>
    <n v="0"/>
    <n v="0"/>
    <n v="373"/>
    <n v="843"/>
    <n v="2130"/>
    <x v="0"/>
    <x v="1"/>
  </r>
  <r>
    <x v="3"/>
    <d v="2016-04-21T00:00:00"/>
    <n v="8054"/>
    <n v="5.3200001716613796"/>
    <n v="5.3200001716613796"/>
    <n v="0"/>
    <n v="0.119999997317791"/>
    <n v="0.519999980926514"/>
    <n v="4.6799998283386204"/>
    <n v="0"/>
    <n v="2"/>
    <n v="13"/>
    <n v="308"/>
    <n v="1117"/>
    <n v="2062"/>
    <x v="0"/>
    <x v="1"/>
  </r>
  <r>
    <x v="4"/>
    <d v="2016-04-16T00:00:00"/>
    <n v="0"/>
    <n v="0"/>
    <n v="0"/>
    <n v="0"/>
    <n v="0"/>
    <n v="0"/>
    <n v="0"/>
    <n v="0"/>
    <n v="0"/>
    <n v="0"/>
    <n v="0"/>
    <n v="1440"/>
    <n v="2064"/>
    <x v="4"/>
    <x v="0"/>
  </r>
  <r>
    <x v="4"/>
    <d v="2016-04-17T00:00:00"/>
    <n v="0"/>
    <n v="0"/>
    <n v="0"/>
    <n v="0"/>
    <n v="0"/>
    <n v="0"/>
    <n v="0"/>
    <n v="0"/>
    <n v="0"/>
    <n v="0"/>
    <n v="0"/>
    <n v="1440"/>
    <n v="2063"/>
    <x v="1"/>
    <x v="0"/>
  </r>
  <r>
    <x v="4"/>
    <d v="2016-04-19T00:00:00"/>
    <n v="0"/>
    <n v="0"/>
    <n v="0"/>
    <n v="0"/>
    <n v="0"/>
    <n v="0"/>
    <n v="0"/>
    <n v="0"/>
    <n v="0"/>
    <n v="0"/>
    <n v="0"/>
    <n v="1440"/>
    <n v="2063"/>
    <x v="6"/>
    <x v="0"/>
  </r>
  <r>
    <x v="4"/>
    <d v="2016-04-20T00:00:00"/>
    <n v="0"/>
    <n v="0"/>
    <n v="0"/>
    <n v="0"/>
    <n v="0"/>
    <n v="0"/>
    <n v="0"/>
    <n v="0"/>
    <n v="0"/>
    <n v="0"/>
    <n v="0"/>
    <n v="1440"/>
    <n v="2063"/>
    <x v="3"/>
    <x v="0"/>
  </r>
  <r>
    <x v="4"/>
    <d v="2016-04-21T00:00:00"/>
    <n v="0"/>
    <n v="0"/>
    <n v="0"/>
    <n v="0"/>
    <n v="0"/>
    <n v="0"/>
    <n v="0"/>
    <n v="0"/>
    <n v="0"/>
    <n v="0"/>
    <n v="0"/>
    <n v="1440"/>
    <n v="2064"/>
    <x v="0"/>
    <x v="0"/>
  </r>
  <r>
    <x v="4"/>
    <d v="2016-04-27T00:00:00"/>
    <n v="0"/>
    <n v="0"/>
    <n v="0"/>
    <n v="0"/>
    <n v="0"/>
    <n v="0"/>
    <n v="0"/>
    <n v="0"/>
    <n v="0"/>
    <n v="0"/>
    <n v="0"/>
    <n v="1440"/>
    <n v="2063"/>
    <x v="3"/>
    <x v="0"/>
  </r>
  <r>
    <x v="4"/>
    <d v="2016-04-29T00:00:00"/>
    <n v="0"/>
    <n v="0"/>
    <n v="0"/>
    <n v="0"/>
    <n v="0"/>
    <n v="0"/>
    <n v="0"/>
    <n v="0"/>
    <n v="0"/>
    <n v="0"/>
    <n v="0"/>
    <n v="1440"/>
    <n v="2063"/>
    <x v="2"/>
    <x v="0"/>
  </r>
  <r>
    <x v="4"/>
    <d v="2016-04-30T00:00:00"/>
    <n v="0"/>
    <n v="0"/>
    <n v="0"/>
    <n v="0"/>
    <n v="0"/>
    <n v="0"/>
    <n v="0"/>
    <n v="0"/>
    <n v="0"/>
    <n v="0"/>
    <n v="0"/>
    <n v="1440"/>
    <n v="2064"/>
    <x v="4"/>
    <x v="0"/>
  </r>
  <r>
    <x v="4"/>
    <d v="2016-05-05T00:00:00"/>
    <n v="0"/>
    <n v="0"/>
    <n v="0"/>
    <n v="0"/>
    <n v="0"/>
    <n v="0"/>
    <n v="0"/>
    <n v="0"/>
    <n v="0"/>
    <n v="0"/>
    <n v="0"/>
    <n v="1440"/>
    <n v="2063"/>
    <x v="0"/>
    <x v="0"/>
  </r>
  <r>
    <x v="4"/>
    <d v="2016-05-08T00:00:00"/>
    <n v="0"/>
    <n v="0"/>
    <n v="0"/>
    <n v="0"/>
    <n v="0"/>
    <n v="0"/>
    <n v="0"/>
    <n v="0"/>
    <n v="0"/>
    <n v="0"/>
    <n v="0"/>
    <n v="1440"/>
    <n v="2063"/>
    <x v="1"/>
    <x v="0"/>
  </r>
  <r>
    <x v="4"/>
    <d v="2016-05-09T00:00:00"/>
    <n v="0"/>
    <n v="0"/>
    <n v="0"/>
    <n v="0"/>
    <n v="0"/>
    <n v="0"/>
    <n v="0"/>
    <n v="0"/>
    <n v="0"/>
    <n v="0"/>
    <n v="0"/>
    <n v="1440"/>
    <n v="2063"/>
    <x v="5"/>
    <x v="0"/>
  </r>
  <r>
    <x v="4"/>
    <d v="2016-05-10T00:00:00"/>
    <n v="0"/>
    <n v="0"/>
    <n v="0"/>
    <n v="0"/>
    <n v="0"/>
    <n v="0"/>
    <n v="0"/>
    <n v="0"/>
    <n v="0"/>
    <n v="0"/>
    <n v="0"/>
    <n v="1440"/>
    <n v="2063"/>
    <x v="6"/>
    <x v="0"/>
  </r>
  <r>
    <x v="4"/>
    <d v="2016-05-11T00:00:00"/>
    <n v="0"/>
    <n v="0"/>
    <n v="0"/>
    <n v="0"/>
    <n v="0"/>
    <n v="0"/>
    <n v="0"/>
    <n v="0"/>
    <n v="0"/>
    <n v="0"/>
    <n v="0"/>
    <n v="1440"/>
    <n v="2063"/>
    <x v="3"/>
    <x v="0"/>
  </r>
  <r>
    <x v="4"/>
    <d v="2016-05-12T00:00:00"/>
    <n v="0"/>
    <n v="0"/>
    <n v="0"/>
    <n v="0"/>
    <n v="0"/>
    <n v="0"/>
    <n v="0"/>
    <n v="0"/>
    <n v="0"/>
    <n v="0"/>
    <n v="0"/>
    <n v="966"/>
    <n v="1383"/>
    <x v="0"/>
    <x v="0"/>
  </r>
  <r>
    <x v="4"/>
    <d v="2016-04-22T00:00:00"/>
    <n v="149"/>
    <n v="0.10000000149011599"/>
    <n v="0.10000000149011599"/>
    <n v="0"/>
    <n v="0"/>
    <n v="0"/>
    <n v="0.10000000149011599"/>
    <n v="0"/>
    <n v="0"/>
    <n v="0"/>
    <n v="10"/>
    <n v="1430"/>
    <n v="2093"/>
    <x v="2"/>
    <x v="0"/>
  </r>
  <r>
    <x v="4"/>
    <d v="2016-04-25T00:00:00"/>
    <n v="152"/>
    <n v="0.109999999403954"/>
    <n v="0.109999999403954"/>
    <n v="0"/>
    <n v="0"/>
    <n v="0"/>
    <n v="0.109999999403954"/>
    <n v="0"/>
    <n v="0"/>
    <n v="0"/>
    <n v="12"/>
    <n v="1303"/>
    <n v="2100"/>
    <x v="5"/>
    <x v="0"/>
  </r>
  <r>
    <x v="4"/>
    <d v="2016-04-18T00:00:00"/>
    <n v="244"/>
    <n v="0.17000000178813901"/>
    <n v="0.17000000178813901"/>
    <n v="0"/>
    <n v="0"/>
    <n v="0"/>
    <n v="0.17000000178813901"/>
    <n v="0"/>
    <n v="0"/>
    <n v="0"/>
    <n v="17"/>
    <n v="1423"/>
    <n v="2111"/>
    <x v="5"/>
    <x v="0"/>
  </r>
  <r>
    <x v="4"/>
    <d v="2016-04-13T00:00:00"/>
    <n v="356"/>
    <n v="0.25"/>
    <n v="0.25"/>
    <n v="0"/>
    <n v="0"/>
    <n v="0"/>
    <n v="0.25"/>
    <n v="0"/>
    <n v="0"/>
    <n v="0"/>
    <n v="32"/>
    <n v="986"/>
    <n v="2151"/>
    <x v="3"/>
    <x v="0"/>
  </r>
  <r>
    <x v="4"/>
    <d v="2016-04-12T00:00:00"/>
    <n v="678"/>
    <n v="0.46999999880790699"/>
    <n v="0.46999999880790699"/>
    <n v="0"/>
    <n v="0"/>
    <n v="0"/>
    <n v="0.46999999880790699"/>
    <n v="0"/>
    <n v="0"/>
    <n v="0"/>
    <n v="55"/>
    <n v="734"/>
    <n v="2220"/>
    <x v="6"/>
    <x v="0"/>
  </r>
  <r>
    <x v="4"/>
    <d v="2016-04-15T00:00:00"/>
    <n v="980"/>
    <n v="0.68000000715255704"/>
    <n v="0.68000000715255704"/>
    <n v="0"/>
    <n v="0"/>
    <n v="0"/>
    <n v="0.68000000715255704"/>
    <n v="0"/>
    <n v="0"/>
    <n v="0"/>
    <n v="51"/>
    <n v="941"/>
    <n v="2221"/>
    <x v="2"/>
    <x v="0"/>
  </r>
  <r>
    <x v="4"/>
    <d v="2016-05-03T00:00:00"/>
    <n v="1326"/>
    <n v="0.92000001668930098"/>
    <n v="0.92000001668930098"/>
    <n v="0"/>
    <n v="0.730000019073486"/>
    <n v="0"/>
    <n v="0.18000000715255701"/>
    <n v="0"/>
    <n v="10"/>
    <n v="0"/>
    <n v="17"/>
    <n v="1413"/>
    <n v="2195"/>
    <x v="6"/>
    <x v="0"/>
  </r>
  <r>
    <x v="4"/>
    <d v="2016-05-07T00:00:00"/>
    <n v="1510"/>
    <n v="1.03999996185303"/>
    <n v="1.03999996185303"/>
    <n v="0"/>
    <n v="0"/>
    <n v="0"/>
    <n v="1.03999996185303"/>
    <n v="0"/>
    <n v="0"/>
    <n v="0"/>
    <n v="48"/>
    <n v="1392"/>
    <n v="2229"/>
    <x v="4"/>
    <x v="0"/>
  </r>
  <r>
    <x v="4"/>
    <d v="2016-04-28T00:00:00"/>
    <n v="1675"/>
    <n v="1.1599999666214"/>
    <n v="1.1599999666214"/>
    <n v="0"/>
    <n v="0"/>
    <n v="0"/>
    <n v="1.1599999666214"/>
    <n v="0"/>
    <n v="0"/>
    <n v="0"/>
    <n v="95"/>
    <n v="1167"/>
    <n v="2351"/>
    <x v="0"/>
    <x v="0"/>
  </r>
  <r>
    <x v="4"/>
    <d v="2016-05-04T00:00:00"/>
    <n v="1786"/>
    <n v="1.2400000095367401"/>
    <n v="1.2400000095367401"/>
    <n v="0"/>
    <n v="0"/>
    <n v="0"/>
    <n v="1.2400000095367401"/>
    <n v="0"/>
    <n v="0"/>
    <n v="0"/>
    <n v="87"/>
    <n v="1353"/>
    <n v="2338"/>
    <x v="3"/>
    <x v="0"/>
  </r>
  <r>
    <x v="4"/>
    <d v="2016-04-24T00:00:00"/>
    <n v="2090"/>
    <n v="1.45000004768372"/>
    <n v="1.45000004768372"/>
    <n v="0"/>
    <n v="7.0000000298023196E-2"/>
    <n v="0.239999994635582"/>
    <n v="1.1399999856948899"/>
    <n v="0"/>
    <n v="1"/>
    <n v="6"/>
    <n v="75"/>
    <n v="1358"/>
    <n v="2324"/>
    <x v="1"/>
    <x v="0"/>
  </r>
  <r>
    <x v="4"/>
    <d v="2016-05-06T00:00:00"/>
    <n v="2091"/>
    <n v="1.45000004768372"/>
    <n v="1.45000004768372"/>
    <n v="0"/>
    <n v="0"/>
    <n v="0"/>
    <n v="1.45000004768372"/>
    <n v="0"/>
    <n v="0"/>
    <n v="0"/>
    <n v="108"/>
    <n v="1332"/>
    <n v="2383"/>
    <x v="2"/>
    <x v="0"/>
  </r>
  <r>
    <x v="4"/>
    <d v="2016-04-14T00:00:00"/>
    <n v="2163"/>
    <n v="1.5"/>
    <n v="1.5"/>
    <n v="0"/>
    <n v="0"/>
    <n v="0.40000000596046398"/>
    <n v="1.1000000238418599"/>
    <n v="0"/>
    <n v="0"/>
    <n v="9"/>
    <n v="88"/>
    <n v="1292"/>
    <n v="2383"/>
    <x v="0"/>
    <x v="0"/>
  </r>
  <r>
    <x v="4"/>
    <d v="2016-05-01T00:00:00"/>
    <n v="2704"/>
    <n v="1.87000000476837"/>
    <n v="1.87000000476837"/>
    <n v="0"/>
    <n v="1.0099999904632599"/>
    <n v="2.9999999329447701E-2"/>
    <n v="0.82999998331069902"/>
    <n v="0"/>
    <n v="14"/>
    <n v="1"/>
    <n v="70"/>
    <n v="1355"/>
    <n v="2411"/>
    <x v="1"/>
    <x v="0"/>
  </r>
  <r>
    <x v="4"/>
    <d v="2016-04-23T00:00:00"/>
    <n v="2945"/>
    <n v="2.03999996185303"/>
    <n v="2.03999996185303"/>
    <n v="0"/>
    <n v="0"/>
    <n v="0"/>
    <n v="2.03999996185303"/>
    <n v="0"/>
    <n v="0"/>
    <n v="0"/>
    <n v="145"/>
    <n v="1295"/>
    <n v="2499"/>
    <x v="4"/>
    <x v="0"/>
  </r>
  <r>
    <x v="4"/>
    <d v="2016-04-26T00:00:00"/>
    <n v="3761"/>
    <n v="2.5999999046325701"/>
    <n v="2.5999999046325701"/>
    <n v="0"/>
    <n v="0"/>
    <n v="0"/>
    <n v="2.5999999046325701"/>
    <n v="0"/>
    <n v="0"/>
    <n v="0"/>
    <n v="192"/>
    <n v="1058"/>
    <n v="2638"/>
    <x v="6"/>
    <x v="0"/>
  </r>
  <r>
    <x v="4"/>
    <d v="2016-05-02T00:00:00"/>
    <n v="3790"/>
    <n v="2.6199998855590798"/>
    <n v="2.6199998855590798"/>
    <n v="0"/>
    <n v="1.1599999666214"/>
    <n v="0.30000001192092901"/>
    <n v="1.1599999666214"/>
    <n v="0"/>
    <n v="16"/>
    <n v="8"/>
    <n v="94"/>
    <n v="1322"/>
    <n v="2505"/>
    <x v="5"/>
    <x v="0"/>
  </r>
  <r>
    <x v="5"/>
    <d v="2016-05-08T00:00:00"/>
    <n v="3292"/>
    <n v="2.3099999427795401"/>
    <n v="2.3099999427795401"/>
    <n v="0"/>
    <n v="0"/>
    <n v="0"/>
    <n v="2.3099999427795401"/>
    <n v="0"/>
    <n v="0"/>
    <n v="0"/>
    <n v="135"/>
    <n v="1305"/>
    <n v="1848"/>
    <x v="1"/>
    <x v="0"/>
  </r>
  <r>
    <x v="5"/>
    <d v="2016-04-23T00:00:00"/>
    <n v="6001"/>
    <n v="4.21000003814697"/>
    <n v="4.21000003814697"/>
    <n v="0"/>
    <n v="0"/>
    <n v="0"/>
    <n v="4.21000003814697"/>
    <n v="0"/>
    <n v="0"/>
    <n v="0"/>
    <n v="249"/>
    <n v="1191"/>
    <n v="2069"/>
    <x v="4"/>
    <x v="3"/>
  </r>
  <r>
    <x v="5"/>
    <d v="2016-05-07T00:00:00"/>
    <n v="6708"/>
    <n v="4.71000003814697"/>
    <n v="4.71000003814697"/>
    <n v="0"/>
    <n v="1.6100000143051101"/>
    <n v="7.9999998211860698E-2"/>
    <n v="3.0199999809265101"/>
    <n v="0"/>
    <n v="20"/>
    <n v="2"/>
    <n v="149"/>
    <n v="1269"/>
    <n v="1995"/>
    <x v="4"/>
    <x v="3"/>
  </r>
  <r>
    <x v="5"/>
    <d v="2016-05-12T00:00:00"/>
    <n v="9117"/>
    <n v="6.4099998474121103"/>
    <n v="6.4099998474121103"/>
    <n v="0"/>
    <n v="1.2799999713897701"/>
    <n v="0.67000001668930098"/>
    <n v="4.4400000572204599"/>
    <n v="0"/>
    <n v="16"/>
    <n v="16"/>
    <n v="236"/>
    <n v="728"/>
    <n v="1853"/>
    <x v="0"/>
    <x v="1"/>
  </r>
  <r>
    <x v="5"/>
    <d v="2016-04-16T00:00:00"/>
    <n v="10100"/>
    <n v="7.0900001525878897"/>
    <n v="7.0900001525878897"/>
    <n v="0"/>
    <n v="3.1500000953674299"/>
    <n v="0.55000001192092896"/>
    <n v="3.3900001049041699"/>
    <n v="0"/>
    <n v="41"/>
    <n v="11"/>
    <n v="151"/>
    <n v="1237"/>
    <n v="2177"/>
    <x v="4"/>
    <x v="2"/>
  </r>
  <r>
    <x v="5"/>
    <d v="2016-04-26T00:00:00"/>
    <n v="10119"/>
    <n v="7.1900000572204599"/>
    <n v="7.1900000572204599"/>
    <n v="0"/>
    <n v="1.4299999475479099"/>
    <n v="0.66000002622604403"/>
    <n v="5.1100001335143999"/>
    <n v="0"/>
    <n v="55"/>
    <n v="24"/>
    <n v="275"/>
    <n v="1086"/>
    <n v="2793"/>
    <x v="6"/>
    <x v="2"/>
  </r>
  <r>
    <x v="5"/>
    <d v="2016-04-28T00:00:00"/>
    <n v="10140"/>
    <n v="7.1199998855590803"/>
    <n v="7.1199998855590803"/>
    <n v="0"/>
    <n v="0.40999999642372098"/>
    <n v="1.33000004291534"/>
    <n v="5.3899998664856001"/>
    <n v="0"/>
    <n v="6"/>
    <n v="20"/>
    <n v="291"/>
    <n v="1123"/>
    <n v="2296"/>
    <x v="0"/>
    <x v="2"/>
  </r>
  <r>
    <x v="5"/>
    <d v="2016-04-27T00:00:00"/>
    <n v="10159"/>
    <n v="7.1300001144409197"/>
    <n v="7.1300001144409197"/>
    <n v="0"/>
    <n v="1.03999996185303"/>
    <n v="0.97000002861022905"/>
    <n v="5.1199998855590803"/>
    <n v="0"/>
    <n v="19"/>
    <n v="20"/>
    <n v="282"/>
    <n v="1119"/>
    <n v="2463"/>
    <x v="3"/>
    <x v="2"/>
  </r>
  <r>
    <x v="5"/>
    <d v="2016-05-06T00:00:00"/>
    <n v="10227"/>
    <n v="7.1799998283386204"/>
    <n v="7.1799998283386204"/>
    <n v="0"/>
    <n v="1.87000000476837"/>
    <n v="0.67000001668930098"/>
    <n v="4.6399998664856001"/>
    <n v="0"/>
    <n v="24"/>
    <n v="17"/>
    <n v="295"/>
    <n v="1104"/>
    <n v="2498"/>
    <x v="2"/>
    <x v="2"/>
  </r>
  <r>
    <x v="5"/>
    <d v="2016-04-29T00:00:00"/>
    <n v="10245"/>
    <n v="7.1900000572204599"/>
    <n v="7.1900000572204599"/>
    <n v="0"/>
    <n v="0.479999989271164"/>
    <n v="1.21000003814697"/>
    <n v="5.5"/>
    <n v="0"/>
    <n v="21"/>
    <n v="40"/>
    <n v="281"/>
    <n v="1098"/>
    <n v="2611"/>
    <x v="2"/>
    <x v="2"/>
  </r>
  <r>
    <x v="5"/>
    <d v="2016-05-02T00:00:00"/>
    <n v="10379"/>
    <n v="7.28999996185303"/>
    <n v="7.28999996185303"/>
    <n v="0"/>
    <n v="2.6099998950958301"/>
    <n v="0.34000000357627902"/>
    <n v="4.3299999237060502"/>
    <n v="0"/>
    <n v="36"/>
    <n v="8"/>
    <n v="277"/>
    <n v="1119"/>
    <n v="2473"/>
    <x v="5"/>
    <x v="2"/>
  </r>
  <r>
    <x v="5"/>
    <d v="2016-05-01T00:00:00"/>
    <n v="10538"/>
    <n v="7.4000000953674299"/>
    <n v="7.4000000953674299"/>
    <n v="0"/>
    <n v="1.9400000572204601"/>
    <n v="0.95999997854232799"/>
    <n v="4.5"/>
    <n v="0"/>
    <n v="25"/>
    <n v="28"/>
    <n v="245"/>
    <n v="1142"/>
    <n v="2380"/>
    <x v="1"/>
    <x v="2"/>
  </r>
  <r>
    <x v="5"/>
    <d v="2016-04-14T00:00:00"/>
    <n v="10690"/>
    <n v="7.5"/>
    <n v="7.5"/>
    <n v="0"/>
    <n v="2.4800000190734899"/>
    <n v="0.20999999344348899"/>
    <n v="4.8200001716613796"/>
    <n v="0"/>
    <n v="32"/>
    <n v="3"/>
    <n v="257"/>
    <n v="1148"/>
    <n v="2312"/>
    <x v="0"/>
    <x v="2"/>
  </r>
  <r>
    <x v="5"/>
    <d v="2016-04-15T00:00:00"/>
    <n v="11034"/>
    <n v="8.0299997329711896"/>
    <n v="8.0299997329711896"/>
    <n v="0"/>
    <n v="1.9400000572204601"/>
    <n v="0.31000000238418601"/>
    <n v="5.7800002098083496"/>
    <n v="0"/>
    <n v="27"/>
    <n v="9"/>
    <n v="282"/>
    <n v="1122"/>
    <n v="2525"/>
    <x v="2"/>
    <x v="2"/>
  </r>
  <r>
    <x v="5"/>
    <d v="2016-04-25T00:00:00"/>
    <n v="11369"/>
    <n v="8.0100002288818395"/>
    <n v="8.0100002288818395"/>
    <n v="0"/>
    <n v="3.3299999237060498"/>
    <n v="0.21999999880790699"/>
    <n v="4.46000003814697"/>
    <n v="0"/>
    <n v="44"/>
    <n v="8"/>
    <n v="217"/>
    <n v="1171"/>
    <n v="2470"/>
    <x v="5"/>
    <x v="2"/>
  </r>
  <r>
    <x v="5"/>
    <d v="2016-04-19T00:00:00"/>
    <n v="11548"/>
    <n v="8.5299997329711896"/>
    <n v="8.5299997329711896"/>
    <n v="0"/>
    <n v="3.28999996185303"/>
    <n v="0.239999994635582"/>
    <n v="5"/>
    <n v="0"/>
    <n v="31"/>
    <n v="7"/>
    <n v="250"/>
    <n v="1152"/>
    <n v="2489"/>
    <x v="6"/>
    <x v="2"/>
  </r>
  <r>
    <x v="5"/>
    <d v="2016-05-04T00:00:00"/>
    <n v="11768"/>
    <n v="8.2899999618530291"/>
    <n v="8.2899999618530291"/>
    <n v="0"/>
    <n v="2.5099999904632599"/>
    <n v="0.93000000715255704"/>
    <n v="4.8499999046325701"/>
    <n v="0"/>
    <n v="36"/>
    <n v="27"/>
    <n v="272"/>
    <n v="1105"/>
    <n v="2649"/>
    <x v="3"/>
    <x v="2"/>
  </r>
  <r>
    <x v="5"/>
    <d v="2016-04-12T00:00:00"/>
    <n v="11875"/>
    <n v="8.3400001525878906"/>
    <n v="8.3400001525878906"/>
    <n v="0"/>
    <n v="3.3099999427795401"/>
    <n v="0.769999980926514"/>
    <n v="4.2600002288818404"/>
    <n v="0"/>
    <n v="42"/>
    <n v="14"/>
    <n v="227"/>
    <n v="1157"/>
    <n v="2390"/>
    <x v="6"/>
    <x v="2"/>
  </r>
  <r>
    <x v="5"/>
    <d v="2016-05-05T00:00:00"/>
    <n v="11895"/>
    <n v="8.3500003814697301"/>
    <n v="8.3500003814697301"/>
    <n v="0"/>
    <n v="2.78999996185303"/>
    <n v="0.86000001430511497"/>
    <n v="4.6999998092651403"/>
    <n v="0"/>
    <n v="55"/>
    <n v="20"/>
    <n v="253"/>
    <n v="1112"/>
    <n v="2609"/>
    <x v="0"/>
    <x v="2"/>
  </r>
  <r>
    <x v="5"/>
    <d v="2016-04-13T00:00:00"/>
    <n v="12024"/>
    <n v="8.5"/>
    <n v="8.5"/>
    <n v="0"/>
    <n v="2.9900000095367401"/>
    <n v="0.10000000149011599"/>
    <n v="5.4099998474121103"/>
    <n v="0"/>
    <n v="43"/>
    <n v="5"/>
    <n v="292"/>
    <n v="1100"/>
    <n v="2601"/>
    <x v="3"/>
    <x v="2"/>
  </r>
  <r>
    <x v="5"/>
    <d v="2016-05-03T00:00:00"/>
    <n v="12183"/>
    <n v="8.7399997711181605"/>
    <n v="8.7399997711181605"/>
    <n v="0"/>
    <n v="3.9900000095367401"/>
    <n v="0.46000000834464999"/>
    <n v="4.2800002098083496"/>
    <n v="0"/>
    <n v="72"/>
    <n v="14"/>
    <n v="250"/>
    <n v="1104"/>
    <n v="2752"/>
    <x v="6"/>
    <x v="2"/>
  </r>
  <r>
    <x v="5"/>
    <d v="2016-04-21T00:00:00"/>
    <n v="12453"/>
    <n v="8.7399997711181605"/>
    <n v="8.7399997711181605"/>
    <n v="0"/>
    <n v="3.3299999237060498"/>
    <n v="1.1100000143051101"/>
    <n v="4.3099999427795401"/>
    <n v="0"/>
    <n v="104"/>
    <n v="53"/>
    <n v="255"/>
    <n v="1028"/>
    <n v="3158"/>
    <x v="0"/>
    <x v="2"/>
  </r>
  <r>
    <x v="5"/>
    <d v="2016-05-10T00:00:00"/>
    <n v="12798"/>
    <n v="8.9799995422363299"/>
    <n v="8.9799995422363299"/>
    <n v="0"/>
    <n v="2.2200000286102299"/>
    <n v="1.21000003814697"/>
    <n v="5.5599999427795401"/>
    <n v="0"/>
    <n v="57"/>
    <n v="28"/>
    <n v="271"/>
    <n v="1084"/>
    <n v="2797"/>
    <x v="6"/>
    <x v="2"/>
  </r>
  <r>
    <x v="5"/>
    <d v="2016-04-22T00:00:00"/>
    <n v="12954"/>
    <n v="9.3299999237060494"/>
    <n v="9.3299999237060494"/>
    <n v="0"/>
    <n v="4.4299998283386204"/>
    <n v="0.41999998688697798"/>
    <n v="4.4699997901916504"/>
    <n v="0"/>
    <n v="52"/>
    <n v="10"/>
    <n v="273"/>
    <n v="1105"/>
    <n v="2638"/>
    <x v="2"/>
    <x v="2"/>
  </r>
  <r>
    <x v="5"/>
    <d v="2016-05-11T00:00:00"/>
    <n v="13272"/>
    <n v="9.3199996948242205"/>
    <n v="9.3199996948242205"/>
    <n v="0"/>
    <n v="4.1799998283386204"/>
    <n v="1.1499999761581401"/>
    <n v="3.9900000095367401"/>
    <n v="0"/>
    <n v="58"/>
    <n v="25"/>
    <n v="224"/>
    <n v="1133"/>
    <n v="2544"/>
    <x v="3"/>
    <x v="2"/>
  </r>
  <r>
    <x v="5"/>
    <d v="2016-05-09T00:00:00"/>
    <n v="13379"/>
    <n v="9.3900003433227504"/>
    <n v="9.3900003433227504"/>
    <n v="0"/>
    <n v="2.1199998855590798"/>
    <n v="1.62999999523163"/>
    <n v="5.6399998664856001"/>
    <n v="0"/>
    <n v="35"/>
    <n v="47"/>
    <n v="297"/>
    <n v="1061"/>
    <n v="2709"/>
    <x v="5"/>
    <x v="2"/>
  </r>
  <r>
    <x v="5"/>
    <d v="2016-04-24T00:00:00"/>
    <n v="13481"/>
    <n v="10.2799997329712"/>
    <n v="10.2799997329712"/>
    <n v="0"/>
    <n v="4.5500001907348597"/>
    <n v="1.1499999761581401"/>
    <n v="4.5799999237060502"/>
    <n v="0"/>
    <n v="37"/>
    <n v="26"/>
    <n v="216"/>
    <n v="1161"/>
    <n v="2529"/>
    <x v="1"/>
    <x v="2"/>
  </r>
  <r>
    <x v="5"/>
    <d v="2016-04-18T00:00:00"/>
    <n v="14131"/>
    <n v="10.069999694824199"/>
    <n v="10.069999694824199"/>
    <n v="0"/>
    <n v="3.6400001049041699"/>
    <n v="0.119999997317791"/>
    <n v="6.3000001907348597"/>
    <n v="0"/>
    <n v="48"/>
    <n v="3"/>
    <n v="311"/>
    <n v="1078"/>
    <n v="2770"/>
    <x v="5"/>
    <x v="2"/>
  </r>
  <r>
    <x v="5"/>
    <d v="2016-04-17T00:00:00"/>
    <n v="15112"/>
    <n v="11.3999996185303"/>
    <n v="11.3999996185303"/>
    <n v="0"/>
    <n v="3.8699998855590798"/>
    <n v="0.66000002622604403"/>
    <n v="6.8800001144409197"/>
    <n v="0"/>
    <n v="28"/>
    <n v="29"/>
    <n v="331"/>
    <n v="1052"/>
    <n v="2782"/>
    <x v="1"/>
    <x v="2"/>
  </r>
  <r>
    <x v="5"/>
    <d v="2016-04-20T00:00:00"/>
    <n v="15112"/>
    <n v="10.670000076293899"/>
    <n v="10.670000076293899"/>
    <n v="0"/>
    <n v="3.3399999141693102"/>
    <n v="1.9299999475479099"/>
    <n v="5.4000000953674299"/>
    <n v="0"/>
    <n v="48"/>
    <n v="63"/>
    <n v="276"/>
    <n v="1053"/>
    <n v="2897"/>
    <x v="3"/>
    <x v="2"/>
  </r>
  <r>
    <x v="5"/>
    <d v="2016-04-30T00:00:00"/>
    <n v="18387"/>
    <n v="12.9099998474121"/>
    <n v="12.9099998474121"/>
    <n v="0"/>
    <n v="0.93999999761581399"/>
    <n v="1.3999999761581401"/>
    <n v="10.569999694824199"/>
    <n v="0"/>
    <n v="13"/>
    <n v="23"/>
    <n v="361"/>
    <n v="1043"/>
    <n v="2732"/>
    <x v="4"/>
    <x v="2"/>
  </r>
  <r>
    <x v="6"/>
    <d v="2016-05-10T00:00:00"/>
    <n v="254"/>
    <n v="0.15999999642372101"/>
    <n v="0.15999999642372101"/>
    <n v="0"/>
    <n v="0"/>
    <n v="0"/>
    <n v="0.15999999642372101"/>
    <n v="0"/>
    <n v="0"/>
    <n v="0"/>
    <n v="17"/>
    <n v="1002"/>
    <n v="1141"/>
    <x v="6"/>
    <x v="0"/>
  </r>
  <r>
    <x v="6"/>
    <d v="2016-04-17T00:00:00"/>
    <n v="838"/>
    <n v="0.519999980926514"/>
    <n v="0.519999980926514"/>
    <n v="0"/>
    <n v="0"/>
    <n v="0"/>
    <n v="0.519999980926514"/>
    <n v="0"/>
    <n v="0"/>
    <n v="0"/>
    <n v="60"/>
    <n v="1053"/>
    <n v="1214"/>
    <x v="1"/>
    <x v="0"/>
  </r>
  <r>
    <x v="6"/>
    <d v="2016-04-19T00:00:00"/>
    <n v="2424"/>
    <n v="1.5"/>
    <n v="1.5"/>
    <n v="0"/>
    <n v="0"/>
    <n v="0"/>
    <n v="1.5"/>
    <n v="0"/>
    <n v="0"/>
    <n v="0"/>
    <n v="141"/>
    <n v="785"/>
    <n v="1356"/>
    <x v="6"/>
    <x v="0"/>
  </r>
  <r>
    <x v="6"/>
    <d v="2016-04-21T00:00:00"/>
    <n v="2467"/>
    <n v="1.5299999713897701"/>
    <n v="1.5299999713897701"/>
    <n v="0"/>
    <n v="0"/>
    <n v="0"/>
    <n v="1.5299999713897701"/>
    <n v="0"/>
    <n v="0"/>
    <n v="0"/>
    <n v="153"/>
    <n v="749"/>
    <n v="1370"/>
    <x v="0"/>
    <x v="0"/>
  </r>
  <r>
    <x v="6"/>
    <d v="2016-04-16T00:00:00"/>
    <n v="2547"/>
    <n v="1.58000004291534"/>
    <n v="1.58000004291534"/>
    <n v="0"/>
    <n v="0"/>
    <n v="0"/>
    <n v="1.58000004291534"/>
    <n v="0"/>
    <n v="0"/>
    <n v="0"/>
    <n v="150"/>
    <n v="728"/>
    <n v="1373"/>
    <x v="4"/>
    <x v="0"/>
  </r>
  <r>
    <x v="6"/>
    <d v="2016-04-22T00:00:00"/>
    <n v="2915"/>
    <n v="1.8099999427795399"/>
    <n v="1.8099999427795399"/>
    <n v="0"/>
    <n v="0"/>
    <n v="0"/>
    <n v="1.8099999427795399"/>
    <n v="0"/>
    <n v="0"/>
    <n v="0"/>
    <n v="162"/>
    <n v="712"/>
    <n v="1399"/>
    <x v="2"/>
    <x v="0"/>
  </r>
  <r>
    <x v="6"/>
    <d v="2016-04-18T00:00:00"/>
    <n v="3325"/>
    <n v="2.0599999427795401"/>
    <n v="2.0599999427795401"/>
    <n v="0"/>
    <n v="0"/>
    <n v="0"/>
    <n v="2.0599999427795401"/>
    <n v="0"/>
    <n v="0"/>
    <n v="0"/>
    <n v="182"/>
    <n v="1062"/>
    <n v="1419"/>
    <x v="5"/>
    <x v="0"/>
  </r>
  <r>
    <x v="6"/>
    <d v="2016-04-14T00:00:00"/>
    <n v="3335"/>
    <n v="2.0699999332428001"/>
    <n v="2.0699999332428001"/>
    <n v="0"/>
    <n v="0"/>
    <n v="0"/>
    <n v="2.0499999523162802"/>
    <n v="0"/>
    <n v="0"/>
    <n v="0"/>
    <n v="197"/>
    <n v="653"/>
    <n v="1431"/>
    <x v="0"/>
    <x v="0"/>
  </r>
  <r>
    <x v="6"/>
    <d v="2016-04-24T00:00:00"/>
    <n v="3490"/>
    <n v="2.1600000858306898"/>
    <n v="2.1600000858306898"/>
    <n v="0"/>
    <n v="0"/>
    <n v="0"/>
    <n v="2.1600000858306898"/>
    <n v="0"/>
    <n v="0"/>
    <n v="0"/>
    <n v="164"/>
    <n v="704"/>
    <n v="1401"/>
    <x v="1"/>
    <x v="0"/>
  </r>
  <r>
    <x v="6"/>
    <d v="2016-05-01T00:00:00"/>
    <n v="3609"/>
    <n v="2.2799999713897701"/>
    <n v="2.2799999713897701"/>
    <n v="0"/>
    <n v="0"/>
    <n v="0"/>
    <n v="2.2799999713897701"/>
    <n v="0"/>
    <n v="0"/>
    <n v="0"/>
    <n v="191"/>
    <n v="716"/>
    <n v="1447"/>
    <x v="1"/>
    <x v="0"/>
  </r>
  <r>
    <x v="6"/>
    <d v="2016-04-15T00:00:00"/>
    <n v="3821"/>
    <n v="2.3699998855590798"/>
    <n v="2.3699998855590798"/>
    <n v="0"/>
    <n v="0"/>
    <n v="0"/>
    <n v="2.3699998855590798"/>
    <n v="0"/>
    <n v="0"/>
    <n v="0"/>
    <n v="188"/>
    <n v="687"/>
    <n v="1444"/>
    <x v="2"/>
    <x v="0"/>
  </r>
  <r>
    <x v="6"/>
    <d v="2016-05-07T00:00:00"/>
    <n v="4193"/>
    <n v="2.5999999046325701"/>
    <n v="2.5999999046325701"/>
    <n v="0"/>
    <n v="0"/>
    <n v="0"/>
    <n v="2.5999999046325701"/>
    <n v="0"/>
    <n v="0"/>
    <n v="0"/>
    <n v="229"/>
    <n v="665"/>
    <n v="1491"/>
    <x v="4"/>
    <x v="0"/>
  </r>
  <r>
    <x v="6"/>
    <d v="2016-04-12T00:00:00"/>
    <n v="4414"/>
    <n v="2.7400000095367401"/>
    <n v="2.7400000095367401"/>
    <n v="0"/>
    <n v="0.18999999761581399"/>
    <n v="0.34999999403953602"/>
    <n v="2.2000000476837198"/>
    <n v="0"/>
    <n v="3"/>
    <n v="8"/>
    <n v="181"/>
    <n v="706"/>
    <n v="1459"/>
    <x v="6"/>
    <x v="0"/>
  </r>
  <r>
    <x v="6"/>
    <d v="2016-04-30T00:00:00"/>
    <n v="4729"/>
    <n v="2.9300000667571999"/>
    <n v="2.9300000667571999"/>
    <n v="0"/>
    <n v="0"/>
    <n v="0"/>
    <n v="2.9300000667571999"/>
    <n v="0"/>
    <n v="0"/>
    <n v="0"/>
    <n v="233"/>
    <n v="594"/>
    <n v="1506"/>
    <x v="4"/>
    <x v="0"/>
  </r>
  <r>
    <x v="6"/>
    <d v="2016-04-13T00:00:00"/>
    <n v="4993"/>
    <n v="3.0999999046325701"/>
    <n v="3.0999999046325701"/>
    <n v="0"/>
    <n v="0"/>
    <n v="0"/>
    <n v="3.0999999046325701"/>
    <n v="0"/>
    <n v="0"/>
    <n v="0"/>
    <n v="238"/>
    <n v="663"/>
    <n v="1521"/>
    <x v="3"/>
    <x v="0"/>
  </r>
  <r>
    <x v="6"/>
    <d v="2016-05-08T00:00:00"/>
    <n v="5528"/>
    <n v="3.4500000476837198"/>
    <n v="3.4500000476837198"/>
    <n v="0"/>
    <n v="0"/>
    <n v="0"/>
    <n v="3.4500000476837198"/>
    <n v="0"/>
    <n v="0"/>
    <n v="0"/>
    <n v="258"/>
    <n v="610"/>
    <n v="1555"/>
    <x v="1"/>
    <x v="3"/>
  </r>
  <r>
    <x v="6"/>
    <d v="2016-04-26T00:00:00"/>
    <n v="5933"/>
    <n v="3.6800000667571999"/>
    <n v="3.6800000667571999"/>
    <n v="0"/>
    <n v="0"/>
    <n v="0"/>
    <n v="3.6800000667571999"/>
    <n v="0"/>
    <n v="0"/>
    <n v="0"/>
    <n v="288"/>
    <n v="1018"/>
    <n v="1595"/>
    <x v="6"/>
    <x v="3"/>
  </r>
  <r>
    <x v="6"/>
    <d v="2016-05-03T00:00:00"/>
    <n v="5992"/>
    <n v="3.7200000286102299"/>
    <n v="3.7200000286102299"/>
    <n v="0"/>
    <n v="0"/>
    <n v="0"/>
    <n v="3.7200000286102299"/>
    <n v="0"/>
    <n v="0"/>
    <n v="0"/>
    <n v="304"/>
    <n v="981"/>
    <n v="1604"/>
    <x v="6"/>
    <x v="3"/>
  </r>
  <r>
    <x v="6"/>
    <d v="2016-04-25T00:00:00"/>
    <n v="6017"/>
    <n v="3.7300000190734899"/>
    <n v="3.7300000190734899"/>
    <n v="0"/>
    <n v="0"/>
    <n v="0"/>
    <n v="3.7300000190734899"/>
    <n v="0"/>
    <n v="0"/>
    <n v="0"/>
    <n v="260"/>
    <n v="821"/>
    <n v="1576"/>
    <x v="5"/>
    <x v="3"/>
  </r>
  <r>
    <x v="6"/>
    <d v="2016-04-27T00:00:00"/>
    <n v="6088"/>
    <n v="3.7699999809265101"/>
    <n v="3.7699999809265101"/>
    <n v="0"/>
    <n v="0"/>
    <n v="0"/>
    <n v="3.7699999809265101"/>
    <n v="0"/>
    <n v="0"/>
    <n v="0"/>
    <n v="286"/>
    <n v="586"/>
    <n v="1593"/>
    <x v="3"/>
    <x v="3"/>
  </r>
  <r>
    <x v="6"/>
    <d v="2016-04-28T00:00:00"/>
    <n v="6375"/>
    <n v="3.9500000476837198"/>
    <n v="3.9500000476837198"/>
    <n v="0"/>
    <n v="0"/>
    <n v="0"/>
    <n v="3.9500000476837198"/>
    <n v="0"/>
    <n v="0"/>
    <n v="0"/>
    <n v="331"/>
    <n v="626"/>
    <n v="1649"/>
    <x v="0"/>
    <x v="3"/>
  </r>
  <r>
    <x v="6"/>
    <d v="2016-05-04T00:00:00"/>
    <n v="6564"/>
    <n v="4.0700001716613796"/>
    <n v="4.0700001716613796"/>
    <n v="0"/>
    <n v="0"/>
    <n v="0"/>
    <n v="4.0700001716613796"/>
    <n v="0"/>
    <n v="0"/>
    <n v="0"/>
    <n v="345"/>
    <n v="530"/>
    <n v="1658"/>
    <x v="3"/>
    <x v="3"/>
  </r>
  <r>
    <x v="6"/>
    <d v="2016-05-02T00:00:00"/>
    <n v="7018"/>
    <n v="4.3499999046325701"/>
    <n v="4.3499999046325701"/>
    <n v="0"/>
    <n v="0"/>
    <n v="0"/>
    <n v="4.3499999046325701"/>
    <n v="0"/>
    <n v="0"/>
    <n v="0"/>
    <n v="355"/>
    <n v="716"/>
    <n v="1690"/>
    <x v="5"/>
    <x v="3"/>
  </r>
  <r>
    <x v="6"/>
    <d v="2016-04-20T00:00:00"/>
    <n v="7222"/>
    <n v="4.4800000190734899"/>
    <n v="4.4800000190734899"/>
    <n v="0"/>
    <n v="0"/>
    <n v="0"/>
    <n v="4.4800000190734899"/>
    <n v="0"/>
    <n v="0"/>
    <n v="0"/>
    <n v="327"/>
    <n v="623"/>
    <n v="1667"/>
    <x v="3"/>
    <x v="3"/>
  </r>
  <r>
    <x v="6"/>
    <d v="2016-04-29T00:00:00"/>
    <n v="7604"/>
    <n v="4.71000003814697"/>
    <n v="4.71000003814697"/>
    <n v="0"/>
    <n v="0"/>
    <n v="0"/>
    <n v="4.71000003814697"/>
    <n v="0"/>
    <n v="0"/>
    <n v="0"/>
    <n v="352"/>
    <n v="492"/>
    <n v="1692"/>
    <x v="2"/>
    <x v="1"/>
  </r>
  <r>
    <x v="6"/>
    <d v="2016-05-06T00:00:00"/>
    <n v="8198"/>
    <n v="5.0799999237060502"/>
    <n v="5.0799999237060502"/>
    <n v="0"/>
    <n v="0"/>
    <n v="0"/>
    <n v="5.0799999237060502"/>
    <n v="0"/>
    <n v="0"/>
    <n v="0"/>
    <n v="383"/>
    <n v="511"/>
    <n v="1736"/>
    <x v="2"/>
    <x v="1"/>
  </r>
  <r>
    <x v="6"/>
    <d v="2016-05-11T00:00:00"/>
    <n v="8580"/>
    <n v="5.3200001716613796"/>
    <n v="5.3200001716613796"/>
    <n v="0"/>
    <n v="0"/>
    <n v="0"/>
    <n v="5.3200001716613796"/>
    <n v="0"/>
    <n v="0"/>
    <n v="0"/>
    <n v="330"/>
    <n v="569"/>
    <n v="1698"/>
    <x v="3"/>
    <x v="1"/>
  </r>
  <r>
    <x v="6"/>
    <d v="2016-05-12T00:00:00"/>
    <n v="8891"/>
    <n v="5.5100002288818404"/>
    <n v="5.5100002288818404"/>
    <n v="0"/>
    <n v="0"/>
    <n v="0"/>
    <n v="5.5100002288818404"/>
    <n v="0"/>
    <n v="0"/>
    <n v="0"/>
    <n v="343"/>
    <n v="330"/>
    <n v="1364"/>
    <x v="0"/>
    <x v="1"/>
  </r>
  <r>
    <x v="6"/>
    <d v="2016-05-09T00:00:00"/>
    <n v="10685"/>
    <n v="6.6199998855590803"/>
    <n v="6.6199998855590803"/>
    <n v="0"/>
    <n v="0"/>
    <n v="0"/>
    <n v="6.5999999046325701"/>
    <n v="0"/>
    <n v="0"/>
    <n v="0"/>
    <n v="401"/>
    <n v="543"/>
    <n v="1869"/>
    <x v="5"/>
    <x v="2"/>
  </r>
  <r>
    <x v="6"/>
    <d v="2016-05-05T00:00:00"/>
    <n v="12167"/>
    <n v="7.53999996185303"/>
    <n v="7.53999996185303"/>
    <n v="0"/>
    <n v="0"/>
    <n v="0"/>
    <n v="7.53999996185303"/>
    <n v="0"/>
    <n v="0"/>
    <n v="0"/>
    <n v="475"/>
    <n v="479"/>
    <n v="1926"/>
    <x v="0"/>
    <x v="2"/>
  </r>
  <r>
    <x v="6"/>
    <d v="2016-04-23T00:00:00"/>
    <n v="12357"/>
    <n v="7.71000003814697"/>
    <n v="7.71000003814697"/>
    <n v="0"/>
    <n v="0"/>
    <n v="0"/>
    <n v="7.71000003814697"/>
    <n v="0"/>
    <n v="0"/>
    <n v="0"/>
    <n v="432"/>
    <n v="458"/>
    <n v="1916"/>
    <x v="4"/>
    <x v="2"/>
  </r>
  <r>
    <x v="7"/>
    <d v="2016-05-01T00:00:00"/>
    <n v="772"/>
    <n v="0.519999980926514"/>
    <n v="0.519999980926514"/>
    <n v="0"/>
    <n v="0"/>
    <n v="0"/>
    <n v="0.519999980926514"/>
    <n v="0"/>
    <n v="0"/>
    <n v="0"/>
    <n v="40"/>
    <n v="1400"/>
    <n v="1403"/>
    <x v="1"/>
    <x v="0"/>
  </r>
  <r>
    <x v="7"/>
    <d v="2016-04-29T00:00:00"/>
    <n v="924"/>
    <n v="0.62000000476837203"/>
    <n v="0.62000000476837203"/>
    <n v="0"/>
    <n v="0"/>
    <n v="0"/>
    <n v="0.62000000476837203"/>
    <n v="0"/>
    <n v="0"/>
    <n v="0"/>
    <n v="45"/>
    <n v="1395"/>
    <n v="1410"/>
    <x v="2"/>
    <x v="0"/>
  </r>
  <r>
    <x v="7"/>
    <d v="2016-05-04T00:00:00"/>
    <n v="1201"/>
    <n v="0.81000000238418601"/>
    <n v="0.81000000238418601"/>
    <n v="0"/>
    <n v="0"/>
    <n v="0"/>
    <n v="0.81000000238418601"/>
    <n v="0"/>
    <n v="0"/>
    <n v="0"/>
    <n v="52"/>
    <n v="1388"/>
    <n v="1426"/>
    <x v="3"/>
    <x v="0"/>
  </r>
  <r>
    <x v="7"/>
    <d v="2016-04-28T00:00:00"/>
    <n v="1532"/>
    <n v="1.0299999713897701"/>
    <n v="1.0299999713897701"/>
    <n v="0"/>
    <n v="0"/>
    <n v="0"/>
    <n v="1.0299999713897701"/>
    <n v="0"/>
    <n v="0"/>
    <n v="0"/>
    <n v="76"/>
    <n v="1364"/>
    <n v="1473"/>
    <x v="0"/>
    <x v="0"/>
  </r>
  <r>
    <x v="7"/>
    <d v="2016-04-27T00:00:00"/>
    <n v="1715"/>
    <n v="1.1599999666214"/>
    <n v="1.1599999666214"/>
    <n v="0"/>
    <n v="0"/>
    <n v="0"/>
    <n v="1.1599999666214"/>
    <n v="0"/>
    <n v="0"/>
    <n v="0"/>
    <n v="82"/>
    <n v="1358"/>
    <n v="1481"/>
    <x v="3"/>
    <x v="0"/>
  </r>
  <r>
    <x v="7"/>
    <d v="2016-05-12T00:00:00"/>
    <n v="2661"/>
    <n v="1.78999996185303"/>
    <n v="1.78999996185303"/>
    <n v="0"/>
    <n v="0"/>
    <n v="0"/>
    <n v="1.78999996185303"/>
    <n v="0"/>
    <n v="0"/>
    <n v="0"/>
    <n v="128"/>
    <n v="830"/>
    <n v="1125"/>
    <x v="0"/>
    <x v="0"/>
  </r>
  <r>
    <x v="7"/>
    <d v="2016-05-09T00:00:00"/>
    <n v="3090"/>
    <n v="2.0799999237060498"/>
    <n v="2.0799999237060498"/>
    <n v="0"/>
    <n v="0"/>
    <n v="0"/>
    <n v="2.0799999237060498"/>
    <n v="0"/>
    <n v="0"/>
    <n v="0"/>
    <n v="145"/>
    <n v="1295"/>
    <n v="1630"/>
    <x v="5"/>
    <x v="0"/>
  </r>
  <r>
    <x v="7"/>
    <d v="2016-04-21T00:00:00"/>
    <n v="3404"/>
    <n v="2.28999996185303"/>
    <n v="2.28999996185303"/>
    <n v="0"/>
    <n v="5.9999998658895499E-2"/>
    <n v="0.41999998688697798"/>
    <n v="1.8099999427795399"/>
    <n v="0"/>
    <n v="1"/>
    <n v="10"/>
    <n v="127"/>
    <n v="1302"/>
    <n v="1610"/>
    <x v="0"/>
    <x v="0"/>
  </r>
  <r>
    <x v="7"/>
    <d v="2016-04-26T00:00:00"/>
    <n v="3409"/>
    <n v="2.2999999523162802"/>
    <n v="2.2999999523162802"/>
    <n v="0"/>
    <n v="0"/>
    <n v="0"/>
    <n v="2.2999999523162802"/>
    <n v="0"/>
    <n v="0"/>
    <n v="0"/>
    <n v="147"/>
    <n v="1293"/>
    <n v="1632"/>
    <x v="6"/>
    <x v="0"/>
  </r>
  <r>
    <x v="7"/>
    <d v="2016-04-25T00:00:00"/>
    <n v="3588"/>
    <n v="2.4200000762939502"/>
    <n v="2.4200000762939502"/>
    <n v="0"/>
    <n v="0.230000004172325"/>
    <n v="0.20000000298023199"/>
    <n v="1.9900000095367401"/>
    <n v="0"/>
    <n v="3"/>
    <n v="5"/>
    <n v="152"/>
    <n v="1280"/>
    <n v="1654"/>
    <x v="5"/>
    <x v="0"/>
  </r>
  <r>
    <x v="7"/>
    <d v="2016-05-02T00:00:00"/>
    <n v="3634"/>
    <n v="2.4500000476837198"/>
    <n v="2.4500000476837198"/>
    <n v="0"/>
    <n v="0.36000001430511502"/>
    <n v="0.20999999344348899"/>
    <n v="1.87999999523163"/>
    <n v="0"/>
    <n v="5"/>
    <n v="6"/>
    <n v="123"/>
    <n v="1306"/>
    <n v="1613"/>
    <x v="5"/>
    <x v="0"/>
  </r>
  <r>
    <x v="7"/>
    <d v="2016-04-14T00:00:00"/>
    <n v="3973"/>
    <n v="2.6800000667571999"/>
    <n v="2.6800000667571999"/>
    <n v="0"/>
    <n v="0"/>
    <n v="0"/>
    <n v="2.6800000667571999"/>
    <n v="0"/>
    <n v="0"/>
    <n v="0"/>
    <n v="191"/>
    <n v="1249"/>
    <n v="1696"/>
    <x v="0"/>
    <x v="0"/>
  </r>
  <r>
    <x v="7"/>
    <d v="2016-04-24T00:00:00"/>
    <n v="4165"/>
    <n v="2.8099999427795401"/>
    <n v="2.8099999427795401"/>
    <n v="0"/>
    <n v="0"/>
    <n v="0"/>
    <n v="2.7999999523162802"/>
    <n v="0"/>
    <n v="0"/>
    <n v="0"/>
    <n v="204"/>
    <n v="1236"/>
    <n v="1725"/>
    <x v="1"/>
    <x v="0"/>
  </r>
  <r>
    <x v="7"/>
    <d v="2016-04-30T00:00:00"/>
    <n v="4571"/>
    <n v="3.0799999237060498"/>
    <n v="3.0799999237060498"/>
    <n v="0"/>
    <n v="0"/>
    <n v="0"/>
    <n v="3.0699999332428001"/>
    <n v="0"/>
    <n v="0"/>
    <n v="0"/>
    <n v="234"/>
    <n v="1206"/>
    <n v="1779"/>
    <x v="4"/>
    <x v="0"/>
  </r>
  <r>
    <x v="7"/>
    <d v="2016-05-06T00:00:00"/>
    <n v="4878"/>
    <n v="3.28999996185303"/>
    <n v="3.28999996185303"/>
    <n v="0"/>
    <n v="0"/>
    <n v="0"/>
    <n v="3.28999996185303"/>
    <n v="0"/>
    <n v="0"/>
    <n v="0"/>
    <n v="204"/>
    <n v="1236"/>
    <n v="1742"/>
    <x v="2"/>
    <x v="0"/>
  </r>
  <r>
    <x v="7"/>
    <d v="2016-04-16T00:00:00"/>
    <n v="5057"/>
    <n v="3.4100000858306898"/>
    <n v="3.4100000858306898"/>
    <n v="0"/>
    <n v="0"/>
    <n v="0"/>
    <n v="3.4000000953674299"/>
    <n v="0"/>
    <n v="0"/>
    <n v="0"/>
    <n v="195"/>
    <n v="1245"/>
    <n v="1724"/>
    <x v="4"/>
    <x v="3"/>
  </r>
  <r>
    <x v="7"/>
    <d v="2016-04-23T00:00:00"/>
    <n v="5079"/>
    <n v="3.4200000762939502"/>
    <n v="3.4200000762939502"/>
    <n v="0"/>
    <n v="0"/>
    <n v="0"/>
    <n v="3.4200000762939502"/>
    <n v="0"/>
    <n v="0"/>
    <n v="0"/>
    <n v="242"/>
    <n v="1129"/>
    <n v="1804"/>
    <x v="4"/>
    <x v="3"/>
  </r>
  <r>
    <x v="7"/>
    <d v="2016-05-08T00:00:00"/>
    <n v="5161"/>
    <n v="3.4800000190734899"/>
    <n v="3.4800000190734899"/>
    <n v="0"/>
    <n v="0"/>
    <n v="0"/>
    <n v="3.4700000286102299"/>
    <n v="0"/>
    <n v="0"/>
    <n v="0"/>
    <n v="247"/>
    <n v="1193"/>
    <n v="1821"/>
    <x v="1"/>
    <x v="3"/>
  </r>
  <r>
    <x v="7"/>
    <d v="2016-05-05T00:00:00"/>
    <n v="5202"/>
    <n v="3.5099999904632599"/>
    <n v="3.5099999904632599"/>
    <n v="0"/>
    <n v="0"/>
    <n v="0.38999998569488498"/>
    <n v="3.1099998950958301"/>
    <n v="0"/>
    <n v="0"/>
    <n v="11"/>
    <n v="223"/>
    <n v="1206"/>
    <n v="1780"/>
    <x v="0"/>
    <x v="3"/>
  </r>
  <r>
    <x v="7"/>
    <d v="2016-04-15T00:00:00"/>
    <n v="5205"/>
    <n v="3.5099999904632599"/>
    <n v="3.5099999904632599"/>
    <n v="0"/>
    <n v="0"/>
    <n v="0"/>
    <n v="3.5099999904632599"/>
    <n v="0"/>
    <n v="0"/>
    <n v="0"/>
    <n v="245"/>
    <n v="1195"/>
    <n v="1801"/>
    <x v="2"/>
    <x v="3"/>
  </r>
  <r>
    <x v="7"/>
    <d v="2016-04-22T00:00:00"/>
    <n v="5583"/>
    <n v="3.7599999904632599"/>
    <n v="3.7599999904632599"/>
    <n v="0"/>
    <n v="0"/>
    <n v="0"/>
    <n v="3.7599999904632599"/>
    <n v="0"/>
    <n v="0"/>
    <n v="0"/>
    <n v="266"/>
    <n v="1174"/>
    <n v="1851"/>
    <x v="2"/>
    <x v="3"/>
  </r>
  <r>
    <x v="7"/>
    <d v="2016-04-19T00:00:00"/>
    <n v="5997"/>
    <n v="4.03999996185303"/>
    <n v="4.03999996185303"/>
    <n v="0"/>
    <n v="0"/>
    <n v="0.37999999523162797"/>
    <n v="3.6600000858306898"/>
    <n v="0"/>
    <n v="0"/>
    <n v="11"/>
    <n v="228"/>
    <n v="1201"/>
    <n v="1811"/>
    <x v="6"/>
    <x v="3"/>
  </r>
  <r>
    <x v="7"/>
    <d v="2016-04-17T00:00:00"/>
    <n v="6198"/>
    <n v="4.1799998283386204"/>
    <n v="4.1799998283386204"/>
    <n v="0"/>
    <n v="0"/>
    <n v="0"/>
    <n v="4.1799998283386204"/>
    <n v="0"/>
    <n v="0"/>
    <n v="0"/>
    <n v="249"/>
    <n v="1191"/>
    <n v="1852"/>
    <x v="1"/>
    <x v="3"/>
  </r>
  <r>
    <x v="7"/>
    <d v="2016-05-10T00:00:00"/>
    <n v="6227"/>
    <n v="4.1999998092651403"/>
    <n v="4.1999998092651403"/>
    <n v="0"/>
    <n v="0"/>
    <n v="0"/>
    <n v="4.1999998092651403"/>
    <n v="0"/>
    <n v="0"/>
    <n v="0"/>
    <n v="290"/>
    <n v="1150"/>
    <n v="1899"/>
    <x v="6"/>
    <x v="3"/>
  </r>
  <r>
    <x v="7"/>
    <d v="2016-05-11T00:00:00"/>
    <n v="6424"/>
    <n v="4.3299999237060502"/>
    <n v="4.3299999237060502"/>
    <n v="0"/>
    <n v="0"/>
    <n v="0"/>
    <n v="4.3299999237060502"/>
    <n v="0"/>
    <n v="0"/>
    <n v="0"/>
    <n v="300"/>
    <n v="1140"/>
    <n v="1903"/>
    <x v="3"/>
    <x v="3"/>
  </r>
  <r>
    <x v="7"/>
    <d v="2016-04-18T00:00:00"/>
    <n v="6559"/>
    <n v="4.4200000762939498"/>
    <n v="4.4200000762939498"/>
    <n v="0"/>
    <n v="0"/>
    <n v="0.259999990463257"/>
    <n v="4.1399998664856001"/>
    <n v="0"/>
    <n v="0"/>
    <n v="7"/>
    <n v="260"/>
    <n v="1173"/>
    <n v="1905"/>
    <x v="5"/>
    <x v="3"/>
  </r>
  <r>
    <x v="7"/>
    <d v="2016-04-20T00:00:00"/>
    <n v="7192"/>
    <n v="4.8499999046325701"/>
    <n v="4.8499999046325701"/>
    <n v="0"/>
    <n v="0"/>
    <n v="0.490000009536743"/>
    <n v="4.3400001525878897"/>
    <n v="0"/>
    <n v="0"/>
    <n v="11"/>
    <n v="283"/>
    <n v="1146"/>
    <n v="1922"/>
    <x v="3"/>
    <x v="3"/>
  </r>
  <r>
    <x v="7"/>
    <d v="2016-04-13T00:00:00"/>
    <n v="7275"/>
    <n v="4.9000000953674299"/>
    <n v="4.9000000953674299"/>
    <n v="0"/>
    <n v="0"/>
    <n v="0"/>
    <n v="4.9000000953674299"/>
    <n v="0"/>
    <n v="0"/>
    <n v="0"/>
    <n v="335"/>
    <n v="1105"/>
    <n v="2003"/>
    <x v="3"/>
    <x v="3"/>
  </r>
  <r>
    <x v="7"/>
    <d v="2016-05-07T00:00:00"/>
    <n v="7379"/>
    <n v="4.9699997901916504"/>
    <n v="4.9699997901916504"/>
    <n v="0"/>
    <n v="0"/>
    <n v="0"/>
    <n v="4.9699997901916504"/>
    <n v="0"/>
    <n v="0"/>
    <n v="0"/>
    <n v="319"/>
    <n v="1121"/>
    <n v="1972"/>
    <x v="4"/>
    <x v="3"/>
  </r>
  <r>
    <x v="7"/>
    <d v="2016-05-03T00:00:00"/>
    <n v="7443"/>
    <n v="5.0199999809265101"/>
    <n v="5.0199999809265101"/>
    <n v="0"/>
    <n v="1.4900000095367401"/>
    <n v="0.37000000476837203"/>
    <n v="3.1600000858306898"/>
    <n v="0"/>
    <n v="20"/>
    <n v="10"/>
    <n v="206"/>
    <n v="1204"/>
    <n v="1878"/>
    <x v="6"/>
    <x v="3"/>
  </r>
  <r>
    <x v="7"/>
    <d v="2016-04-12T00:00:00"/>
    <n v="10725"/>
    <n v="7.4899997711181596"/>
    <n v="7.4899997711181596"/>
    <n v="0"/>
    <n v="1.16999995708466"/>
    <n v="0.31000000238418601"/>
    <n v="6.0100002288818404"/>
    <n v="0"/>
    <n v="13"/>
    <n v="9"/>
    <n v="306"/>
    <n v="1112"/>
    <n v="2124"/>
    <x v="6"/>
    <x v="2"/>
  </r>
  <r>
    <x v="8"/>
    <d v="2016-04-29T00:00:00"/>
    <n v="42"/>
    <n v="2.9999999329447701E-2"/>
    <n v="2.9999999329447701E-2"/>
    <n v="0"/>
    <n v="0"/>
    <n v="0"/>
    <n v="2.9999999329447701E-2"/>
    <n v="0"/>
    <n v="0"/>
    <n v="0"/>
    <n v="4"/>
    <n v="2"/>
    <n v="403"/>
    <x v="2"/>
    <x v="0"/>
  </r>
  <r>
    <x v="8"/>
    <d v="2016-04-28T00:00:00"/>
    <n v="5439"/>
    <n v="3.5999999046325701"/>
    <n v="3.5999999046325701"/>
    <n v="0"/>
    <n v="0"/>
    <n v="0"/>
    <n v="3.5999999046325701"/>
    <n v="0"/>
    <n v="0"/>
    <n v="0"/>
    <n v="229"/>
    <n v="764"/>
    <n v="1854"/>
    <x v="0"/>
    <x v="3"/>
  </r>
  <r>
    <x v="8"/>
    <d v="2016-04-17T00:00:00"/>
    <n v="5472"/>
    <n v="3.6199998855590798"/>
    <n v="3.6199998855590798"/>
    <n v="0"/>
    <n v="7.9999998211860698E-2"/>
    <n v="0.28000000119209301"/>
    <n v="3.2599999904632599"/>
    <n v="0"/>
    <n v="1"/>
    <n v="7"/>
    <n v="249"/>
    <n v="508"/>
    <n v="1882"/>
    <x v="1"/>
    <x v="3"/>
  </r>
  <r>
    <x v="8"/>
    <d v="2016-04-26T00:00:00"/>
    <n v="5980"/>
    <n v="3.9500000476837198"/>
    <n v="3.9500000476837198"/>
    <n v="0"/>
    <n v="0"/>
    <n v="0"/>
    <n v="3.9500000476837198"/>
    <n v="0"/>
    <n v="0"/>
    <n v="0"/>
    <n v="227"/>
    <n v="732"/>
    <n v="1861"/>
    <x v="6"/>
    <x v="3"/>
  </r>
  <r>
    <x v="8"/>
    <d v="2016-04-19T00:00:00"/>
    <n v="6711"/>
    <n v="4.4400000572204599"/>
    <n v="4.4400000572204599"/>
    <n v="0"/>
    <n v="0"/>
    <n v="0"/>
    <n v="4.4400000572204599"/>
    <n v="0"/>
    <n v="0"/>
    <n v="7"/>
    <n v="382"/>
    <n v="648"/>
    <n v="2346"/>
    <x v="6"/>
    <x v="3"/>
  </r>
  <r>
    <x v="8"/>
    <d v="2016-04-22T00:00:00"/>
    <n v="7804"/>
    <n v="5.1599998474121103"/>
    <n v="5.1599998474121103"/>
    <n v="0"/>
    <n v="0.56000000238418601"/>
    <n v="1.6799999475479099"/>
    <n v="2.9200000762939502"/>
    <n v="0"/>
    <n v="9"/>
    <n v="27"/>
    <n v="206"/>
    <n v="781"/>
    <n v="1946"/>
    <x v="2"/>
    <x v="1"/>
  </r>
  <r>
    <x v="8"/>
    <d v="2016-04-18T00:00:00"/>
    <n v="8247"/>
    <n v="5.4499998092651403"/>
    <n v="5.4499998092651403"/>
    <n v="0"/>
    <n v="0.79000002145767201"/>
    <n v="0.86000001430511497"/>
    <n v="3.78999996185303"/>
    <n v="0"/>
    <n v="11"/>
    <n v="16"/>
    <n v="206"/>
    <n v="678"/>
    <n v="1944"/>
    <x v="5"/>
    <x v="1"/>
  </r>
  <r>
    <x v="8"/>
    <d v="2016-04-24T00:00:00"/>
    <n v="9471"/>
    <n v="6.2600002288818404"/>
    <n v="6.2600002288818404"/>
    <n v="0"/>
    <n v="0"/>
    <n v="0"/>
    <n v="6.2600002288818404"/>
    <n v="0"/>
    <n v="0"/>
    <n v="0"/>
    <n v="360"/>
    <n v="584"/>
    <n v="2187"/>
    <x v="1"/>
    <x v="1"/>
  </r>
  <r>
    <x v="8"/>
    <d v="2016-04-25T00:00:00"/>
    <n v="9482"/>
    <n v="6.3800001144409197"/>
    <n v="6.3800001144409197"/>
    <n v="0"/>
    <n v="1.2699999809265099"/>
    <n v="0.519999980926514"/>
    <n v="4.5999999046325701"/>
    <n v="0"/>
    <n v="15"/>
    <n v="11"/>
    <n v="277"/>
    <n v="653"/>
    <n v="2095"/>
    <x v="5"/>
    <x v="1"/>
  </r>
  <r>
    <x v="8"/>
    <d v="2016-04-21T00:00:00"/>
    <n v="10080"/>
    <n v="6.75"/>
    <n v="6.75"/>
    <n v="0"/>
    <n v="1.8500000238418599"/>
    <n v="1.5299999713897701"/>
    <n v="3.3800001144409202"/>
    <n v="0"/>
    <n v="23"/>
    <n v="26"/>
    <n v="208"/>
    <n v="761"/>
    <n v="2048"/>
    <x v="0"/>
    <x v="2"/>
  </r>
  <r>
    <x v="8"/>
    <d v="2016-04-12T00:00:00"/>
    <n v="10113"/>
    <n v="6.8299999237060502"/>
    <n v="6.8299999237060502"/>
    <n v="0"/>
    <n v="2"/>
    <n v="0.62000000476837203"/>
    <n v="4.1999998092651403"/>
    <n v="0"/>
    <n v="28"/>
    <n v="13"/>
    <n v="320"/>
    <n v="964"/>
    <n v="2344"/>
    <x v="6"/>
    <x v="2"/>
  </r>
  <r>
    <x v="8"/>
    <d v="2016-04-14T00:00:00"/>
    <n v="10129"/>
    <n v="6.6999998092651403"/>
    <n v="6.6999998092651403"/>
    <n v="0"/>
    <n v="1.9999999552965199E-2"/>
    <n v="2.7400000095367401"/>
    <n v="3.9400000572204599"/>
    <n v="0"/>
    <n v="1"/>
    <n v="48"/>
    <n v="206"/>
    <n v="705"/>
    <n v="2010"/>
    <x v="0"/>
    <x v="2"/>
  </r>
  <r>
    <x v="8"/>
    <d v="2016-04-13T00:00:00"/>
    <n v="10352"/>
    <n v="7.0100002288818404"/>
    <n v="7.0100002288818404"/>
    <n v="0"/>
    <n v="1.6599999666214"/>
    <n v="1.9400000572204601"/>
    <n v="3.4100000858306898"/>
    <n v="0"/>
    <n v="19"/>
    <n v="32"/>
    <n v="195"/>
    <n v="676"/>
    <n v="2038"/>
    <x v="3"/>
    <x v="2"/>
  </r>
  <r>
    <x v="8"/>
    <d v="2016-04-15T00:00:00"/>
    <n v="10465"/>
    <n v="6.9200000762939498"/>
    <n v="6.9200000762939498"/>
    <n v="0"/>
    <n v="7.0000000298023196E-2"/>
    <n v="1.41999995708466"/>
    <n v="5.4299998283386204"/>
    <n v="0"/>
    <n v="1"/>
    <n v="24"/>
    <n v="284"/>
    <n v="720"/>
    <n v="2133"/>
    <x v="2"/>
    <x v="2"/>
  </r>
  <r>
    <x v="8"/>
    <d v="2016-04-20T00:00:00"/>
    <n v="10999"/>
    <n v="7.2699999809265101"/>
    <n v="7.2699999809265101"/>
    <n v="0"/>
    <n v="0.68000000715255704"/>
    <n v="1.8099999427795399"/>
    <n v="4.7800002098083496"/>
    <n v="0"/>
    <n v="11"/>
    <n v="43"/>
    <n v="269"/>
    <n v="1011"/>
    <n v="2198"/>
    <x v="3"/>
    <x v="2"/>
  </r>
  <r>
    <x v="8"/>
    <d v="2016-04-27T00:00:00"/>
    <n v="11423"/>
    <n v="7.5799999237060502"/>
    <n v="7.5799999237060502"/>
    <n v="0"/>
    <n v="1.8600000143051101"/>
    <n v="0.40000000596046398"/>
    <n v="5.3200001716613796"/>
    <n v="0"/>
    <n v="26"/>
    <n v="9"/>
    <n v="295"/>
    <n v="623"/>
    <n v="2194"/>
    <x v="3"/>
    <x v="2"/>
  </r>
  <r>
    <x v="8"/>
    <d v="2016-04-23T00:00:00"/>
    <n v="16901"/>
    <n v="11.3699998855591"/>
    <n v="11.3699998855591"/>
    <n v="0"/>
    <n v="2.7799999713897701"/>
    <n v="1.45000004768372"/>
    <n v="7.1500000953674299"/>
    <n v="0"/>
    <n v="32"/>
    <n v="35"/>
    <n v="360"/>
    <n v="591"/>
    <n v="2629"/>
    <x v="4"/>
    <x v="2"/>
  </r>
  <r>
    <x v="8"/>
    <d v="2016-04-16T00:00:00"/>
    <n v="22244"/>
    <n v="15.079999923706101"/>
    <n v="15.079999923706101"/>
    <n v="0"/>
    <n v="5.4499998092651403"/>
    <n v="4.0999999046325701"/>
    <n v="5.5300002098083496"/>
    <n v="0"/>
    <n v="66"/>
    <n v="72"/>
    <n v="268"/>
    <n v="968"/>
    <n v="2670"/>
    <x v="4"/>
    <x v="2"/>
  </r>
  <r>
    <x v="9"/>
    <d v="2016-04-17T00:00:00"/>
    <n v="2524"/>
    <n v="1.70000004768372"/>
    <n v="1.70000004768372"/>
    <n v="0"/>
    <n v="0"/>
    <n v="0.34999999403953602"/>
    <n v="1.3400000333786"/>
    <n v="0"/>
    <n v="0"/>
    <n v="8"/>
    <n v="160"/>
    <n v="1272"/>
    <n v="1529"/>
    <x v="1"/>
    <x v="0"/>
  </r>
  <r>
    <x v="9"/>
    <d v="2016-04-27T00:00:00"/>
    <n v="3516"/>
    <n v="2.3599998950958301"/>
    <n v="2.3599998950958301"/>
    <n v="0"/>
    <n v="0"/>
    <n v="0"/>
    <n v="2.3599998950958301"/>
    <n v="0"/>
    <n v="46"/>
    <n v="0"/>
    <n v="197"/>
    <n v="1197"/>
    <n v="1966"/>
    <x v="3"/>
    <x v="0"/>
  </r>
  <r>
    <x v="9"/>
    <d v="2016-05-07T00:00:00"/>
    <n v="4940"/>
    <n v="3.3800001144409202"/>
    <n v="3.3800001144409202"/>
    <n v="0"/>
    <n v="2.2799999713897701"/>
    <n v="0.55000001192092896"/>
    <n v="0.55000001192092896"/>
    <n v="0"/>
    <n v="75"/>
    <n v="11"/>
    <n v="52"/>
    <n v="1302"/>
    <n v="1897"/>
    <x v="4"/>
    <x v="0"/>
  </r>
  <r>
    <x v="9"/>
    <d v="2016-05-11T00:00:00"/>
    <n v="6440"/>
    <n v="4.3299999237060502"/>
    <n v="4.3299999237060502"/>
    <n v="0"/>
    <n v="0"/>
    <n v="0"/>
    <n v="4.3200001716613796"/>
    <n v="9.9999997764825804E-3"/>
    <n v="0"/>
    <n v="0"/>
    <n v="319"/>
    <n v="1121"/>
    <n v="1826"/>
    <x v="3"/>
    <x v="3"/>
  </r>
  <r>
    <x v="9"/>
    <d v="2016-04-24T00:00:00"/>
    <n v="6873"/>
    <n v="4.6799998283386204"/>
    <n v="4.6799998283386204"/>
    <n v="0"/>
    <n v="3"/>
    <n v="5.9999998658895499E-2"/>
    <n v="1.62000000476837"/>
    <n v="0"/>
    <n v="46"/>
    <n v="1"/>
    <n v="190"/>
    <n v="1203"/>
    <n v="1898"/>
    <x v="1"/>
    <x v="3"/>
  </r>
  <r>
    <x v="9"/>
    <d v="2016-05-06T00:00:00"/>
    <n v="7063"/>
    <n v="4.75"/>
    <n v="4.75"/>
    <n v="0"/>
    <n v="0"/>
    <n v="0.119999997317791"/>
    <n v="4.6100001335143999"/>
    <n v="9.9999997764825804E-3"/>
    <n v="0"/>
    <n v="5"/>
    <n v="370"/>
    <n v="1065"/>
    <n v="1910"/>
    <x v="2"/>
    <x v="3"/>
  </r>
  <r>
    <x v="9"/>
    <d v="2016-04-22T00:00:00"/>
    <n v="7286"/>
    <n v="4.9000000953674299"/>
    <n v="4.9000000953674299"/>
    <n v="0"/>
    <n v="0.46000000834464999"/>
    <n v="0"/>
    <n v="4.4200000762939498"/>
    <n v="1.9999999552965199E-2"/>
    <n v="46"/>
    <n v="0"/>
    <n v="366"/>
    <n v="1028"/>
    <n v="2241"/>
    <x v="2"/>
    <x v="3"/>
  </r>
  <r>
    <x v="9"/>
    <d v="2016-04-29T00:00:00"/>
    <n v="7365"/>
    <n v="4.9499998092651403"/>
    <n v="4.9499998092651403"/>
    <n v="0"/>
    <n v="1.3600000143051101"/>
    <n v="1.4099999666214"/>
    <n v="2.1800000667571999"/>
    <n v="0"/>
    <n v="20"/>
    <n v="23"/>
    <n v="206"/>
    <n v="1191"/>
    <n v="1780"/>
    <x v="2"/>
    <x v="3"/>
  </r>
  <r>
    <x v="9"/>
    <d v="2016-04-25T00:00:00"/>
    <n v="7373"/>
    <n v="4.9499998092651403"/>
    <n v="4.9499998092651403"/>
    <n v="0"/>
    <n v="0"/>
    <n v="0"/>
    <n v="4.9499998092651403"/>
    <n v="0"/>
    <n v="0"/>
    <n v="0"/>
    <n v="359"/>
    <n v="1081"/>
    <n v="1907"/>
    <x v="5"/>
    <x v="3"/>
  </r>
  <r>
    <x v="9"/>
    <d v="2016-05-01T00:00:00"/>
    <n v="7399"/>
    <n v="4.9699997901916504"/>
    <n v="4.9699997901916504"/>
    <n v="0"/>
    <n v="0.490000009536743"/>
    <n v="1.03999996185303"/>
    <n v="3.4400000572204599"/>
    <n v="0"/>
    <n v="7"/>
    <n v="18"/>
    <n v="196"/>
    <n v="1219"/>
    <n v="1739"/>
    <x v="1"/>
    <x v="3"/>
  </r>
  <r>
    <x v="9"/>
    <d v="2016-05-03T00:00:00"/>
    <n v="7412"/>
    <n v="4.9800000190734899"/>
    <n v="4.9800000190734899"/>
    <n v="0"/>
    <n v="5.9999998658895499E-2"/>
    <n v="0.25"/>
    <n v="4.6599998474121103"/>
    <n v="9.9999997764825804E-3"/>
    <n v="1"/>
    <n v="6"/>
    <n v="363"/>
    <n v="1070"/>
    <n v="1906"/>
    <x v="6"/>
    <x v="3"/>
  </r>
  <r>
    <x v="9"/>
    <d v="2016-05-02T00:00:00"/>
    <n v="7525"/>
    <n v="5.0599999427795401"/>
    <n v="5.0599999427795401"/>
    <n v="0"/>
    <n v="0"/>
    <n v="0.20999999344348899"/>
    <n v="4.8299999237060502"/>
    <n v="1.9999999552965199E-2"/>
    <n v="0"/>
    <n v="7"/>
    <n v="334"/>
    <n v="1099"/>
    <n v="1878"/>
    <x v="5"/>
    <x v="1"/>
  </r>
  <r>
    <x v="9"/>
    <d v="2016-05-12T00:00:00"/>
    <n v="7566"/>
    <n v="5.1100001335143999"/>
    <n v="5.1100001335143999"/>
    <n v="0"/>
    <n v="0"/>
    <n v="0"/>
    <n v="5.1100001335143999"/>
    <n v="0"/>
    <n v="0"/>
    <n v="0"/>
    <n v="268"/>
    <n v="720"/>
    <n v="1431"/>
    <x v="0"/>
    <x v="1"/>
  </r>
  <r>
    <x v="9"/>
    <d v="2016-04-13T00:00:00"/>
    <n v="7618"/>
    <n v="5.1199998855590803"/>
    <n v="5.1199998855590803"/>
    <n v="0"/>
    <n v="0"/>
    <n v="0.21999999880790699"/>
    <n v="4.8800001144409197"/>
    <n v="1.9999999552965199E-2"/>
    <n v="0"/>
    <n v="8"/>
    <n v="404"/>
    <n v="1028"/>
    <n v="2004"/>
    <x v="3"/>
    <x v="1"/>
  </r>
  <r>
    <x v="9"/>
    <d v="2016-05-09T00:00:00"/>
    <n v="7726"/>
    <n v="5.1900000572204599"/>
    <n v="5.1900000572204599"/>
    <n v="0"/>
    <n v="0"/>
    <n v="0"/>
    <n v="5.1900000572204599"/>
    <n v="0"/>
    <n v="0"/>
    <n v="0"/>
    <n v="345"/>
    <n v="1095"/>
    <n v="1906"/>
    <x v="5"/>
    <x v="1"/>
  </r>
  <r>
    <x v="9"/>
    <d v="2016-04-18T00:00:00"/>
    <n v="7762"/>
    <n v="5.2399997711181596"/>
    <n v="5.2399997711181596"/>
    <n v="0"/>
    <n v="7.0000000298023196E-2"/>
    <n v="0.28000000119209301"/>
    <n v="4.8899998664856001"/>
    <n v="0"/>
    <n v="1"/>
    <n v="6"/>
    <n v="311"/>
    <n v="1122"/>
    <n v="1890"/>
    <x v="5"/>
    <x v="1"/>
  </r>
  <r>
    <x v="9"/>
    <d v="2016-04-14T00:00:00"/>
    <n v="7910"/>
    <n v="5.3200001716613796"/>
    <n v="5.3200001716613796"/>
    <n v="0"/>
    <n v="0"/>
    <n v="0"/>
    <n v="5.3200001716613796"/>
    <n v="0"/>
    <n v="0"/>
    <n v="0"/>
    <n v="331"/>
    <n v="1109"/>
    <n v="1893"/>
    <x v="0"/>
    <x v="1"/>
  </r>
  <r>
    <x v="9"/>
    <d v="2016-04-28T00:00:00"/>
    <n v="7913"/>
    <n v="5.4099998474121103"/>
    <n v="5.4099998474121103"/>
    <n v="0"/>
    <n v="2.1600000858306898"/>
    <n v="0.34000000357627902"/>
    <n v="2.9100000858306898"/>
    <n v="0"/>
    <n v="28"/>
    <n v="7"/>
    <n v="213"/>
    <n v="1192"/>
    <n v="1835"/>
    <x v="0"/>
    <x v="1"/>
  </r>
  <r>
    <x v="9"/>
    <d v="2016-04-19T00:00:00"/>
    <n v="7948"/>
    <n v="5.3699998855590803"/>
    <n v="5.3699998855590803"/>
    <n v="0"/>
    <n v="0"/>
    <n v="0"/>
    <n v="5.3600001335143999"/>
    <n v="0"/>
    <n v="0"/>
    <n v="0"/>
    <n v="389"/>
    <n v="1051"/>
    <n v="1956"/>
    <x v="6"/>
    <x v="1"/>
  </r>
  <r>
    <x v="9"/>
    <d v="2016-05-08T00:00:00"/>
    <n v="8168"/>
    <n v="5.53999996185303"/>
    <n v="5.53999996185303"/>
    <n v="0"/>
    <n v="2.9000000953674299"/>
    <n v="0"/>
    <n v="2.6400001049041699"/>
    <n v="0"/>
    <n v="46"/>
    <n v="0"/>
    <n v="326"/>
    <n v="1068"/>
    <n v="2096"/>
    <x v="1"/>
    <x v="1"/>
  </r>
  <r>
    <x v="9"/>
    <d v="2016-04-26T00:00:00"/>
    <n v="8242"/>
    <n v="5.53999996185303"/>
    <n v="5.53999996185303"/>
    <n v="0"/>
    <n v="0.119999997317791"/>
    <n v="0.18000000715255701"/>
    <n v="5.2399997711181596"/>
    <n v="0"/>
    <n v="2"/>
    <n v="5"/>
    <n v="309"/>
    <n v="1124"/>
    <n v="1882"/>
    <x v="6"/>
    <x v="1"/>
  </r>
  <r>
    <x v="9"/>
    <d v="2016-05-10T00:00:00"/>
    <n v="8275"/>
    <n v="5.5599999427795401"/>
    <n v="5.5599999427795401"/>
    <n v="0"/>
    <n v="0"/>
    <n v="0"/>
    <n v="5.5500001907348597"/>
    <n v="9.9999997764825804E-3"/>
    <n v="0"/>
    <n v="0"/>
    <n v="373"/>
    <n v="1067"/>
    <n v="1962"/>
    <x v="6"/>
    <x v="1"/>
  </r>
  <r>
    <x v="9"/>
    <d v="2016-05-04T00:00:00"/>
    <n v="8278"/>
    <n v="5.5599999427795401"/>
    <n v="5.5599999427795401"/>
    <n v="0"/>
    <n v="0"/>
    <n v="0"/>
    <n v="5.5599999427795401"/>
    <n v="0"/>
    <n v="0"/>
    <n v="0"/>
    <n v="420"/>
    <n v="1020"/>
    <n v="2015"/>
    <x v="3"/>
    <x v="1"/>
  </r>
  <r>
    <x v="9"/>
    <d v="2016-05-05T00:00:00"/>
    <n v="8314"/>
    <n v="5.6100001335143999"/>
    <n v="5.6100001335143999"/>
    <n v="0"/>
    <n v="0.77999997138977095"/>
    <n v="0.80000001192092896"/>
    <n v="4.0300002098083496"/>
    <n v="0"/>
    <n v="13"/>
    <n v="23"/>
    <n v="311"/>
    <n v="1093"/>
    <n v="1971"/>
    <x v="0"/>
    <x v="1"/>
  </r>
  <r>
    <x v="9"/>
    <d v="2016-04-30T00:00:00"/>
    <n v="8452"/>
    <n v="5.6799998283386204"/>
    <n v="5.6799998283386204"/>
    <n v="0"/>
    <n v="0.33000001311302202"/>
    <n v="1.08000004291534"/>
    <n v="4.2600002288818404"/>
    <n v="9.9999997764825804E-3"/>
    <n v="5"/>
    <n v="20"/>
    <n v="248"/>
    <n v="1167"/>
    <n v="1830"/>
    <x v="4"/>
    <x v="1"/>
  </r>
  <r>
    <x v="9"/>
    <d v="2016-04-15T00:00:00"/>
    <n v="8482"/>
    <n v="5.6999998092651403"/>
    <n v="5.6999998092651403"/>
    <n v="0"/>
    <n v="0"/>
    <n v="0"/>
    <n v="5.6900000572204599"/>
    <n v="9.9999997764825804E-3"/>
    <n v="0"/>
    <n v="0"/>
    <n v="448"/>
    <n v="992"/>
    <n v="2063"/>
    <x v="2"/>
    <x v="1"/>
  </r>
  <r>
    <x v="9"/>
    <d v="2016-04-12T00:00:00"/>
    <n v="8796"/>
    <n v="5.9099998474121103"/>
    <n v="5.9099998474121103"/>
    <n v="0"/>
    <n v="0.109999999403954"/>
    <n v="0.93000000715255704"/>
    <n v="4.8800001144409197"/>
    <n v="0"/>
    <n v="2"/>
    <n v="21"/>
    <n v="356"/>
    <n v="1061"/>
    <n v="1982"/>
    <x v="6"/>
    <x v="1"/>
  </r>
  <r>
    <x v="9"/>
    <d v="2016-04-21T00:00:00"/>
    <n v="8859"/>
    <n v="5.9800000190734899"/>
    <n v="5.9800000190734899"/>
    <n v="0"/>
    <n v="0.129999995231628"/>
    <n v="0.37000000476837203"/>
    <n v="5.4699997901916504"/>
    <n v="9.9999997764825804E-3"/>
    <n v="2"/>
    <n v="10"/>
    <n v="371"/>
    <n v="1057"/>
    <n v="1970"/>
    <x v="0"/>
    <x v="1"/>
  </r>
  <r>
    <x v="9"/>
    <d v="2016-04-20T00:00:00"/>
    <n v="9202"/>
    <n v="6.3000001907348597"/>
    <n v="6.3000001907348597"/>
    <n v="0"/>
    <n v="1.5099999904632599"/>
    <n v="0.119999997317791"/>
    <n v="4.6599998474121103"/>
    <n v="9.9999997764825804E-3"/>
    <n v="22"/>
    <n v="5"/>
    <n v="378"/>
    <n v="1035"/>
    <n v="2094"/>
    <x v="3"/>
    <x v="1"/>
  </r>
  <r>
    <x v="9"/>
    <d v="2016-04-23T00:00:00"/>
    <n v="9317"/>
    <n v="6.3499999046325701"/>
    <n v="6.3499999046325701"/>
    <n v="0"/>
    <n v="2.0899999141693102"/>
    <n v="0.230000004172325"/>
    <n v="4.0199999809265101"/>
    <n v="9.9999997764825804E-3"/>
    <n v="28"/>
    <n v="5"/>
    <n v="330"/>
    <n v="1077"/>
    <n v="2021"/>
    <x v="4"/>
    <x v="1"/>
  </r>
  <r>
    <x v="9"/>
    <d v="2016-04-16T00:00:00"/>
    <n v="9685"/>
    <n v="6.6500000953674299"/>
    <n v="6.6500000953674299"/>
    <n v="0"/>
    <n v="3.1099998950958301"/>
    <n v="1.9999999552965199E-2"/>
    <n v="3.5099999904632599"/>
    <n v="9.9999997764825804E-3"/>
    <n v="47"/>
    <n v="1"/>
    <n v="305"/>
    <n v="1087"/>
    <n v="2148"/>
    <x v="4"/>
    <x v="1"/>
  </r>
  <r>
    <x v="10"/>
    <d v="2016-05-01T00:00:00"/>
    <n v="3077"/>
    <n v="2.0999999046325701"/>
    <n v="2.0999999046325701"/>
    <n v="0"/>
    <n v="0"/>
    <n v="0"/>
    <n v="2.0899999141693102"/>
    <n v="0"/>
    <n v="0"/>
    <n v="0"/>
    <n v="172"/>
    <n v="842"/>
    <n v="1237"/>
    <x v="1"/>
    <x v="0"/>
  </r>
  <r>
    <x v="10"/>
    <d v="2016-04-22T00:00:00"/>
    <n v="3843"/>
    <n v="2.6199998855590798"/>
    <n v="2.6199998855590798"/>
    <n v="0"/>
    <n v="0"/>
    <n v="0"/>
    <n v="2.6099998950958301"/>
    <n v="9.9999997764825804E-3"/>
    <n v="0"/>
    <n v="0"/>
    <n v="206"/>
    <n v="1234"/>
    <n v="1669"/>
    <x v="2"/>
    <x v="0"/>
  </r>
  <r>
    <x v="10"/>
    <d v="2016-04-12T00:00:00"/>
    <n v="4747"/>
    <n v="3.2400000095367401"/>
    <n v="3.2400000095367401"/>
    <n v="0"/>
    <n v="0"/>
    <n v="0"/>
    <n v="3.2300000190734899"/>
    <n v="9.9999997764825804E-3"/>
    <n v="0"/>
    <n v="0"/>
    <n v="280"/>
    <n v="1160"/>
    <n v="1788"/>
    <x v="6"/>
    <x v="0"/>
  </r>
  <r>
    <x v="10"/>
    <d v="2016-04-20T00:00:00"/>
    <n v="4880"/>
    <n v="3.3299999237060498"/>
    <n v="3.3299999237060498"/>
    <n v="0"/>
    <n v="0.83999997377395597"/>
    <n v="9.00000035762787E-2"/>
    <n v="2.3800001144409202"/>
    <n v="1.9999999552965199E-2"/>
    <n v="15"/>
    <n v="3"/>
    <n v="274"/>
    <n v="1148"/>
    <n v="1867"/>
    <x v="3"/>
    <x v="0"/>
  </r>
  <r>
    <x v="10"/>
    <d v="2016-04-30T00:00:00"/>
    <n v="5250"/>
    <n v="3.5799999237060498"/>
    <n v="3.5799999237060498"/>
    <n v="0"/>
    <n v="1.0599999427795399"/>
    <n v="9.00000035762787E-2"/>
    <n v="2.4200000762939502"/>
    <n v="9.9999997764825804E-3"/>
    <n v="17"/>
    <n v="4"/>
    <n v="300"/>
    <n v="1119"/>
    <n v="1946"/>
    <x v="4"/>
    <x v="3"/>
  </r>
  <r>
    <x v="10"/>
    <d v="2016-04-28T00:00:00"/>
    <n v="5512"/>
    <n v="3.7599999904632599"/>
    <n v="3.7599999904632599"/>
    <n v="0"/>
    <n v="0"/>
    <n v="0"/>
    <n v="3.7599999904632599"/>
    <n v="0"/>
    <n v="0"/>
    <n v="0"/>
    <n v="385"/>
    <n v="1055"/>
    <n v="1972"/>
    <x v="0"/>
    <x v="3"/>
  </r>
  <r>
    <x v="10"/>
    <d v="2016-04-25T00:00:00"/>
    <n v="5995"/>
    <n v="4.0900001525878897"/>
    <n v="4.0900001525878897"/>
    <n v="0"/>
    <n v="0"/>
    <n v="0"/>
    <n v="4.0900001525878897"/>
    <n v="0"/>
    <n v="0"/>
    <n v="0"/>
    <n v="416"/>
    <n v="1024"/>
    <n v="2010"/>
    <x v="5"/>
    <x v="3"/>
  </r>
  <r>
    <x v="10"/>
    <d v="2016-04-24T00:00:00"/>
    <n v="6731"/>
    <n v="4.5900001525878897"/>
    <n v="4.5900001525878897"/>
    <n v="0"/>
    <n v="0.88999998569488503"/>
    <n v="0.18999999761581399"/>
    <n v="3.4900000095367401"/>
    <n v="1.9999999552965199E-2"/>
    <n v="14"/>
    <n v="7"/>
    <n v="292"/>
    <n v="1127"/>
    <n v="1921"/>
    <x v="1"/>
    <x v="3"/>
  </r>
  <r>
    <x v="10"/>
    <d v="2016-04-18T00:00:00"/>
    <n v="6798"/>
    <n v="4.6399998664856001"/>
    <n v="4.6399998664856001"/>
    <n v="0"/>
    <n v="1.08000004291534"/>
    <n v="0.20000000298023199"/>
    <n v="3.3499999046325701"/>
    <n v="0"/>
    <n v="20"/>
    <n v="7"/>
    <n v="343"/>
    <n v="1070"/>
    <n v="2014"/>
    <x v="5"/>
    <x v="3"/>
  </r>
  <r>
    <x v="10"/>
    <d v="2016-04-16T00:00:00"/>
    <n v="6905"/>
    <n v="4.7300000190734899"/>
    <n v="4.7300000190734899"/>
    <n v="0"/>
    <n v="0"/>
    <n v="0"/>
    <n v="4.6999998092651403"/>
    <n v="2.9999999329447701E-2"/>
    <n v="0"/>
    <n v="0"/>
    <n v="356"/>
    <n v="1084"/>
    <n v="1908"/>
    <x v="4"/>
    <x v="3"/>
  </r>
  <r>
    <x v="10"/>
    <d v="2016-04-23T00:00:00"/>
    <n v="7396"/>
    <n v="5.0700001716613796"/>
    <n v="5.0700001716613796"/>
    <n v="0"/>
    <n v="1.3999999761581401"/>
    <n v="7.9999998211860698E-2"/>
    <n v="3.5799999237060498"/>
    <n v="0"/>
    <n v="20"/>
    <n v="2"/>
    <n v="303"/>
    <n v="1115"/>
    <n v="1995"/>
    <x v="4"/>
    <x v="3"/>
  </r>
  <r>
    <x v="10"/>
    <d v="2016-04-15T00:00:00"/>
    <n v="7451"/>
    <n v="5.0799999237060502"/>
    <n v="5.0799999237060502"/>
    <n v="0"/>
    <n v="0"/>
    <n v="0"/>
    <n v="5.0599999427795401"/>
    <n v="1.9999999552965199E-2"/>
    <n v="0"/>
    <n v="0"/>
    <n v="335"/>
    <n v="1105"/>
    <n v="1908"/>
    <x v="2"/>
    <x v="3"/>
  </r>
  <r>
    <x v="10"/>
    <d v="2016-04-19T00:00:00"/>
    <n v="7711"/>
    <n v="5.2600002288818404"/>
    <n v="5.2600002288818404"/>
    <n v="0"/>
    <n v="0"/>
    <n v="0"/>
    <n v="5.2399997711181596"/>
    <n v="1.9999999552965199E-2"/>
    <n v="0"/>
    <n v="0"/>
    <n v="376"/>
    <n v="1064"/>
    <n v="1985"/>
    <x v="6"/>
    <x v="1"/>
  </r>
  <r>
    <x v="10"/>
    <d v="2016-04-27T00:00:00"/>
    <n v="7904"/>
    <n v="5.4200000762939498"/>
    <n v="5.4200000762939498"/>
    <n v="0"/>
    <n v="1.58000004291534"/>
    <n v="0.62999999523162797"/>
    <n v="3.1900000572204599"/>
    <n v="9.9999997764825804E-3"/>
    <n v="24"/>
    <n v="13"/>
    <n v="346"/>
    <n v="1057"/>
    <n v="2095"/>
    <x v="3"/>
    <x v="1"/>
  </r>
  <r>
    <x v="10"/>
    <d v="2016-04-17T00:00:00"/>
    <n v="8199"/>
    <n v="5.8800001144409197"/>
    <n v="5.8800001144409197"/>
    <n v="0"/>
    <n v="1.4099999666214"/>
    <n v="0.10000000149011599"/>
    <n v="4.3600001335143999"/>
    <n v="9.9999997764825804E-3"/>
    <n v="11"/>
    <n v="2"/>
    <n v="322"/>
    <n v="1105"/>
    <n v="1964"/>
    <x v="1"/>
    <x v="1"/>
  </r>
  <r>
    <x v="10"/>
    <d v="2016-04-26T00:00:00"/>
    <n v="8283"/>
    <n v="5.78999996185303"/>
    <n v="5.78999996185303"/>
    <n v="0"/>
    <n v="1.8500000238418599"/>
    <n v="5.0000000745058101E-2"/>
    <n v="3.8699998855590798"/>
    <n v="9.9999997764825804E-3"/>
    <n v="22"/>
    <n v="2"/>
    <n v="333"/>
    <n v="1083"/>
    <n v="2057"/>
    <x v="6"/>
    <x v="1"/>
  </r>
  <r>
    <x v="10"/>
    <d v="2016-04-14T00:00:00"/>
    <n v="8844"/>
    <n v="6.0300002098083496"/>
    <n v="6.0300002098083496"/>
    <n v="0"/>
    <n v="0.34000000357627902"/>
    <n v="1.0299999713897701"/>
    <n v="4.6500000953674299"/>
    <n v="9.9999997764825804E-3"/>
    <n v="6"/>
    <n v="25"/>
    <n v="370"/>
    <n v="1039"/>
    <n v="2065"/>
    <x v="0"/>
    <x v="1"/>
  </r>
  <r>
    <x v="10"/>
    <d v="2016-04-21T00:00:00"/>
    <n v="8857"/>
    <n v="6.0700001716613796"/>
    <n v="6.0700001716613796"/>
    <n v="0"/>
    <n v="1.1499999761581401"/>
    <n v="0.259999990463257"/>
    <n v="4.6399998664856001"/>
    <n v="9.9999997764825804E-3"/>
    <n v="18"/>
    <n v="9"/>
    <n v="376"/>
    <n v="1037"/>
    <n v="2124"/>
    <x v="0"/>
    <x v="1"/>
  </r>
  <r>
    <x v="10"/>
    <d v="2016-04-29T00:00:00"/>
    <n v="9135"/>
    <n v="6.2300000190734899"/>
    <n v="6.2300000190734899"/>
    <n v="0"/>
    <n v="0"/>
    <n v="0"/>
    <n v="6.2199997901916504"/>
    <n v="9.9999997764825804E-3"/>
    <n v="0"/>
    <n v="0"/>
    <n v="402"/>
    <n v="1038"/>
    <n v="2044"/>
    <x v="2"/>
    <x v="1"/>
  </r>
  <r>
    <x v="10"/>
    <d v="2016-04-13T00:00:00"/>
    <n v="9715"/>
    <n v="6.6300001144409197"/>
    <n v="6.6300001144409197"/>
    <n v="0"/>
    <n v="0.99000000953674305"/>
    <n v="0.34000000357627902"/>
    <n v="5.2699999809265101"/>
    <n v="1.9999999552965199E-2"/>
    <n v="16"/>
    <n v="8"/>
    <n v="371"/>
    <n v="1045"/>
    <n v="2093"/>
    <x v="3"/>
    <x v="1"/>
  </r>
  <r>
    <x v="11"/>
    <d v="2016-05-11T00:00:00"/>
    <n v="746"/>
    <n v="0.5"/>
    <n v="0.5"/>
    <n v="0"/>
    <n v="0.37000000476837203"/>
    <n v="0"/>
    <n v="0.129999995231628"/>
    <n v="0"/>
    <n v="4"/>
    <n v="0"/>
    <n v="9"/>
    <n v="13"/>
    <n v="52"/>
    <x v="3"/>
    <x v="0"/>
  </r>
  <r>
    <x v="11"/>
    <d v="2016-04-21T00:00:00"/>
    <n v="6093"/>
    <n v="4.0799999237060502"/>
    <n v="4.0799999237060502"/>
    <n v="0"/>
    <n v="0"/>
    <n v="0"/>
    <n v="4.0599999427795401"/>
    <n v="0"/>
    <n v="0"/>
    <n v="0"/>
    <n v="242"/>
    <n v="712"/>
    <n v="1397"/>
    <x v="0"/>
    <x v="3"/>
  </r>
  <r>
    <x v="11"/>
    <d v="2016-04-28T00:00:00"/>
    <n v="7114"/>
    <n v="4.8800001144409197"/>
    <n v="4.8800001144409197"/>
    <n v="0"/>
    <n v="1.37000000476837"/>
    <n v="0.28999999165535001"/>
    <n v="3.2200000286102299"/>
    <n v="0"/>
    <n v="15"/>
    <n v="8"/>
    <n v="190"/>
    <n v="804"/>
    <n v="1407"/>
    <x v="0"/>
    <x v="3"/>
  </r>
  <r>
    <x v="11"/>
    <d v="2016-04-27T00:00:00"/>
    <n v="7193"/>
    <n v="5.03999996185303"/>
    <n v="5.03999996185303"/>
    <n v="0"/>
    <n v="0"/>
    <n v="0.41999998688697798"/>
    <n v="4.6199998855590803"/>
    <n v="0"/>
    <n v="0"/>
    <n v="10"/>
    <n v="176"/>
    <n v="714"/>
    <n v="1377"/>
    <x v="3"/>
    <x v="3"/>
  </r>
  <r>
    <x v="11"/>
    <d v="2016-04-14T00:00:00"/>
    <n v="7641"/>
    <n v="5.1100001335143999"/>
    <n v="5.1100001335143999"/>
    <n v="0"/>
    <n v="0.31999999284744302"/>
    <n v="0.97000002861022905"/>
    <n v="3.8199999332428001"/>
    <n v="0"/>
    <n v="5"/>
    <n v="23"/>
    <n v="214"/>
    <n v="801"/>
    <n v="1433"/>
    <x v="0"/>
    <x v="1"/>
  </r>
  <r>
    <x v="11"/>
    <d v="2016-04-12T00:00:00"/>
    <n v="8856"/>
    <n v="5.9800000190734899"/>
    <n v="5.9800000190734899"/>
    <n v="0"/>
    <n v="3.0599999427795401"/>
    <n v="0.91000002622604403"/>
    <n v="2.0099999904632599"/>
    <n v="0"/>
    <n v="44"/>
    <n v="19"/>
    <n v="131"/>
    <n v="777"/>
    <n v="1450"/>
    <x v="6"/>
    <x v="1"/>
  </r>
  <r>
    <x v="11"/>
    <d v="2016-04-22T00:00:00"/>
    <n v="8911"/>
    <n v="5.96000003814697"/>
    <n v="5.96000003814697"/>
    <n v="0"/>
    <n v="2.3299999237060498"/>
    <n v="0.57999998331069902"/>
    <n v="3.0599999427795401"/>
    <n v="0"/>
    <n v="33"/>
    <n v="12"/>
    <n v="188"/>
    <n v="731"/>
    <n v="1481"/>
    <x v="2"/>
    <x v="1"/>
  </r>
  <r>
    <x v="11"/>
    <d v="2016-04-15T00:00:00"/>
    <n v="9010"/>
    <n v="6.0599999427795401"/>
    <n v="6.0599999427795401"/>
    <n v="0"/>
    <n v="1.04999995231628"/>
    <n v="1.75"/>
    <n v="3.2599999904632599"/>
    <n v="0"/>
    <n v="15"/>
    <n v="42"/>
    <n v="183"/>
    <n v="644"/>
    <n v="1468"/>
    <x v="2"/>
    <x v="1"/>
  </r>
  <r>
    <x v="11"/>
    <d v="2016-04-13T00:00:00"/>
    <n v="10035"/>
    <n v="6.71000003814697"/>
    <n v="6.71000003814697"/>
    <n v="0"/>
    <n v="2.0299999713897701"/>
    <n v="2.1300001144409202"/>
    <n v="2.5499999523162802"/>
    <n v="0"/>
    <n v="31"/>
    <n v="46"/>
    <n v="153"/>
    <n v="754"/>
    <n v="1495"/>
    <x v="3"/>
    <x v="2"/>
  </r>
  <r>
    <x v="11"/>
    <d v="2016-05-01T00:00:00"/>
    <n v="10414"/>
    <n v="7.0700001716613796"/>
    <n v="7.0700001716613796"/>
    <n v="0"/>
    <n v="2.6700000762939502"/>
    <n v="1.9800000190734901"/>
    <n v="2.4100000858306898"/>
    <n v="0"/>
    <n v="41"/>
    <n v="40"/>
    <n v="124"/>
    <n v="691"/>
    <n v="1501"/>
    <x v="1"/>
    <x v="2"/>
  </r>
  <r>
    <x v="11"/>
    <d v="2016-04-17T00:00:00"/>
    <n v="10415"/>
    <n v="6.9699997901916504"/>
    <n v="6.9699997901916504"/>
    <n v="0"/>
    <n v="0.69999998807907104"/>
    <n v="2.3499999046325701"/>
    <n v="3.9200000762939502"/>
    <n v="0"/>
    <n v="11"/>
    <n v="58"/>
    <n v="205"/>
    <n v="600"/>
    <n v="1529"/>
    <x v="1"/>
    <x v="2"/>
  </r>
  <r>
    <x v="11"/>
    <d v="2016-04-29T00:00:00"/>
    <n v="10645"/>
    <n v="7.75"/>
    <n v="7.75"/>
    <n v="0"/>
    <n v="3.7400000095367401"/>
    <n v="1.29999995231628"/>
    <n v="2.71000003814697"/>
    <n v="0"/>
    <n v="36"/>
    <n v="32"/>
    <n v="150"/>
    <n v="744"/>
    <n v="1545"/>
    <x v="2"/>
    <x v="2"/>
  </r>
  <r>
    <x v="11"/>
    <d v="2016-04-25T00:00:00"/>
    <n v="11177"/>
    <n v="8.4799995422363299"/>
    <n v="8.4799995422363299"/>
    <n v="0"/>
    <n v="5.6199998855590803"/>
    <n v="0.43000000715255698"/>
    <n v="2.4100000858306898"/>
    <n v="0"/>
    <n v="50"/>
    <n v="9"/>
    <n v="133"/>
    <n v="781"/>
    <n v="1570"/>
    <x v="5"/>
    <x v="2"/>
  </r>
  <r>
    <x v="11"/>
    <d v="2016-04-26T00:00:00"/>
    <n v="11388"/>
    <n v="7.6199998855590803"/>
    <n v="7.6199998855590803"/>
    <n v="0"/>
    <n v="0.44999998807907099"/>
    <n v="4.2199997901916504"/>
    <n v="2.9500000476837198"/>
    <n v="0"/>
    <n v="7"/>
    <n v="95"/>
    <n v="170"/>
    <n v="797"/>
    <n v="1551"/>
    <x v="6"/>
    <x v="2"/>
  </r>
  <r>
    <x v="11"/>
    <d v="2016-05-07T00:00:00"/>
    <n v="11550"/>
    <n v="7.7300000190734899"/>
    <n v="7.7300000190734899"/>
    <n v="0"/>
    <n v="0"/>
    <n v="4.1300001144409197"/>
    <n v="3.5899999141693102"/>
    <n v="0"/>
    <n v="0"/>
    <n v="86"/>
    <n v="208"/>
    <n v="703"/>
    <n v="1574"/>
    <x v="4"/>
    <x v="2"/>
  </r>
  <r>
    <x v="11"/>
    <d v="2016-04-20T00:00:00"/>
    <n v="11658"/>
    <n v="7.8299999237060502"/>
    <n v="7.8299999237060502"/>
    <n v="0"/>
    <n v="0.20000000298023199"/>
    <n v="4.3499999046325701"/>
    <n v="3.2799999713897701"/>
    <n v="0"/>
    <n v="2"/>
    <n v="98"/>
    <n v="164"/>
    <n v="845"/>
    <n v="1554"/>
    <x v="3"/>
    <x v="2"/>
  </r>
  <r>
    <x v="11"/>
    <d v="2016-04-18T00:00:00"/>
    <n v="11663"/>
    <n v="7.8000001907348597"/>
    <n v="7.8000001907348597"/>
    <n v="0"/>
    <n v="0.25"/>
    <n v="3.7300000190734899"/>
    <n v="3.8199999332428001"/>
    <n v="0"/>
    <n v="4"/>
    <n v="95"/>
    <n v="214"/>
    <n v="605"/>
    <n v="1584"/>
    <x v="5"/>
    <x v="2"/>
  </r>
  <r>
    <x v="11"/>
    <d v="2016-05-06T00:00:00"/>
    <n v="11677"/>
    <n v="8.2799997329711896"/>
    <n v="8.2799997329711896"/>
    <n v="0"/>
    <n v="3.1099998950958301"/>
    <n v="2.5099999904632599"/>
    <n v="2.6700000762939502"/>
    <n v="0"/>
    <n v="29"/>
    <n v="55"/>
    <n v="168"/>
    <n v="676"/>
    <n v="1590"/>
    <x v="2"/>
    <x v="2"/>
  </r>
  <r>
    <x v="11"/>
    <d v="2016-04-23T00:00:00"/>
    <n v="12058"/>
    <n v="8.0699996948242205"/>
    <n v="8.0699996948242205"/>
    <n v="0"/>
    <n v="0"/>
    <n v="4.2199997901916504"/>
    <n v="3.8499999046325701"/>
    <n v="0"/>
    <n v="0"/>
    <n v="92"/>
    <n v="252"/>
    <n v="724"/>
    <n v="1638"/>
    <x v="4"/>
    <x v="2"/>
  </r>
  <r>
    <x v="11"/>
    <d v="2016-05-05T00:00:00"/>
    <n v="12312"/>
    <n v="8.5799999237060494"/>
    <n v="8.5799999237060494"/>
    <n v="0"/>
    <n v="1.7599999904632599"/>
    <n v="4.1100001335143999"/>
    <n v="2.71000003814697"/>
    <n v="0"/>
    <n v="14"/>
    <n v="88"/>
    <n v="178"/>
    <n v="680"/>
    <n v="1618"/>
    <x v="0"/>
    <x v="2"/>
  </r>
  <r>
    <x v="11"/>
    <d v="2016-04-19T00:00:00"/>
    <n v="12414"/>
    <n v="8.7799997329711896"/>
    <n v="8.7799997329711896"/>
    <n v="0"/>
    <n v="2.2400000095367401"/>
    <n v="2.4500000476837198"/>
    <n v="3.96000003814697"/>
    <n v="0"/>
    <n v="19"/>
    <n v="67"/>
    <n v="221"/>
    <n v="738"/>
    <n v="1638"/>
    <x v="6"/>
    <x v="2"/>
  </r>
  <r>
    <x v="11"/>
    <d v="2016-05-10T00:00:00"/>
    <n v="13072"/>
    <n v="8.7799997329711896"/>
    <n v="8.7799997329711896"/>
    <n v="0"/>
    <n v="7.0000000298023196E-2"/>
    <n v="5.4000000953674299"/>
    <n v="3.3099999427795401"/>
    <n v="0"/>
    <n v="1"/>
    <n v="115"/>
    <n v="196"/>
    <n v="676"/>
    <n v="1630"/>
    <x v="6"/>
    <x v="2"/>
  </r>
  <r>
    <x v="11"/>
    <d v="2016-04-30T00:00:00"/>
    <n v="13238"/>
    <n v="9.1999998092651403"/>
    <n v="9.1999998092651403"/>
    <n v="0"/>
    <n v="3.6900000572204599"/>
    <n v="2.0999999046325701"/>
    <n v="3.4100000858306898"/>
    <n v="0"/>
    <n v="43"/>
    <n v="52"/>
    <n v="194"/>
    <n v="687"/>
    <n v="1650"/>
    <x v="4"/>
    <x v="2"/>
  </r>
  <r>
    <x v="11"/>
    <d v="2016-04-16T00:00:00"/>
    <n v="13459"/>
    <n v="9"/>
    <n v="9"/>
    <n v="0"/>
    <n v="2.0299999713897701"/>
    <n v="4"/>
    <n v="2.9700000286102299"/>
    <n v="0"/>
    <n v="31"/>
    <n v="83"/>
    <n v="153"/>
    <n v="663"/>
    <n v="1625"/>
    <x v="4"/>
    <x v="2"/>
  </r>
  <r>
    <x v="11"/>
    <d v="2016-05-04T00:00:00"/>
    <n v="13559"/>
    <n v="9.4399995803833008"/>
    <n v="9.4399995803833008"/>
    <n v="0"/>
    <n v="1.8099999427795399"/>
    <n v="4.5799999237060502"/>
    <n v="2.8900001049041699"/>
    <n v="0"/>
    <n v="14"/>
    <n v="96"/>
    <n v="142"/>
    <n v="852"/>
    <n v="1628"/>
    <x v="3"/>
    <x v="2"/>
  </r>
  <r>
    <x v="11"/>
    <d v="2016-05-08T00:00:00"/>
    <n v="13585"/>
    <n v="9.0900001525878906"/>
    <n v="9.0900001525878906"/>
    <n v="0"/>
    <n v="0.68000000715255704"/>
    <n v="5.2399997711181596"/>
    <n v="3.1700000762939502"/>
    <n v="0"/>
    <n v="9"/>
    <n v="116"/>
    <n v="171"/>
    <n v="688"/>
    <n v="1633"/>
    <x v="1"/>
    <x v="2"/>
  </r>
  <r>
    <x v="11"/>
    <d v="2016-04-24T00:00:00"/>
    <n v="14112"/>
    <n v="10"/>
    <n v="10"/>
    <n v="0"/>
    <n v="3.2699999809265101"/>
    <n v="4.5599999427795401"/>
    <n v="2.1700000762939502"/>
    <n v="0"/>
    <n v="30"/>
    <n v="95"/>
    <n v="129"/>
    <n v="660"/>
    <n v="1655"/>
    <x v="1"/>
    <x v="2"/>
  </r>
  <r>
    <x v="11"/>
    <d v="2016-05-03T00:00:00"/>
    <n v="14335"/>
    <n v="9.5900001525878906"/>
    <n v="9.5900001525878906"/>
    <n v="0"/>
    <n v="3.3199999332428001"/>
    <n v="1.7400000095367401"/>
    <n v="4.5300002098083496"/>
    <n v="0"/>
    <n v="47"/>
    <n v="41"/>
    <n v="258"/>
    <n v="594"/>
    <n v="1710"/>
    <x v="6"/>
    <x v="2"/>
  </r>
  <r>
    <x v="11"/>
    <d v="2016-05-09T00:00:00"/>
    <n v="14687"/>
    <n v="10.079999923706101"/>
    <n v="10.079999923706101"/>
    <n v="0"/>
    <n v="0.769999980926514"/>
    <n v="5.5999999046325701"/>
    <n v="3.5499999523162802"/>
    <n v="0"/>
    <n v="8"/>
    <n v="122"/>
    <n v="151"/>
    <n v="1159"/>
    <n v="1667"/>
    <x v="5"/>
    <x v="2"/>
  </r>
  <r>
    <x v="11"/>
    <d v="2016-05-02T00:00:00"/>
    <n v="16520"/>
    <n v="11.050000190734901"/>
    <n v="11.050000190734901"/>
    <n v="0"/>
    <n v="1.53999996185303"/>
    <n v="6.4800000190734899"/>
    <n v="3.0199999809265101"/>
    <n v="0"/>
    <n v="24"/>
    <n v="143"/>
    <n v="176"/>
    <n v="713"/>
    <n v="1760"/>
    <x v="5"/>
    <x v="2"/>
  </r>
  <r>
    <x v="12"/>
    <d v="2016-04-13T00:00:00"/>
    <n v="0"/>
    <n v="0"/>
    <n v="0"/>
    <n v="0"/>
    <n v="0"/>
    <n v="0"/>
    <n v="0"/>
    <n v="0"/>
    <n v="0"/>
    <n v="0"/>
    <n v="0"/>
    <n v="1440"/>
    <n v="1981"/>
    <x v="3"/>
    <x v="0"/>
  </r>
  <r>
    <x v="12"/>
    <d v="2016-04-19T00:00:00"/>
    <n v="0"/>
    <n v="0"/>
    <n v="0"/>
    <n v="0"/>
    <n v="0"/>
    <n v="0"/>
    <n v="0"/>
    <n v="0"/>
    <n v="0"/>
    <n v="0"/>
    <n v="0"/>
    <n v="1440"/>
    <n v="1980"/>
    <x v="6"/>
    <x v="0"/>
  </r>
  <r>
    <x v="12"/>
    <d v="2016-04-20T00:00:00"/>
    <n v="0"/>
    <n v="0"/>
    <n v="0"/>
    <n v="0"/>
    <n v="0"/>
    <n v="0"/>
    <n v="0"/>
    <n v="0"/>
    <n v="0"/>
    <n v="0"/>
    <n v="0"/>
    <n v="1440"/>
    <n v="1980"/>
    <x v="3"/>
    <x v="0"/>
  </r>
  <r>
    <x v="12"/>
    <d v="2016-04-21T00:00:00"/>
    <n v="0"/>
    <n v="0"/>
    <n v="0"/>
    <n v="0"/>
    <n v="0"/>
    <n v="0"/>
    <n v="0"/>
    <n v="0"/>
    <n v="0"/>
    <n v="0"/>
    <n v="0"/>
    <n v="1440"/>
    <n v="1980"/>
    <x v="0"/>
    <x v="0"/>
  </r>
  <r>
    <x v="12"/>
    <d v="2016-04-22T00:00:00"/>
    <n v="0"/>
    <n v="0"/>
    <n v="0"/>
    <n v="0"/>
    <n v="0"/>
    <n v="0"/>
    <n v="0"/>
    <n v="0"/>
    <n v="0"/>
    <n v="0"/>
    <n v="0"/>
    <n v="1440"/>
    <n v="1980"/>
    <x v="2"/>
    <x v="0"/>
  </r>
  <r>
    <x v="12"/>
    <d v="2016-04-23T00:00:00"/>
    <n v="0"/>
    <n v="0"/>
    <n v="0"/>
    <n v="0"/>
    <n v="0"/>
    <n v="0"/>
    <n v="0"/>
    <n v="0"/>
    <n v="0"/>
    <n v="0"/>
    <n v="0"/>
    <n v="1440"/>
    <n v="1980"/>
    <x v="4"/>
    <x v="0"/>
  </r>
  <r>
    <x v="12"/>
    <d v="2016-04-24T00:00:00"/>
    <n v="0"/>
    <n v="0"/>
    <n v="0"/>
    <n v="0"/>
    <n v="0"/>
    <n v="0"/>
    <n v="0"/>
    <n v="0"/>
    <n v="0"/>
    <n v="0"/>
    <n v="0"/>
    <n v="1440"/>
    <n v="1980"/>
    <x v="1"/>
    <x v="0"/>
  </r>
  <r>
    <x v="12"/>
    <d v="2016-04-25T00:00:00"/>
    <n v="0"/>
    <n v="0"/>
    <n v="0"/>
    <n v="0"/>
    <n v="0"/>
    <n v="0"/>
    <n v="0"/>
    <n v="0"/>
    <n v="0"/>
    <n v="0"/>
    <n v="0"/>
    <n v="1440"/>
    <n v="1980"/>
    <x v="5"/>
    <x v="0"/>
  </r>
  <r>
    <x v="12"/>
    <d v="2016-04-26T00:00:00"/>
    <n v="0"/>
    <n v="0"/>
    <n v="0"/>
    <n v="0"/>
    <n v="0"/>
    <n v="0"/>
    <n v="0"/>
    <n v="0"/>
    <n v="0"/>
    <n v="0"/>
    <n v="0"/>
    <n v="1440"/>
    <n v="1980"/>
    <x v="6"/>
    <x v="0"/>
  </r>
  <r>
    <x v="12"/>
    <d v="2016-04-27T00:00:00"/>
    <n v="0"/>
    <n v="0"/>
    <n v="0"/>
    <n v="0"/>
    <n v="0"/>
    <n v="0"/>
    <n v="0"/>
    <n v="0"/>
    <n v="0"/>
    <n v="0"/>
    <n v="0"/>
    <n v="1440"/>
    <n v="1980"/>
    <x v="3"/>
    <x v="0"/>
  </r>
  <r>
    <x v="12"/>
    <d v="2016-04-28T00:00:00"/>
    <n v="0"/>
    <n v="0"/>
    <n v="0"/>
    <n v="0"/>
    <n v="0"/>
    <n v="0"/>
    <n v="0"/>
    <n v="0"/>
    <n v="0"/>
    <n v="0"/>
    <n v="0"/>
    <n v="1440"/>
    <n v="1980"/>
    <x v="0"/>
    <x v="0"/>
  </r>
  <r>
    <x v="12"/>
    <d v="2016-04-29T00:00:00"/>
    <n v="0"/>
    <n v="0"/>
    <n v="0"/>
    <n v="0"/>
    <n v="0"/>
    <n v="0"/>
    <n v="0"/>
    <n v="0"/>
    <n v="0"/>
    <n v="0"/>
    <n v="0"/>
    <n v="1440"/>
    <n v="1980"/>
    <x v="2"/>
    <x v="0"/>
  </r>
  <r>
    <x v="12"/>
    <d v="2016-04-30T00:00:00"/>
    <n v="0"/>
    <n v="0"/>
    <n v="0"/>
    <n v="0"/>
    <n v="0"/>
    <n v="0"/>
    <n v="0"/>
    <n v="0"/>
    <n v="0"/>
    <n v="0"/>
    <n v="0"/>
    <n v="1440"/>
    <n v="1980"/>
    <x v="4"/>
    <x v="0"/>
  </r>
  <r>
    <x v="12"/>
    <d v="2016-05-01T00:00:00"/>
    <n v="0"/>
    <n v="0"/>
    <n v="0"/>
    <n v="0"/>
    <n v="0"/>
    <n v="0"/>
    <n v="0"/>
    <n v="0"/>
    <n v="0"/>
    <n v="0"/>
    <n v="0"/>
    <n v="1440"/>
    <n v="1980"/>
    <x v="1"/>
    <x v="0"/>
  </r>
  <r>
    <x v="12"/>
    <d v="2016-04-17T00:00:00"/>
    <n v="16"/>
    <n v="9.9999997764825804E-3"/>
    <n v="9.9999997764825804E-3"/>
    <n v="0"/>
    <n v="0"/>
    <n v="0"/>
    <n v="9.9999997764825804E-3"/>
    <n v="0"/>
    <n v="0"/>
    <n v="0"/>
    <n v="2"/>
    <n v="1438"/>
    <n v="1990"/>
    <x v="1"/>
    <x v="0"/>
  </r>
  <r>
    <x v="12"/>
    <d v="2016-04-18T00:00:00"/>
    <n v="62"/>
    <n v="3.9999999105930301E-2"/>
    <n v="3.9999999105930301E-2"/>
    <n v="0"/>
    <n v="0"/>
    <n v="0"/>
    <n v="3.9999999105930301E-2"/>
    <n v="0"/>
    <n v="0"/>
    <n v="0"/>
    <n v="2"/>
    <n v="1438"/>
    <n v="1995"/>
    <x v="5"/>
    <x v="0"/>
  </r>
  <r>
    <x v="12"/>
    <d v="2016-04-14T00:00:00"/>
    <n v="108"/>
    <n v="7.9999998211860698E-2"/>
    <n v="7.9999998211860698E-2"/>
    <n v="0"/>
    <n v="0"/>
    <n v="0"/>
    <n v="2.9999999329447701E-2"/>
    <n v="0"/>
    <n v="0"/>
    <n v="0"/>
    <n v="3"/>
    <n v="1437"/>
    <n v="2011"/>
    <x v="0"/>
    <x v="0"/>
  </r>
  <r>
    <x v="12"/>
    <d v="2016-05-02T00:00:00"/>
    <n v="475"/>
    <n v="0.34000000357627902"/>
    <n v="0.34000000357627902"/>
    <n v="0"/>
    <n v="0"/>
    <n v="3.9999999105930301E-2"/>
    <n v="0.28999999165535001"/>
    <n v="0"/>
    <n v="0"/>
    <n v="11"/>
    <n v="31"/>
    <n v="1350"/>
    <n v="2207"/>
    <x v="5"/>
    <x v="0"/>
  </r>
  <r>
    <x v="12"/>
    <d v="2016-05-12T00:00:00"/>
    <n v="590"/>
    <n v="0.41999998688697798"/>
    <n v="0.41999998688697798"/>
    <n v="0"/>
    <n v="0"/>
    <n v="0"/>
    <n v="0.40999999642372098"/>
    <n v="0"/>
    <n v="0"/>
    <n v="0"/>
    <n v="21"/>
    <n v="721"/>
    <n v="1120"/>
    <x v="0"/>
    <x v="0"/>
  </r>
  <r>
    <x v="12"/>
    <d v="2016-04-15T00:00:00"/>
    <n v="1882"/>
    <n v="1.3500000238418599"/>
    <n v="1.3500000238418599"/>
    <n v="0"/>
    <n v="0.20999999344348899"/>
    <n v="0.36000001430511502"/>
    <n v="0.769999980926514"/>
    <n v="0"/>
    <n v="36"/>
    <n v="18"/>
    <n v="87"/>
    <n v="1299"/>
    <n v="2951"/>
    <x v="2"/>
    <x v="0"/>
  </r>
  <r>
    <x v="12"/>
    <d v="2016-04-16T00:00:00"/>
    <n v="1982"/>
    <n v="1.41999995708466"/>
    <n v="1.41999995708466"/>
    <n v="0"/>
    <n v="0.44999998807907099"/>
    <n v="0.37000000476837203"/>
    <n v="0.58999997377395597"/>
    <n v="0"/>
    <n v="65"/>
    <n v="21"/>
    <n v="55"/>
    <n v="1222"/>
    <n v="3051"/>
    <x v="4"/>
    <x v="0"/>
  </r>
  <r>
    <x v="12"/>
    <d v="2016-05-11T00:00:00"/>
    <n v="3689"/>
    <n v="2.6500000953674299"/>
    <n v="2.6500000953674299"/>
    <n v="0"/>
    <n v="0.109999999403954"/>
    <n v="0.17000000178813901"/>
    <n v="2.3299999237060498"/>
    <n v="0"/>
    <n v="2"/>
    <n v="8"/>
    <n v="134"/>
    <n v="1296"/>
    <n v="2645"/>
    <x v="3"/>
    <x v="0"/>
  </r>
  <r>
    <x v="12"/>
    <d v="2016-05-06T00:00:00"/>
    <n v="4369"/>
    <n v="3.1300001144409202"/>
    <n v="3.1300001144409202"/>
    <n v="0"/>
    <n v="0"/>
    <n v="0"/>
    <n v="3.0999999046325701"/>
    <n v="9.9999997764825804E-3"/>
    <n v="0"/>
    <n v="0"/>
    <n v="177"/>
    <n v="855"/>
    <n v="2704"/>
    <x v="2"/>
    <x v="0"/>
  </r>
  <r>
    <x v="12"/>
    <d v="2016-05-03T00:00:00"/>
    <n v="4496"/>
    <n v="3.2200000286102299"/>
    <n v="3.2200000286102299"/>
    <n v="0"/>
    <n v="0"/>
    <n v="0"/>
    <n v="3.1500000953674299"/>
    <n v="5.0000000745058101E-2"/>
    <n v="0"/>
    <n v="0"/>
    <n v="174"/>
    <n v="950"/>
    <n v="2828"/>
    <x v="6"/>
    <x v="0"/>
  </r>
  <r>
    <x v="12"/>
    <d v="2016-05-09T00:00:00"/>
    <n v="4556"/>
    <n v="3.2699999809265101"/>
    <n v="3.2699999809265101"/>
    <n v="0"/>
    <n v="0.20000000298023199"/>
    <n v="0.119999997317791"/>
    <n v="2.9400000572204599"/>
    <n v="0"/>
    <n v="3"/>
    <n v="5"/>
    <n v="173"/>
    <n v="1225"/>
    <n v="2785"/>
    <x v="5"/>
    <x v="0"/>
  </r>
  <r>
    <x v="12"/>
    <d v="2016-05-10T00:00:00"/>
    <n v="5546"/>
    <n v="3.9800000190734899"/>
    <n v="3.9800000190734899"/>
    <n v="0"/>
    <n v="0"/>
    <n v="0"/>
    <n v="3.8699998855590798"/>
    <n v="3.9999999105930301E-2"/>
    <n v="0"/>
    <n v="0"/>
    <n v="206"/>
    <n v="774"/>
    <n v="2926"/>
    <x v="6"/>
    <x v="3"/>
  </r>
  <r>
    <x v="12"/>
    <d v="2016-05-08T00:00:00"/>
    <n v="5862"/>
    <n v="4.1999998092651403"/>
    <n v="4.1999998092651403"/>
    <n v="0"/>
    <n v="0"/>
    <n v="0"/>
    <n v="4.1500000953674299"/>
    <n v="0"/>
    <n v="0"/>
    <n v="0"/>
    <n v="263"/>
    <n v="775"/>
    <n v="3089"/>
    <x v="1"/>
    <x v="3"/>
  </r>
  <r>
    <x v="12"/>
    <d v="2016-05-07T00:00:00"/>
    <n v="6132"/>
    <n v="4.4000000953674299"/>
    <n v="4.4000000953674299"/>
    <n v="0"/>
    <n v="0"/>
    <n v="0"/>
    <n v="3.5799999237060498"/>
    <n v="0"/>
    <n v="0"/>
    <n v="0"/>
    <n v="184"/>
    <n v="1256"/>
    <n v="2975"/>
    <x v="4"/>
    <x v="3"/>
  </r>
  <r>
    <x v="12"/>
    <d v="2016-04-12T00:00:00"/>
    <n v="8539"/>
    <n v="6.1199998855590803"/>
    <n v="6.1199998855590803"/>
    <n v="0"/>
    <n v="0.15000000596046401"/>
    <n v="0.239999994635582"/>
    <n v="5.6799998283386204"/>
    <n v="0"/>
    <n v="4"/>
    <n v="15"/>
    <n v="331"/>
    <n v="712"/>
    <n v="3654"/>
    <x v="6"/>
    <x v="1"/>
  </r>
  <r>
    <x v="12"/>
    <d v="2016-05-04T00:00:00"/>
    <n v="10252"/>
    <n v="7.3499999046325701"/>
    <n v="7.3499999046325701"/>
    <n v="0"/>
    <n v="0.67000001668930098"/>
    <n v="1.03999996185303"/>
    <n v="5.5799999237060502"/>
    <n v="0"/>
    <n v="13"/>
    <n v="46"/>
    <n v="346"/>
    <n v="531"/>
    <n v="3879"/>
    <x v="3"/>
    <x v="2"/>
  </r>
  <r>
    <x v="12"/>
    <d v="2016-05-05T00:00:00"/>
    <n v="11728"/>
    <n v="8.4300003051757795"/>
    <n v="8.4300003051757795"/>
    <n v="0"/>
    <n v="2.6199998855590798"/>
    <n v="1.6799999475479099"/>
    <n v="4.03999996185303"/>
    <n v="7.0000000298023196E-2"/>
    <n v="38"/>
    <n v="42"/>
    <n v="196"/>
    <n v="916"/>
    <n v="3429"/>
    <x v="0"/>
    <x v="2"/>
  </r>
  <r>
    <x v="13"/>
    <d v="2016-04-14T00:00:00"/>
    <n v="0"/>
    <n v="0"/>
    <n v="0"/>
    <n v="0"/>
    <n v="0"/>
    <n v="0"/>
    <n v="0"/>
    <n v="0"/>
    <n v="0"/>
    <n v="0"/>
    <n v="0"/>
    <n v="1440"/>
    <n v="1776"/>
    <x v="0"/>
    <x v="0"/>
  </r>
  <r>
    <x v="13"/>
    <d v="2016-04-15T00:00:00"/>
    <n v="3984"/>
    <n v="2.9500000476837198"/>
    <n v="2.9500000476837198"/>
    <n v="0"/>
    <n v="0.20999999344348899"/>
    <n v="0.259999990463257"/>
    <n v="2.4400000572204599"/>
    <n v="0"/>
    <n v="3"/>
    <n v="6"/>
    <n v="88"/>
    <n v="873"/>
    <n v="1527"/>
    <x v="2"/>
    <x v="0"/>
  </r>
  <r>
    <x v="13"/>
    <d v="2016-04-12T00:00:00"/>
    <n v="5394"/>
    <n v="4.0300002098083496"/>
    <n v="4.0300002098083496"/>
    <n v="0"/>
    <n v="0"/>
    <n v="0"/>
    <n v="3.9400000572204599"/>
    <n v="0"/>
    <n v="0"/>
    <n v="0"/>
    <n v="164"/>
    <n v="1276"/>
    <n v="2286"/>
    <x v="6"/>
    <x v="3"/>
  </r>
  <r>
    <x v="13"/>
    <d v="2016-04-13T00:00:00"/>
    <n v="5974"/>
    <n v="4.4699997901916504"/>
    <n v="4.4699997901916504"/>
    <n v="0"/>
    <n v="0"/>
    <n v="0"/>
    <n v="4.3699998855590803"/>
    <n v="0"/>
    <n v="0"/>
    <n v="0"/>
    <n v="160"/>
    <n v="1280"/>
    <n v="2306"/>
    <x v="3"/>
    <x v="3"/>
  </r>
  <r>
    <x v="14"/>
    <d v="2016-05-12T00:00:00"/>
    <n v="17"/>
    <n v="9.9999997764825804E-3"/>
    <n v="9.9999997764825804E-3"/>
    <n v="0"/>
    <n v="0"/>
    <n v="0"/>
    <n v="9.9999997764825804E-3"/>
    <n v="0"/>
    <n v="0"/>
    <n v="0"/>
    <n v="2"/>
    <n v="0"/>
    <n v="257"/>
    <x v="0"/>
    <x v="0"/>
  </r>
  <r>
    <x v="14"/>
    <d v="2016-04-17T00:00:00"/>
    <n v="29"/>
    <n v="1.9999999552965199E-2"/>
    <n v="1.9999999552965199E-2"/>
    <n v="0"/>
    <n v="0"/>
    <n v="0"/>
    <n v="1.9999999552965199E-2"/>
    <n v="0"/>
    <n v="0"/>
    <n v="0"/>
    <n v="3"/>
    <n v="1363"/>
    <n v="1464"/>
    <x v="1"/>
    <x v="0"/>
  </r>
  <r>
    <x v="14"/>
    <d v="2016-05-01T00:00:00"/>
    <n v="1251"/>
    <n v="0.83999997377395597"/>
    <n v="0.83999997377395597"/>
    <n v="0"/>
    <n v="0"/>
    <n v="0"/>
    <n v="0.83999997377395597"/>
    <n v="0"/>
    <n v="0"/>
    <n v="0"/>
    <n v="67"/>
    <n v="836"/>
    <n v="1593"/>
    <x v="1"/>
    <x v="0"/>
  </r>
  <r>
    <x v="14"/>
    <d v="2016-04-18T00:00:00"/>
    <n v="2276"/>
    <n v="1.54999995231628"/>
    <n v="1.54999995231628"/>
    <n v="0"/>
    <n v="7.0000000298023196E-2"/>
    <n v="0.33000001311302202"/>
    <n v="1.12000000476837"/>
    <n v="0"/>
    <n v="1"/>
    <n v="9"/>
    <n v="58"/>
    <n v="824"/>
    <n v="1632"/>
    <x v="5"/>
    <x v="0"/>
  </r>
  <r>
    <x v="14"/>
    <d v="2016-05-08T00:00:00"/>
    <n v="3672"/>
    <n v="2.46000003814697"/>
    <n v="2.46000003814697"/>
    <n v="0"/>
    <n v="0"/>
    <n v="0"/>
    <n v="2.46000003814697"/>
    <n v="0"/>
    <n v="0"/>
    <n v="0"/>
    <n v="153"/>
    <n v="603"/>
    <n v="1792"/>
    <x v="1"/>
    <x v="0"/>
  </r>
  <r>
    <x v="14"/>
    <d v="2016-04-21T00:00:00"/>
    <n v="3702"/>
    <n v="2.4800000190734899"/>
    <n v="2.4800000190734899"/>
    <n v="0"/>
    <n v="0"/>
    <n v="0"/>
    <n v="0.34999999403953602"/>
    <n v="0"/>
    <n v="0"/>
    <n v="0"/>
    <n v="34"/>
    <n v="1265"/>
    <n v="1792"/>
    <x v="0"/>
    <x v="0"/>
  </r>
  <r>
    <x v="14"/>
    <d v="2016-04-24T00:00:00"/>
    <n v="4081"/>
    <n v="2.7400000095367401"/>
    <n v="2.7400000095367401"/>
    <n v="0"/>
    <n v="5.9999998658895499E-2"/>
    <n v="0.20000000298023199"/>
    <n v="2.4700000286102299"/>
    <n v="0"/>
    <n v="1"/>
    <n v="5"/>
    <n v="191"/>
    <n v="692"/>
    <n v="1880"/>
    <x v="1"/>
    <x v="0"/>
  </r>
  <r>
    <x v="14"/>
    <d v="2016-04-22T00:00:00"/>
    <n v="4500"/>
    <n v="3.0199999809265101"/>
    <n v="3.0199999809265101"/>
    <n v="0"/>
    <n v="5.9999998658895499E-2"/>
    <n v="0.81000000238418601"/>
    <n v="2.1500000953674299"/>
    <n v="0"/>
    <n v="1"/>
    <n v="19"/>
    <n v="176"/>
    <n v="709"/>
    <n v="1886"/>
    <x v="2"/>
    <x v="0"/>
  </r>
  <r>
    <x v="14"/>
    <d v="2016-04-16T00:00:00"/>
    <n v="4744"/>
    <n v="3.1800000667571999"/>
    <n v="3.1800000667571999"/>
    <n v="0"/>
    <n v="0"/>
    <n v="0"/>
    <n v="3.1800000667571999"/>
    <n v="0"/>
    <n v="0"/>
    <n v="0"/>
    <n v="194"/>
    <n v="724"/>
    <n v="1884"/>
    <x v="4"/>
    <x v="0"/>
  </r>
  <r>
    <x v="14"/>
    <d v="2016-04-23T00:00:00"/>
    <n v="4935"/>
    <n v="3.3099999427795401"/>
    <n v="3.3099999427795401"/>
    <n v="0"/>
    <n v="0"/>
    <n v="0"/>
    <n v="3.3099999427795401"/>
    <n v="0"/>
    <n v="0"/>
    <n v="0"/>
    <n v="233"/>
    <n v="546"/>
    <n v="1945"/>
    <x v="4"/>
    <x v="0"/>
  </r>
  <r>
    <x v="14"/>
    <d v="2016-04-15T00:00:00"/>
    <n v="5664"/>
    <n v="3.7999999523162802"/>
    <n v="3.7999999523162802"/>
    <n v="0"/>
    <n v="0"/>
    <n v="0"/>
    <n v="3.7999999523162802"/>
    <n v="0"/>
    <n v="0"/>
    <n v="0"/>
    <n v="228"/>
    <n v="752"/>
    <n v="1985"/>
    <x v="2"/>
    <x v="3"/>
  </r>
  <r>
    <x v="14"/>
    <d v="2016-04-12T00:00:00"/>
    <n v="7753"/>
    <n v="5.1999998092651403"/>
    <n v="5.1999998092651403"/>
    <n v="0"/>
    <n v="0"/>
    <n v="0"/>
    <n v="0"/>
    <n v="0"/>
    <n v="0"/>
    <n v="0"/>
    <n v="0"/>
    <n v="1440"/>
    <n v="2115"/>
    <x v="6"/>
    <x v="1"/>
  </r>
  <r>
    <x v="14"/>
    <d v="2016-05-07T00:00:00"/>
    <n v="7937"/>
    <n v="5.3299999237060502"/>
    <n v="5.3299999237060502"/>
    <n v="0"/>
    <n v="0.18999999761581399"/>
    <n v="1.04999995231628"/>
    <n v="4.0799999237060502"/>
    <n v="0"/>
    <n v="3"/>
    <n v="28"/>
    <n v="279"/>
    <n v="586"/>
    <n v="2158"/>
    <x v="4"/>
    <x v="1"/>
  </r>
  <r>
    <x v="14"/>
    <d v="2016-04-29T00:00:00"/>
    <n v="7990"/>
    <n v="5.3600001335143999"/>
    <n v="5.3600001335143999"/>
    <n v="0"/>
    <n v="0.44999998807907099"/>
    <n v="0.79000002145767201"/>
    <n v="4.1199998855590803"/>
    <n v="0"/>
    <n v="6"/>
    <n v="18"/>
    <n v="289"/>
    <n v="624"/>
    <n v="2175"/>
    <x v="2"/>
    <x v="1"/>
  </r>
  <r>
    <x v="14"/>
    <d v="2016-04-13T00:00:00"/>
    <n v="8204"/>
    <n v="5.5"/>
    <n v="5.5"/>
    <n v="0"/>
    <n v="0.52999997138977095"/>
    <n v="0.58999997377395597"/>
    <n v="1.3099999427795399"/>
    <n v="0"/>
    <n v="8"/>
    <n v="15"/>
    <n v="96"/>
    <n v="1234"/>
    <n v="2135"/>
    <x v="3"/>
    <x v="1"/>
  </r>
  <r>
    <x v="14"/>
    <d v="2016-04-30T00:00:00"/>
    <n v="8221"/>
    <n v="5.5199999809265101"/>
    <n v="5.5199999809265101"/>
    <n v="0"/>
    <n v="0.40000000596046398"/>
    <n v="1.6100000143051101"/>
    <n v="3.5099999904632599"/>
    <n v="0"/>
    <n v="6"/>
    <n v="38"/>
    <n v="196"/>
    <n v="695"/>
    <n v="2092"/>
    <x v="4"/>
    <x v="1"/>
  </r>
  <r>
    <x v="14"/>
    <d v="2016-04-19T00:00:00"/>
    <n v="8925"/>
    <n v="5.9899997711181596"/>
    <n v="5.9899997711181596"/>
    <n v="0"/>
    <n v="0"/>
    <n v="0"/>
    <n v="5.9899997711181596"/>
    <n v="0"/>
    <n v="0"/>
    <n v="0"/>
    <n v="311"/>
    <n v="604"/>
    <n v="2200"/>
    <x v="6"/>
    <x v="1"/>
  </r>
  <r>
    <x v="14"/>
    <d v="2016-04-20T00:00:00"/>
    <n v="8954"/>
    <n v="6.0100002288818404"/>
    <n v="6.0100002288818404"/>
    <n v="0"/>
    <n v="0"/>
    <n v="0.68000000715255704"/>
    <n v="5.3099999427795401"/>
    <n v="0"/>
    <n v="0"/>
    <n v="18"/>
    <n v="306"/>
    <n v="671"/>
    <n v="2220"/>
    <x v="3"/>
    <x v="1"/>
  </r>
  <r>
    <x v="14"/>
    <d v="2016-05-11T00:00:00"/>
    <n v="9129"/>
    <n v="6.1300001144409197"/>
    <n v="6.1300001144409197"/>
    <n v="0"/>
    <n v="0.20000000298023199"/>
    <n v="0.74000000953674305"/>
    <n v="5.1799998283386204"/>
    <n v="0"/>
    <n v="3"/>
    <n v="18"/>
    <n v="311"/>
    <n v="574"/>
    <n v="2232"/>
    <x v="3"/>
    <x v="1"/>
  </r>
  <r>
    <x v="14"/>
    <d v="2016-04-25T00:00:00"/>
    <n v="9259"/>
    <n v="6.21000003814697"/>
    <n v="6.21000003814697"/>
    <n v="0"/>
    <n v="0"/>
    <n v="0.28000000119209301"/>
    <n v="5.9299998283386204"/>
    <n v="0"/>
    <n v="0"/>
    <n v="8"/>
    <n v="390"/>
    <n v="544"/>
    <n v="2314"/>
    <x v="5"/>
    <x v="1"/>
  </r>
  <r>
    <x v="14"/>
    <d v="2016-05-02T00:00:00"/>
    <n v="9261"/>
    <n v="6.2399997711181596"/>
    <n v="6.2399997711181596"/>
    <n v="0"/>
    <n v="0"/>
    <n v="0.43999999761581399"/>
    <n v="5.71000003814697"/>
    <n v="0"/>
    <n v="0"/>
    <n v="11"/>
    <n v="344"/>
    <n v="585"/>
    <n v="2270"/>
    <x v="5"/>
    <x v="1"/>
  </r>
  <r>
    <x v="14"/>
    <d v="2016-05-10T00:00:00"/>
    <n v="9487"/>
    <n v="6.3699998855590803"/>
    <n v="6.3699998855590803"/>
    <n v="0"/>
    <n v="0.20999999344348899"/>
    <n v="0.46000000834464999"/>
    <n v="5.6999998092651403"/>
    <n v="0"/>
    <n v="3"/>
    <n v="12"/>
    <n v="329"/>
    <n v="555"/>
    <n v="2260"/>
    <x v="6"/>
    <x v="1"/>
  </r>
  <r>
    <x v="14"/>
    <d v="2016-05-06T00:00:00"/>
    <n v="9524"/>
    <n v="6.4200000762939498"/>
    <n v="6.4200000762939498"/>
    <n v="0"/>
    <n v="0.40999999642372098"/>
    <n v="0.46999999880790699"/>
    <n v="5.46000003814697"/>
    <n v="0"/>
    <n v="6"/>
    <n v="11"/>
    <n v="314"/>
    <n v="692"/>
    <n v="2266"/>
    <x v="2"/>
    <x v="1"/>
  </r>
  <r>
    <x v="14"/>
    <d v="2016-05-03T00:00:00"/>
    <n v="9648"/>
    <n v="6.4699997901916504"/>
    <n v="6.4699997901916504"/>
    <n v="0"/>
    <n v="0.57999998331069902"/>
    <n v="1.0700000524520901"/>
    <n v="4.8299999237060502"/>
    <n v="0"/>
    <n v="8"/>
    <n v="26"/>
    <n v="287"/>
    <n v="669"/>
    <n v="2235"/>
    <x v="6"/>
    <x v="1"/>
  </r>
  <r>
    <x v="14"/>
    <d v="2016-04-26T00:00:00"/>
    <n v="9899"/>
    <n v="6.6399998664856001"/>
    <n v="6.6399998664856001"/>
    <n v="0"/>
    <n v="0.56999999284744296"/>
    <n v="0.92000001668930098"/>
    <n v="5.1500000953674299"/>
    <n v="0"/>
    <n v="8"/>
    <n v="21"/>
    <n v="288"/>
    <n v="649"/>
    <n v="2236"/>
    <x v="6"/>
    <x v="1"/>
  </r>
  <r>
    <x v="14"/>
    <d v="2016-04-14T00:00:00"/>
    <n v="10210"/>
    <n v="6.8800001144409197"/>
    <n v="6.8800001144409197"/>
    <n v="0"/>
    <n v="0.109999999403954"/>
    <n v="0.33000001311302202"/>
    <n v="6.4400000572204599"/>
    <n v="0"/>
    <n v="1"/>
    <n v="9"/>
    <n v="339"/>
    <n v="589"/>
    <n v="2302"/>
    <x v="0"/>
    <x v="2"/>
  </r>
  <r>
    <x v="14"/>
    <d v="2016-05-09T00:00:00"/>
    <n v="10378"/>
    <n v="6.96000003814697"/>
    <n v="6.96000003814697"/>
    <n v="0"/>
    <n v="0.140000000596046"/>
    <n v="0.56000000238418601"/>
    <n v="6.25"/>
    <n v="0"/>
    <n v="2"/>
    <n v="14"/>
    <n v="374"/>
    <n v="490"/>
    <n v="2345"/>
    <x v="5"/>
    <x v="2"/>
  </r>
  <r>
    <x v="14"/>
    <d v="2016-05-04T00:00:00"/>
    <n v="10429"/>
    <n v="7.0199999809265101"/>
    <n v="7.0199999809265101"/>
    <n v="0"/>
    <n v="0.58999997377395597"/>
    <n v="0.57999998331069902"/>
    <n v="5.8499999046325701"/>
    <n v="0"/>
    <n v="8"/>
    <n v="13"/>
    <n v="313"/>
    <n v="1106"/>
    <n v="2282"/>
    <x v="3"/>
    <x v="2"/>
  </r>
  <r>
    <x v="14"/>
    <d v="2016-04-27T00:00:00"/>
    <n v="10780"/>
    <n v="7.2300000190734899"/>
    <n v="7.2300000190734899"/>
    <n v="0"/>
    <n v="0.40999999642372098"/>
    <n v="1.91999995708466"/>
    <n v="4.9099998474121103"/>
    <n v="0"/>
    <n v="6"/>
    <n v="47"/>
    <n v="300"/>
    <n v="680"/>
    <n v="2324"/>
    <x v="3"/>
    <x v="2"/>
  </r>
  <r>
    <x v="14"/>
    <d v="2016-04-28T00:00:00"/>
    <n v="10817"/>
    <n v="7.2800002098083496"/>
    <n v="7.2800002098083496"/>
    <n v="0"/>
    <n v="1.0099999904632599"/>
    <n v="0.33000001311302202"/>
    <n v="5.9400000572204599"/>
    <n v="0"/>
    <n v="13"/>
    <n v="8"/>
    <n v="359"/>
    <n v="552"/>
    <n v="2367"/>
    <x v="0"/>
    <x v="2"/>
  </r>
  <r>
    <x v="14"/>
    <d v="2016-05-05T00:00:00"/>
    <n v="13658"/>
    <n v="9.4899997711181605"/>
    <n v="9.4899997711181605"/>
    <n v="0"/>
    <n v="2.6300001144409202"/>
    <n v="1.4099999666214"/>
    <n v="5.4499998092651403"/>
    <n v="0"/>
    <n v="27"/>
    <n v="34"/>
    <n v="328"/>
    <n v="957"/>
    <n v="2530"/>
    <x v="0"/>
    <x v="2"/>
  </r>
  <r>
    <x v="15"/>
    <d v="2016-05-12T00:00:00"/>
    <n v="3369"/>
    <n v="2.5899999141693102"/>
    <n v="2.5899999141693102"/>
    <n v="0"/>
    <n v="0"/>
    <n v="0"/>
    <n v="2.5899999141693102"/>
    <n v="0"/>
    <n v="0"/>
    <n v="0"/>
    <n v="108"/>
    <n v="825"/>
    <n v="1623"/>
    <x v="0"/>
    <x v="0"/>
  </r>
  <r>
    <x v="15"/>
    <d v="2016-04-17T00:00:00"/>
    <n v="4660"/>
    <n v="3.5799999237060498"/>
    <n v="3.5799999237060498"/>
    <n v="0"/>
    <n v="0"/>
    <n v="0"/>
    <n v="3.5799999237060498"/>
    <n v="0"/>
    <n v="0"/>
    <n v="0"/>
    <n v="201"/>
    <n v="721"/>
    <n v="2572"/>
    <x v="1"/>
    <x v="0"/>
  </r>
  <r>
    <x v="15"/>
    <d v="2016-04-16T00:00:00"/>
    <n v="6580"/>
    <n v="5.0599999427795401"/>
    <n v="5.0599999427795401"/>
    <n v="0"/>
    <n v="0.20999999344348899"/>
    <n v="0.40000000596046398"/>
    <n v="4.4499998092651403"/>
    <n v="0"/>
    <n v="6"/>
    <n v="9"/>
    <n v="253"/>
    <n v="609"/>
    <n v="3073"/>
    <x v="4"/>
    <x v="3"/>
  </r>
  <r>
    <x v="15"/>
    <d v="2016-04-15T00:00:00"/>
    <n v="8758"/>
    <n v="6.7300000190734899"/>
    <n v="6.7300000190734899"/>
    <n v="0"/>
    <n v="0"/>
    <n v="0"/>
    <n v="6.7300000190734899"/>
    <n v="0"/>
    <n v="0"/>
    <n v="0"/>
    <n v="299"/>
    <n v="837"/>
    <n v="3066"/>
    <x v="2"/>
    <x v="1"/>
  </r>
  <r>
    <x v="15"/>
    <d v="2016-04-14T00:00:00"/>
    <n v="8863"/>
    <n v="6.8200001716613796"/>
    <n v="6.8200001716613796"/>
    <n v="0"/>
    <n v="0.129999995231628"/>
    <n v="1.0700000524520901"/>
    <n v="5.6199998855590803"/>
    <n v="0"/>
    <n v="10"/>
    <n v="35"/>
    <n v="219"/>
    <n v="945"/>
    <n v="2998"/>
    <x v="0"/>
    <x v="1"/>
  </r>
  <r>
    <x v="15"/>
    <d v="2016-04-29T00:00:00"/>
    <n v="9232"/>
    <n v="7.0999999046325701"/>
    <n v="7.0999999046325701"/>
    <n v="0"/>
    <n v="0.80000001192092896"/>
    <n v="0.88999998569488503"/>
    <n v="5.4200000762939498"/>
    <n v="0"/>
    <n v="13"/>
    <n v="16"/>
    <n v="236"/>
    <n v="1175"/>
    <n v="2979"/>
    <x v="2"/>
    <x v="1"/>
  </r>
  <r>
    <x v="15"/>
    <d v="2016-04-26T00:00:00"/>
    <n v="9461"/>
    <n v="7.2800002098083496"/>
    <n v="7.2800002098083496"/>
    <n v="0"/>
    <n v="0.93999999761581399"/>
    <n v="1.0599999427795399"/>
    <n v="5.2699999809265101"/>
    <n v="0"/>
    <n v="14"/>
    <n v="23"/>
    <n v="224"/>
    <n v="673"/>
    <n v="2929"/>
    <x v="6"/>
    <x v="1"/>
  </r>
  <r>
    <x v="15"/>
    <d v="2016-05-05T00:00:00"/>
    <n v="9603"/>
    <n v="7.3800001144409197"/>
    <n v="7.3800001144409197"/>
    <n v="0"/>
    <n v="0.62999999523162797"/>
    <n v="1.66999995708466"/>
    <n v="5.0900001525878897"/>
    <n v="0"/>
    <n v="12"/>
    <n v="39"/>
    <n v="199"/>
    <n v="896"/>
    <n v="2899"/>
    <x v="0"/>
    <x v="1"/>
  </r>
  <r>
    <x v="15"/>
    <d v="2016-04-21T00:00:00"/>
    <n v="10055"/>
    <n v="7.7300000190734899"/>
    <n v="7.7300000190734899"/>
    <n v="0"/>
    <n v="0.37000000476837203"/>
    <n v="0.38999998569488498"/>
    <n v="6.9800000190734899"/>
    <n v="0"/>
    <n v="7"/>
    <n v="12"/>
    <n v="272"/>
    <n v="853"/>
    <n v="3069"/>
    <x v="0"/>
    <x v="2"/>
  </r>
  <r>
    <x v="15"/>
    <d v="2016-04-28T00:00:00"/>
    <n v="10074"/>
    <n v="7.75"/>
    <n v="7.75"/>
    <n v="0"/>
    <n v="1.28999996185303"/>
    <n v="0.43000000715255698"/>
    <n v="6.0300002098083496"/>
    <n v="0"/>
    <n v="19"/>
    <n v="9"/>
    <n v="234"/>
    <n v="878"/>
    <n v="2969"/>
    <x v="0"/>
    <x v="2"/>
  </r>
  <r>
    <x v="15"/>
    <d v="2016-05-02T00:00:00"/>
    <n v="10096"/>
    <n v="8.3999996185302699"/>
    <n v="8.3999996185302699"/>
    <n v="0"/>
    <n v="3.7699999809265101"/>
    <n v="7.9999998211860698E-2"/>
    <n v="4.5500001907348597"/>
    <n v="0"/>
    <n v="33"/>
    <n v="4"/>
    <n v="204"/>
    <n v="935"/>
    <n v="3147"/>
    <x v="5"/>
    <x v="2"/>
  </r>
  <r>
    <x v="15"/>
    <d v="2016-04-12T00:00:00"/>
    <n v="10122"/>
    <n v="7.7800002098083496"/>
    <n v="7.7800002098083496"/>
    <n v="0"/>
    <n v="0"/>
    <n v="0"/>
    <n v="0"/>
    <n v="0"/>
    <n v="0"/>
    <n v="0"/>
    <n v="0"/>
    <n v="1440"/>
    <n v="2955"/>
    <x v="6"/>
    <x v="2"/>
  </r>
  <r>
    <x v="15"/>
    <d v="2016-04-19T00:00:00"/>
    <n v="10181"/>
    <n v="7.8299999237060502"/>
    <n v="7.8299999237060502"/>
    <n v="0"/>
    <n v="1.37000000476837"/>
    <n v="0.68999999761581399"/>
    <n v="5.7699999809265101"/>
    <n v="0"/>
    <n v="20"/>
    <n v="16"/>
    <n v="249"/>
    <n v="704"/>
    <n v="3015"/>
    <x v="6"/>
    <x v="2"/>
  </r>
  <r>
    <x v="15"/>
    <d v="2016-05-11T00:00:00"/>
    <n v="10201"/>
    <n v="7.8400001525878897"/>
    <n v="7.8400001525878897"/>
    <n v="0"/>
    <n v="0.52999997138977095"/>
    <n v="0.79000002145767201"/>
    <n v="6.5300002098083496"/>
    <n v="0"/>
    <n v="8"/>
    <n v="18"/>
    <n v="256"/>
    <n v="858"/>
    <n v="2954"/>
    <x v="3"/>
    <x v="2"/>
  </r>
  <r>
    <x v="15"/>
    <d v="2016-05-09T00:00:00"/>
    <n v="10218"/>
    <n v="7.8600001335143999"/>
    <n v="7.8600001335143999"/>
    <n v="0"/>
    <n v="0.34000000357627902"/>
    <n v="0.730000019073486"/>
    <n v="6.78999996185303"/>
    <n v="0"/>
    <n v="6"/>
    <n v="19"/>
    <n v="258"/>
    <n v="1020"/>
    <n v="3013"/>
    <x v="5"/>
    <x v="2"/>
  </r>
  <r>
    <x v="15"/>
    <d v="2016-04-24T00:00:00"/>
    <n v="10243"/>
    <n v="7.8800001144409197"/>
    <n v="7.8800001144409197"/>
    <n v="0"/>
    <n v="1.08000004291534"/>
    <n v="0.50999999046325695"/>
    <n v="6.3000001907348597"/>
    <n v="0"/>
    <n v="14"/>
    <n v="8"/>
    <n v="239"/>
    <n v="584"/>
    <n v="2885"/>
    <x v="1"/>
    <x v="2"/>
  </r>
  <r>
    <x v="15"/>
    <d v="2016-05-01T00:00:00"/>
    <n v="10255"/>
    <n v="7.8899998664856001"/>
    <n v="7.8899998664856001"/>
    <n v="0"/>
    <n v="1.0099999904632599"/>
    <n v="0.68000000715255704"/>
    <n v="6.1999998092651403"/>
    <n v="0"/>
    <n v="12"/>
    <n v="15"/>
    <n v="241"/>
    <n v="579"/>
    <n v="2926"/>
    <x v="1"/>
    <x v="2"/>
  </r>
  <r>
    <x v="15"/>
    <d v="2016-05-10T00:00:00"/>
    <n v="10299"/>
    <n v="7.9200000762939498"/>
    <n v="7.9200000762939498"/>
    <n v="0"/>
    <n v="0.81000000238418601"/>
    <n v="0.64999997615814198"/>
    <n v="6.46000003814697"/>
    <n v="0"/>
    <n v="13"/>
    <n v="14"/>
    <n v="267"/>
    <n v="648"/>
    <n v="3061"/>
    <x v="6"/>
    <x v="2"/>
  </r>
  <r>
    <x v="15"/>
    <d v="2016-04-20T00:00:00"/>
    <n v="10553"/>
    <n v="8.1199998855590803"/>
    <n v="8.1199998855590803"/>
    <n v="0"/>
    <n v="1.1000000238418599"/>
    <n v="1.7200000286102299"/>
    <n v="5.28999996185303"/>
    <n v="0"/>
    <n v="19"/>
    <n v="42"/>
    <n v="228"/>
    <n v="696"/>
    <n v="3083"/>
    <x v="3"/>
    <x v="2"/>
  </r>
  <r>
    <x v="15"/>
    <d v="2016-04-13T00:00:00"/>
    <n v="10993"/>
    <n v="8.4499998092651403"/>
    <n v="8.4499998092651403"/>
    <n v="0"/>
    <n v="5.9999998658895499E-2"/>
    <n v="0.62999999523162797"/>
    <n v="3.8800001144409202"/>
    <n v="0"/>
    <n v="1"/>
    <n v="14"/>
    <n v="150"/>
    <n v="1275"/>
    <n v="3092"/>
    <x v="3"/>
    <x v="2"/>
  </r>
  <r>
    <x v="15"/>
    <d v="2016-04-18T00:00:00"/>
    <n v="11009"/>
    <n v="9.1000003814697301"/>
    <n v="9.1000003814697301"/>
    <n v="0"/>
    <n v="3.5599999427795401"/>
    <n v="0.40000000596046398"/>
    <n v="5.1399998664856001"/>
    <n v="0"/>
    <n v="27"/>
    <n v="8"/>
    <n v="239"/>
    <n v="1017"/>
    <n v="3274"/>
    <x v="5"/>
    <x v="2"/>
  </r>
  <r>
    <x v="15"/>
    <d v="2016-04-27T00:00:00"/>
    <n v="11193"/>
    <n v="8.6099996566772496"/>
    <n v="8.6099996566772496"/>
    <n v="0"/>
    <n v="0.69999998807907104"/>
    <n v="2.5099999904632599"/>
    <n v="5.3899998664856001"/>
    <n v="0"/>
    <n v="11"/>
    <n v="48"/>
    <n v="241"/>
    <n v="684"/>
    <n v="3074"/>
    <x v="3"/>
    <x v="2"/>
  </r>
  <r>
    <x v="15"/>
    <d v="2016-04-22T00:00:00"/>
    <n v="12139"/>
    <n v="9.3400001525878906"/>
    <n v="9.3400001525878906"/>
    <n v="0"/>
    <n v="3.2999999523162802"/>
    <n v="1.1100000143051101"/>
    <n v="4.9200000762939498"/>
    <n v="0"/>
    <n v="77"/>
    <n v="25"/>
    <n v="220"/>
    <n v="945"/>
    <n v="3544"/>
    <x v="2"/>
    <x v="2"/>
  </r>
  <r>
    <x v="15"/>
    <d v="2016-05-04T00:00:00"/>
    <n v="12375"/>
    <n v="9.5200004577636701"/>
    <n v="9.5200004577636701"/>
    <n v="0"/>
    <n v="2.78999996185303"/>
    <n v="0.93000000715255704"/>
    <n v="5.8000001907348597"/>
    <n v="0"/>
    <n v="35"/>
    <n v="21"/>
    <n v="251"/>
    <n v="632"/>
    <n v="3162"/>
    <x v="3"/>
    <x v="2"/>
  </r>
  <r>
    <x v="15"/>
    <d v="2016-04-30T00:00:00"/>
    <n v="12533"/>
    <n v="9.6400003433227504"/>
    <n v="9.6400003433227504"/>
    <n v="0"/>
    <n v="0.69999998807907104"/>
    <n v="2"/>
    <n v="6.9400000572204599"/>
    <n v="0"/>
    <n v="14"/>
    <n v="43"/>
    <n v="300"/>
    <n v="537"/>
    <n v="3283"/>
    <x v="4"/>
    <x v="2"/>
  </r>
  <r>
    <x v="15"/>
    <d v="2016-05-03T00:00:00"/>
    <n v="12727"/>
    <n v="9.7899999618530291"/>
    <n v="9.7899999618530291"/>
    <n v="0"/>
    <n v="1.12999999523163"/>
    <n v="0.77999997138977095"/>
    <n v="7.8800001144409197"/>
    <n v="0"/>
    <n v="18"/>
    <n v="18"/>
    <n v="306"/>
    <n v="984"/>
    <n v="3290"/>
    <x v="6"/>
    <x v="2"/>
  </r>
  <r>
    <x v="15"/>
    <d v="2016-04-25T00:00:00"/>
    <n v="12961"/>
    <n v="9.9700002670288104"/>
    <n v="9.9700002670288104"/>
    <n v="0"/>
    <n v="0.730000019073486"/>
    <n v="1.3999999761581401"/>
    <n v="7.8400001525878897"/>
    <n v="0"/>
    <n v="11"/>
    <n v="31"/>
    <n v="301"/>
    <n v="1054"/>
    <n v="3288"/>
    <x v="5"/>
    <x v="2"/>
  </r>
  <r>
    <x v="15"/>
    <d v="2016-05-06T00:00:00"/>
    <n v="13175"/>
    <n v="10.1300001144409"/>
    <n v="10.1300001144409"/>
    <n v="0"/>
    <n v="2.1099998950958301"/>
    <n v="2.0899999141693102"/>
    <n v="5.9299998283386204"/>
    <n v="0"/>
    <n v="33"/>
    <n v="45"/>
    <n v="262"/>
    <n v="1100"/>
    <n v="3425"/>
    <x v="2"/>
    <x v="2"/>
  </r>
  <r>
    <x v="15"/>
    <d v="2016-04-23T00:00:00"/>
    <n v="13236"/>
    <n v="10.180000305175801"/>
    <n v="10.180000305175801"/>
    <n v="0"/>
    <n v="4.5"/>
    <n v="0.31999999284744302"/>
    <n v="5.3499999046325701"/>
    <n v="0"/>
    <n v="58"/>
    <n v="5"/>
    <n v="215"/>
    <n v="749"/>
    <n v="3306"/>
    <x v="4"/>
    <x v="2"/>
  </r>
  <r>
    <x v="15"/>
    <d v="2016-05-08T00:00:00"/>
    <n v="17298"/>
    <n v="14.3800001144409"/>
    <n v="14.3800001144409"/>
    <n v="0"/>
    <n v="9.8900003433227504"/>
    <n v="1.2599999904632599"/>
    <n v="3.2300000190734899"/>
    <n v="0"/>
    <n v="107"/>
    <n v="38"/>
    <n v="178"/>
    <n v="576"/>
    <n v="3934"/>
    <x v="1"/>
    <x v="2"/>
  </r>
  <r>
    <x v="15"/>
    <d v="2016-05-07T00:00:00"/>
    <n v="22770"/>
    <n v="17.540000915527301"/>
    <n v="17.540000915527301"/>
    <n v="0"/>
    <n v="9.4499998092651403"/>
    <n v="2.7699999809265101"/>
    <n v="5.3299999237060502"/>
    <n v="0"/>
    <n v="120"/>
    <n v="56"/>
    <n v="260"/>
    <n v="508"/>
    <n v="4022"/>
    <x v="4"/>
    <x v="2"/>
  </r>
  <r>
    <x v="16"/>
    <d v="2016-05-12T00:00:00"/>
    <n v="768"/>
    <n v="0.519999980926514"/>
    <n v="0.519999980926514"/>
    <n v="0"/>
    <n v="0"/>
    <n v="0"/>
    <n v="0.519999980926514"/>
    <n v="0"/>
    <n v="0"/>
    <n v="0"/>
    <n v="58"/>
    <n v="380"/>
    <n v="1212"/>
    <x v="0"/>
    <x v="0"/>
  </r>
  <r>
    <x v="16"/>
    <d v="2016-04-19T00:00:00"/>
    <n v="2064"/>
    <n v="1.3899999856948899"/>
    <n v="1.3899999856948899"/>
    <n v="0"/>
    <n v="0"/>
    <n v="0"/>
    <n v="1.3899999856948899"/>
    <n v="0"/>
    <n v="0"/>
    <n v="0"/>
    <n v="121"/>
    <n v="895"/>
    <n v="1954"/>
    <x v="6"/>
    <x v="0"/>
  </r>
  <r>
    <x v="16"/>
    <d v="2016-04-20T00:00:00"/>
    <n v="2072"/>
    <n v="1.3899999856948899"/>
    <n v="1.3899999856948899"/>
    <n v="0"/>
    <n v="0"/>
    <n v="0"/>
    <n v="1.3899999856948899"/>
    <n v="0"/>
    <n v="0"/>
    <n v="0"/>
    <n v="137"/>
    <n v="841"/>
    <n v="1974"/>
    <x v="3"/>
    <x v="0"/>
  </r>
  <r>
    <x v="16"/>
    <d v="2016-04-17T00:00:00"/>
    <n v="2268"/>
    <n v="1.5199999809265099"/>
    <n v="1.5199999809265099"/>
    <n v="0"/>
    <n v="0"/>
    <n v="0"/>
    <n v="1.5199999809265099"/>
    <n v="0"/>
    <n v="0"/>
    <n v="0"/>
    <n v="114"/>
    <n v="1219"/>
    <n v="1933"/>
    <x v="1"/>
    <x v="0"/>
  </r>
  <r>
    <x v="16"/>
    <d v="2016-05-04T00:00:00"/>
    <n v="2923"/>
    <n v="1.96000003814697"/>
    <n v="1.96000003814697"/>
    <n v="0"/>
    <n v="0"/>
    <n v="0"/>
    <n v="1.96000003814697"/>
    <n v="0"/>
    <n v="0"/>
    <n v="0"/>
    <n v="180"/>
    <n v="897"/>
    <n v="2070"/>
    <x v="3"/>
    <x v="0"/>
  </r>
  <r>
    <x v="16"/>
    <d v="2016-04-13T00:00:00"/>
    <n v="2961"/>
    <n v="1.9900000095367401"/>
    <n v="1.9900000095367401"/>
    <n v="0"/>
    <n v="0"/>
    <n v="0"/>
    <n v="1.9900000095367401"/>
    <n v="0"/>
    <n v="0"/>
    <n v="0"/>
    <n v="194"/>
    <n v="840"/>
    <n v="2095"/>
    <x v="3"/>
    <x v="0"/>
  </r>
  <r>
    <x v="16"/>
    <d v="2016-04-12T00:00:00"/>
    <n v="3276"/>
    <n v="2.2000000476837198"/>
    <n v="2.2000000476837198"/>
    <n v="0"/>
    <n v="0"/>
    <n v="0"/>
    <n v="2.2000000476837198"/>
    <n v="0"/>
    <n v="0"/>
    <n v="0"/>
    <n v="196"/>
    <n v="787"/>
    <n v="2113"/>
    <x v="6"/>
    <x v="0"/>
  </r>
  <r>
    <x v="16"/>
    <d v="2016-04-25T00:00:00"/>
    <n v="3385"/>
    <n v="2.2699999809265101"/>
    <n v="2.2699999809265101"/>
    <n v="0"/>
    <n v="0"/>
    <n v="0"/>
    <n v="2.2699999809265101"/>
    <n v="0"/>
    <n v="0"/>
    <n v="0"/>
    <n v="179"/>
    <n v="916"/>
    <n v="2070"/>
    <x v="5"/>
    <x v="0"/>
  </r>
  <r>
    <x v="16"/>
    <d v="2016-05-05T00:00:00"/>
    <n v="3800"/>
    <n v="2.5499999523162802"/>
    <n v="2.5499999523162802"/>
    <n v="0"/>
    <n v="0.119999997317791"/>
    <n v="0.239999994635582"/>
    <n v="2.1800000667571999"/>
    <n v="0"/>
    <n v="2"/>
    <n v="6"/>
    <n v="185"/>
    <n v="734"/>
    <n v="2120"/>
    <x v="0"/>
    <x v="0"/>
  </r>
  <r>
    <x v="16"/>
    <d v="2016-04-21T00:00:00"/>
    <n v="3809"/>
    <n v="2.5599999427795401"/>
    <n v="2.5599999427795401"/>
    <n v="0"/>
    <n v="0"/>
    <n v="0"/>
    <n v="2.53999996185303"/>
    <n v="0"/>
    <n v="0"/>
    <n v="0"/>
    <n v="215"/>
    <n v="756"/>
    <n v="2150"/>
    <x v="0"/>
    <x v="0"/>
  </r>
  <r>
    <x v="16"/>
    <d v="2016-05-10T00:00:00"/>
    <n v="3915"/>
    <n v="2.6300001144409202"/>
    <n v="2.6300001144409202"/>
    <n v="0"/>
    <n v="0"/>
    <n v="0"/>
    <n v="2.6300001144409202"/>
    <n v="0"/>
    <n v="0"/>
    <n v="0"/>
    <n v="231"/>
    <n v="783"/>
    <n v="2181"/>
    <x v="6"/>
    <x v="0"/>
  </r>
  <r>
    <x v="16"/>
    <d v="2016-04-16T00:00:00"/>
    <n v="3945"/>
    <n v="2.6500000953674299"/>
    <n v="2.6500000953674299"/>
    <n v="0"/>
    <n v="0"/>
    <n v="0"/>
    <n v="2.6500000953674299"/>
    <n v="0"/>
    <n v="0"/>
    <n v="0"/>
    <n v="225"/>
    <n v="716"/>
    <n v="2180"/>
    <x v="4"/>
    <x v="0"/>
  </r>
  <r>
    <x v="16"/>
    <d v="2016-04-14T00:00:00"/>
    <n v="3974"/>
    <n v="2.6700000762939502"/>
    <n v="2.6700000762939502"/>
    <n v="0"/>
    <n v="0"/>
    <n v="0"/>
    <n v="2.6700000762939502"/>
    <n v="0"/>
    <n v="0"/>
    <n v="0"/>
    <n v="231"/>
    <n v="717"/>
    <n v="2194"/>
    <x v="0"/>
    <x v="0"/>
  </r>
  <r>
    <x v="16"/>
    <d v="2016-04-23T00:00:00"/>
    <n v="4363"/>
    <n v="2.9300000667571999"/>
    <n v="2.9300000667571999"/>
    <n v="0"/>
    <n v="0"/>
    <n v="0"/>
    <n v="2.9300000667571999"/>
    <n v="0"/>
    <n v="0"/>
    <n v="0"/>
    <n v="201"/>
    <n v="1239"/>
    <n v="2149"/>
    <x v="4"/>
    <x v="0"/>
  </r>
  <r>
    <x v="16"/>
    <d v="2016-04-28T00:00:00"/>
    <n v="4493"/>
    <n v="3.0099999904632599"/>
    <n v="3.0099999904632599"/>
    <n v="0"/>
    <n v="0"/>
    <n v="0"/>
    <n v="3.0099999904632599"/>
    <n v="0"/>
    <n v="0"/>
    <n v="0"/>
    <n v="236"/>
    <n v="762"/>
    <n v="2203"/>
    <x v="0"/>
    <x v="0"/>
  </r>
  <r>
    <x v="16"/>
    <d v="2016-05-06T00:00:00"/>
    <n v="4514"/>
    <n v="3.0299999713897701"/>
    <n v="3.0299999713897701"/>
    <n v="0"/>
    <n v="0"/>
    <n v="0"/>
    <n v="3.0299999713897701"/>
    <n v="0"/>
    <n v="0"/>
    <n v="0"/>
    <n v="229"/>
    <n v="809"/>
    <n v="2211"/>
    <x v="2"/>
    <x v="0"/>
  </r>
  <r>
    <x v="16"/>
    <d v="2016-04-29T00:00:00"/>
    <n v="4676"/>
    <n v="3.1400001049041699"/>
    <n v="3.1400001049041699"/>
    <n v="0"/>
    <n v="0"/>
    <n v="0"/>
    <n v="3.1300001144409202"/>
    <n v="0"/>
    <n v="0"/>
    <n v="0"/>
    <n v="226"/>
    <n v="1106"/>
    <n v="2196"/>
    <x v="2"/>
    <x v="0"/>
  </r>
  <r>
    <x v="16"/>
    <d v="2016-04-24T00:00:00"/>
    <n v="5002"/>
    <n v="3.3599998950958301"/>
    <n v="3.3599998950958301"/>
    <n v="0"/>
    <n v="0"/>
    <n v="0"/>
    <n v="3.3599998950958301"/>
    <n v="0"/>
    <n v="0"/>
    <n v="0"/>
    <n v="244"/>
    <n v="1196"/>
    <n v="2247"/>
    <x v="1"/>
    <x v="3"/>
  </r>
  <r>
    <x v="16"/>
    <d v="2016-05-07T00:00:00"/>
    <n v="5183"/>
    <n v="3.5899999141693102"/>
    <n v="3.5899999141693102"/>
    <n v="0"/>
    <n v="2.1300001144409202"/>
    <n v="0.18999999761581399"/>
    <n v="1.25"/>
    <n v="0"/>
    <n v="26"/>
    <n v="4"/>
    <n v="108"/>
    <n v="866"/>
    <n v="2123"/>
    <x v="4"/>
    <x v="3"/>
  </r>
  <r>
    <x v="16"/>
    <d v="2016-05-01T00:00:00"/>
    <n v="5232"/>
    <n v="3.5099999904632599"/>
    <n v="3.5099999904632599"/>
    <n v="0"/>
    <n v="0"/>
    <n v="0"/>
    <n v="3.5099999904632599"/>
    <n v="0"/>
    <n v="0"/>
    <n v="0"/>
    <n v="240"/>
    <n v="741"/>
    <n v="2246"/>
    <x v="1"/>
    <x v="3"/>
  </r>
  <r>
    <x v="16"/>
    <d v="2016-05-09T00:00:00"/>
    <n v="5275"/>
    <n v="3.53999996185303"/>
    <n v="3.53999996185303"/>
    <n v="0"/>
    <n v="0"/>
    <n v="0"/>
    <n v="3.53999996185303"/>
    <n v="0"/>
    <n v="0"/>
    <n v="0"/>
    <n v="266"/>
    <n v="641"/>
    <n v="2281"/>
    <x v="5"/>
    <x v="3"/>
  </r>
  <r>
    <x v="16"/>
    <d v="2016-04-18T00:00:00"/>
    <n v="6155"/>
    <n v="4.2399997711181596"/>
    <n v="4.2399997711181596"/>
    <n v="0"/>
    <n v="2"/>
    <n v="0.28999999165535001"/>
    <n v="1.95000004768372"/>
    <n v="0"/>
    <n v="25"/>
    <n v="6"/>
    <n v="162"/>
    <n v="1247"/>
    <n v="2248"/>
    <x v="5"/>
    <x v="3"/>
  </r>
  <r>
    <x v="16"/>
    <d v="2016-04-30T00:00:00"/>
    <n v="6222"/>
    <n v="4.1799998283386204"/>
    <n v="4.1799998283386204"/>
    <n v="0"/>
    <n v="0"/>
    <n v="0"/>
    <n v="4.1799998283386204"/>
    <n v="0"/>
    <n v="0"/>
    <n v="0"/>
    <n v="290"/>
    <n v="797"/>
    <n v="2363"/>
    <x v="4"/>
    <x v="3"/>
  </r>
  <r>
    <x v="16"/>
    <d v="2016-04-26T00:00:00"/>
    <n v="6326"/>
    <n v="4.4099998474121103"/>
    <n v="4.4099998474121103"/>
    <n v="0"/>
    <n v="2.4100000858306898"/>
    <n v="3.9999999105930301E-2"/>
    <n v="1.96000003814697"/>
    <n v="0"/>
    <n v="29"/>
    <n v="1"/>
    <n v="180"/>
    <n v="839"/>
    <n v="2291"/>
    <x v="6"/>
    <x v="3"/>
  </r>
  <r>
    <x v="16"/>
    <d v="2016-04-22T00:00:00"/>
    <n v="6831"/>
    <n v="4.5799999237060502"/>
    <n v="4.5799999237060502"/>
    <n v="0"/>
    <n v="0"/>
    <n v="0"/>
    <n v="4.5799999237060502"/>
    <n v="0"/>
    <n v="0"/>
    <n v="0"/>
    <n v="317"/>
    <n v="706"/>
    <n v="2432"/>
    <x v="2"/>
    <x v="3"/>
  </r>
  <r>
    <x v="16"/>
    <d v="2016-05-02T00:00:00"/>
    <n v="6910"/>
    <n v="4.75"/>
    <n v="4.75"/>
    <n v="0"/>
    <n v="2.21000003814697"/>
    <n v="0.18999999761581399"/>
    <n v="2.3499999046325701"/>
    <n v="0"/>
    <n v="27"/>
    <n v="4"/>
    <n v="200"/>
    <n v="667"/>
    <n v="2336"/>
    <x v="5"/>
    <x v="3"/>
  </r>
  <r>
    <x v="16"/>
    <d v="2016-04-15T00:00:00"/>
    <n v="7198"/>
    <n v="4.8299999237060502"/>
    <n v="4.8299999237060502"/>
    <n v="0"/>
    <n v="0"/>
    <n v="0"/>
    <n v="4.8299999237060502"/>
    <n v="0"/>
    <n v="0"/>
    <n v="0"/>
    <n v="350"/>
    <n v="711"/>
    <n v="2496"/>
    <x v="2"/>
    <x v="3"/>
  </r>
  <r>
    <x v="16"/>
    <d v="2016-04-27T00:00:00"/>
    <n v="7243"/>
    <n v="5.0300002098083496"/>
    <n v="5.0300002098083496"/>
    <n v="0"/>
    <n v="2.6199998855590798"/>
    <n v="2.9999999329447701E-2"/>
    <n v="2.3800001144409202"/>
    <n v="0"/>
    <n v="32"/>
    <n v="1"/>
    <n v="194"/>
    <n v="839"/>
    <n v="2361"/>
    <x v="3"/>
    <x v="3"/>
  </r>
  <r>
    <x v="16"/>
    <d v="2016-05-08T00:00:00"/>
    <n v="7303"/>
    <n v="4.9000000953674299"/>
    <n v="4.9000000953674299"/>
    <n v="0"/>
    <n v="0"/>
    <n v="0.25"/>
    <n v="4.6500000953674299"/>
    <n v="0"/>
    <n v="0"/>
    <n v="8"/>
    <n v="308"/>
    <n v="733"/>
    <n v="2423"/>
    <x v="1"/>
    <x v="3"/>
  </r>
  <r>
    <x v="16"/>
    <d v="2016-05-03T00:00:00"/>
    <n v="7502"/>
    <n v="5.1799998283386204"/>
    <n v="5.1799998283386204"/>
    <n v="0"/>
    <n v="2.4800000190734899"/>
    <n v="0.109999999403954"/>
    <n v="2.5799999237060498"/>
    <n v="0"/>
    <n v="30"/>
    <n v="2"/>
    <n v="233"/>
    <n v="725"/>
    <n v="2421"/>
    <x v="6"/>
    <x v="1"/>
  </r>
  <r>
    <x v="16"/>
    <d v="2016-05-11T00:00:00"/>
    <n v="9105"/>
    <n v="6.1100001335143999"/>
    <n v="6.1100001335143999"/>
    <n v="0"/>
    <n v="2.25"/>
    <n v="1"/>
    <n v="2.8599998950958301"/>
    <n v="0"/>
    <n v="34"/>
    <n v="22"/>
    <n v="232"/>
    <n v="622"/>
    <n v="2499"/>
    <x v="3"/>
    <x v="1"/>
  </r>
  <r>
    <x v="17"/>
    <d v="2016-05-01T00:00:00"/>
    <n v="3428"/>
    <n v="2.2699999809265101"/>
    <n v="2.2699999809265101"/>
    <n v="0"/>
    <n v="0"/>
    <n v="0"/>
    <n v="2.2699999809265101"/>
    <n v="0"/>
    <n v="0"/>
    <n v="0"/>
    <n v="190"/>
    <n v="1121"/>
    <n v="1692"/>
    <x v="1"/>
    <x v="0"/>
  </r>
  <r>
    <x v="17"/>
    <d v="2016-05-06T00:00:00"/>
    <n v="3755"/>
    <n v="2.4800000190734899"/>
    <n v="2.4800000190734899"/>
    <n v="0"/>
    <n v="0"/>
    <n v="0"/>
    <n v="2.4800000190734899"/>
    <n v="0"/>
    <n v="0"/>
    <n v="0"/>
    <n v="202"/>
    <n v="1238"/>
    <n v="1722"/>
    <x v="2"/>
    <x v="0"/>
  </r>
  <r>
    <x v="17"/>
    <d v="2016-04-20T00:00:00"/>
    <n v="4803"/>
    <n v="3.1700000762939502"/>
    <n v="3.1700000762939502"/>
    <n v="0"/>
    <n v="0"/>
    <n v="0"/>
    <n v="3.1700000762939502"/>
    <n v="0"/>
    <n v="0"/>
    <n v="0"/>
    <n v="222"/>
    <n v="1218"/>
    <n v="1788"/>
    <x v="3"/>
    <x v="0"/>
  </r>
  <r>
    <x v="17"/>
    <d v="2016-04-13T00:00:00"/>
    <n v="4978"/>
    <n v="3.28999996185303"/>
    <n v="3.28999996185303"/>
    <n v="0"/>
    <n v="1.2400000095367401"/>
    <n v="0.43999999761581399"/>
    <n v="1.6100000143051101"/>
    <n v="0"/>
    <n v="19"/>
    <n v="7"/>
    <n v="127"/>
    <n v="1287"/>
    <n v="1722"/>
    <x v="3"/>
    <x v="0"/>
  </r>
  <r>
    <x v="17"/>
    <d v="2016-04-12T00:00:00"/>
    <n v="5135"/>
    <n v="3.3900001049041699"/>
    <n v="3.3900001049041699"/>
    <n v="0"/>
    <n v="0"/>
    <n v="0"/>
    <n v="3.3900001049041699"/>
    <n v="0"/>
    <n v="0"/>
    <n v="0"/>
    <n v="318"/>
    <n v="1122"/>
    <n v="1909"/>
    <x v="6"/>
    <x v="3"/>
  </r>
  <r>
    <x v="17"/>
    <d v="2016-05-04T00:00:00"/>
    <n v="5232"/>
    <n v="3.46000003814697"/>
    <n v="3.46000003814697"/>
    <n v="0"/>
    <n v="0"/>
    <n v="0"/>
    <n v="3.46000003814697"/>
    <n v="0"/>
    <n v="0"/>
    <n v="0"/>
    <n v="252"/>
    <n v="1188"/>
    <n v="1842"/>
    <x v="3"/>
    <x v="3"/>
  </r>
  <r>
    <x v="17"/>
    <d v="2016-05-03T00:00:00"/>
    <n v="5267"/>
    <n v="3.4800000190734899"/>
    <n v="3.4800000190734899"/>
    <n v="0"/>
    <n v="0.60000002384185802"/>
    <n v="0.28000000119209301"/>
    <n v="2.5999999046325701"/>
    <n v="0"/>
    <n v="21"/>
    <n v="10"/>
    <n v="237"/>
    <n v="1172"/>
    <n v="1953"/>
    <x v="6"/>
    <x v="3"/>
  </r>
  <r>
    <x v="17"/>
    <d v="2016-04-19T00:00:00"/>
    <n v="5401"/>
    <n v="3.5699999332428001"/>
    <n v="3.5699999332428001"/>
    <n v="0"/>
    <n v="5.0000000745058101E-2"/>
    <n v="0.36000001430511502"/>
    <n v="3.1600000858306898"/>
    <n v="0"/>
    <n v="1"/>
    <n v="9"/>
    <n v="248"/>
    <n v="1182"/>
    <n v="1876"/>
    <x v="6"/>
    <x v="3"/>
  </r>
  <r>
    <x v="17"/>
    <d v="2016-05-12T00:00:00"/>
    <n v="6307"/>
    <n v="4.1700000762939498"/>
    <n v="4.1700000762939498"/>
    <n v="0"/>
    <n v="0"/>
    <n v="0"/>
    <n v="4.1700000762939498"/>
    <n v="0"/>
    <n v="0"/>
    <n v="0"/>
    <n v="247"/>
    <n v="736"/>
    <n v="1452"/>
    <x v="0"/>
    <x v="3"/>
  </r>
  <r>
    <x v="17"/>
    <d v="2016-05-10T00:00:00"/>
    <n v="6435"/>
    <n v="4.25"/>
    <n v="4.25"/>
    <n v="0"/>
    <n v="0.74000000953674305"/>
    <n v="1.12000000476837"/>
    <n v="2.3900001049041699"/>
    <n v="0"/>
    <n v="11"/>
    <n v="18"/>
    <n v="220"/>
    <n v="1191"/>
    <n v="1889"/>
    <x v="6"/>
    <x v="3"/>
  </r>
  <r>
    <x v="17"/>
    <d v="2016-05-08T00:00:00"/>
    <n v="6543"/>
    <n v="4.3299999237060502"/>
    <n v="4.3299999237060502"/>
    <n v="0"/>
    <n v="1.79999995231628"/>
    <n v="0.5"/>
    <n v="2.0199999809265101"/>
    <n v="0"/>
    <n v="66"/>
    <n v="35"/>
    <n v="238"/>
    <n v="1019"/>
    <n v="2666"/>
    <x v="1"/>
    <x v="3"/>
  </r>
  <r>
    <x v="17"/>
    <d v="2016-04-14T00:00:00"/>
    <n v="6799"/>
    <n v="4.4899997711181596"/>
    <n v="4.4899997711181596"/>
    <n v="0"/>
    <n v="0"/>
    <n v="0"/>
    <n v="4.4899997711181596"/>
    <n v="0"/>
    <n v="0"/>
    <n v="0"/>
    <n v="279"/>
    <n v="1161"/>
    <n v="1922"/>
    <x v="0"/>
    <x v="3"/>
  </r>
  <r>
    <x v="17"/>
    <d v="2016-04-23T00:00:00"/>
    <n v="6890"/>
    <n v="4.5500001907348597"/>
    <n v="4.5500001907348597"/>
    <n v="0"/>
    <n v="0.34000000357627902"/>
    <n v="0.20000000298023199"/>
    <n v="4.0100002288818404"/>
    <n v="0"/>
    <n v="5"/>
    <n v="5"/>
    <n v="308"/>
    <n v="1122"/>
    <n v="2085"/>
    <x v="4"/>
    <x v="3"/>
  </r>
  <r>
    <x v="17"/>
    <d v="2016-04-16T00:00:00"/>
    <n v="7289"/>
    <n v="4.8200001716613796"/>
    <n v="4.8200001716613796"/>
    <n v="0"/>
    <n v="0.55000001192092896"/>
    <n v="0.75"/>
    <n v="3.5"/>
    <n v="0"/>
    <n v="8"/>
    <n v="12"/>
    <n v="308"/>
    <n v="1112"/>
    <n v="1997"/>
    <x v="4"/>
    <x v="3"/>
  </r>
  <r>
    <x v="17"/>
    <d v="2016-04-15T00:00:00"/>
    <n v="7795"/>
    <n v="5.1500000953674299"/>
    <n v="5.1500000953674299"/>
    <n v="0"/>
    <n v="0.58999997377395597"/>
    <n v="0.83999997377395597"/>
    <n v="3.7300000190734899"/>
    <n v="0"/>
    <n v="17"/>
    <n v="30"/>
    <n v="262"/>
    <n v="1131"/>
    <n v="2121"/>
    <x v="2"/>
    <x v="1"/>
  </r>
  <r>
    <x v="17"/>
    <d v="2016-04-29T00:00:00"/>
    <n v="7833"/>
    <n v="5.1799998283386204"/>
    <n v="5.1799998283386204"/>
    <n v="0"/>
    <n v="1.0199999809265099"/>
    <n v="1.8500000238418599"/>
    <n v="2.3099999427795401"/>
    <n v="0"/>
    <n v="15"/>
    <n v="29"/>
    <n v="197"/>
    <n v="1096"/>
    <n v="1918"/>
    <x v="2"/>
    <x v="1"/>
  </r>
  <r>
    <x v="17"/>
    <d v="2016-05-02T00:00:00"/>
    <n v="7891"/>
    <n v="5.2199997901916504"/>
    <n v="5.2199997901916504"/>
    <n v="0"/>
    <n v="0"/>
    <n v="0"/>
    <n v="5.2199997901916504"/>
    <n v="0"/>
    <n v="0"/>
    <n v="0"/>
    <n v="383"/>
    <n v="1057"/>
    <n v="2066"/>
    <x v="5"/>
    <x v="1"/>
  </r>
  <r>
    <x v="17"/>
    <d v="2016-04-25T00:00:00"/>
    <n v="8095"/>
    <n v="5.3499999046325701"/>
    <n v="5.3499999046325701"/>
    <n v="0"/>
    <n v="0.58999997377395597"/>
    <n v="0.25"/>
    <n v="4.5100002288818404"/>
    <n v="0"/>
    <n v="18"/>
    <n v="10"/>
    <n v="340"/>
    <n v="993"/>
    <n v="2225"/>
    <x v="5"/>
    <x v="1"/>
  </r>
  <r>
    <x v="17"/>
    <d v="2016-05-07T00:00:00"/>
    <n v="8237"/>
    <n v="5.4400000572204599"/>
    <n v="5.4400000572204599"/>
    <n v="0"/>
    <n v="1.6100000143051101"/>
    <n v="1"/>
    <n v="2.8299999237060498"/>
    <n v="0"/>
    <n v="23"/>
    <n v="16"/>
    <n v="233"/>
    <n v="1116"/>
    <n v="1973"/>
    <x v="4"/>
    <x v="1"/>
  </r>
  <r>
    <x v="17"/>
    <d v="2016-04-24T00:00:00"/>
    <n v="8563"/>
    <n v="5.6599998474121103"/>
    <n v="5.6599998474121103"/>
    <n v="0"/>
    <n v="0"/>
    <n v="0"/>
    <n v="5.6500000953674299"/>
    <n v="0"/>
    <n v="0"/>
    <n v="0"/>
    <n v="395"/>
    <n v="1045"/>
    <n v="2173"/>
    <x v="1"/>
    <x v="1"/>
  </r>
  <r>
    <x v="17"/>
    <d v="2016-04-18T00:00:00"/>
    <n v="8940"/>
    <n v="5.9099998474121103"/>
    <n v="5.9099998474121103"/>
    <n v="0"/>
    <n v="0.980000019073486"/>
    <n v="0.93000000715255704"/>
    <n v="4"/>
    <n v="0"/>
    <n v="14"/>
    <n v="15"/>
    <n v="331"/>
    <n v="1080"/>
    <n v="2116"/>
    <x v="5"/>
    <x v="1"/>
  </r>
  <r>
    <x v="17"/>
    <d v="2016-05-11T00:00:00"/>
    <n v="9108"/>
    <n v="6.0199999809265101"/>
    <n v="6.0199999809265101"/>
    <n v="0"/>
    <n v="0.259999990463257"/>
    <n v="1.8200000524520901"/>
    <n v="3.9400000572204599"/>
    <n v="0"/>
    <n v="4"/>
    <n v="31"/>
    <n v="324"/>
    <n v="1081"/>
    <n v="2131"/>
    <x v="3"/>
    <x v="1"/>
  </r>
  <r>
    <x v="17"/>
    <d v="2016-04-26T00:00:00"/>
    <n v="9148"/>
    <n v="6.0500001907348597"/>
    <n v="6.0500001907348597"/>
    <n v="0"/>
    <n v="0.43000000715255698"/>
    <n v="2.0299999713897701"/>
    <n v="3.5899999141693102"/>
    <n v="0"/>
    <n v="12"/>
    <n v="41"/>
    <n v="283"/>
    <n v="1062"/>
    <n v="2223"/>
    <x v="6"/>
    <x v="1"/>
  </r>
  <r>
    <x v="17"/>
    <d v="2016-04-28T00:00:00"/>
    <n v="9451"/>
    <n v="6.25"/>
    <n v="6.25"/>
    <n v="0"/>
    <n v="1.9999999552965199E-2"/>
    <n v="0.270000010728836"/>
    <n v="5.9499998092651403"/>
    <n v="0"/>
    <n v="1"/>
    <n v="11"/>
    <n v="367"/>
    <n v="985"/>
    <n v="2185"/>
    <x v="0"/>
    <x v="1"/>
  </r>
  <r>
    <x v="17"/>
    <d v="2016-04-27T00:00:00"/>
    <n v="9557"/>
    <n v="6.3200001716613796"/>
    <n v="6.3200001716613796"/>
    <n v="0"/>
    <n v="1.96000003814697"/>
    <n v="0.88999998569488503"/>
    <n v="3.46000003814697"/>
    <n v="0"/>
    <n v="27"/>
    <n v="14"/>
    <n v="312"/>
    <n v="1087"/>
    <n v="2098"/>
    <x v="3"/>
    <x v="1"/>
  </r>
  <r>
    <x v="17"/>
    <d v="2016-04-22T00:00:00"/>
    <n v="9601"/>
    <n v="6.3499999046325701"/>
    <n v="6.3499999046325701"/>
    <n v="0"/>
    <n v="1.37000000476837"/>
    <n v="1.5"/>
    <n v="3.4700000286102299"/>
    <n v="0"/>
    <n v="20"/>
    <n v="25"/>
    <n v="273"/>
    <n v="1122"/>
    <n v="2094"/>
    <x v="2"/>
    <x v="1"/>
  </r>
  <r>
    <x v="17"/>
    <d v="2016-04-17T00:00:00"/>
    <n v="9634"/>
    <n v="6.4000000953674299"/>
    <n v="6.4000000953674299"/>
    <n v="0"/>
    <n v="0.55000001192092896"/>
    <n v="1.1399999856948899"/>
    <n v="4.71000003814697"/>
    <n v="0"/>
    <n v="7"/>
    <n v="19"/>
    <n v="304"/>
    <n v="1110"/>
    <n v="2117"/>
    <x v="1"/>
    <x v="1"/>
  </r>
  <r>
    <x v="17"/>
    <d v="2016-04-30T00:00:00"/>
    <n v="10319"/>
    <n v="6.8200001716613796"/>
    <n v="6.8200001716613796"/>
    <n v="0"/>
    <n v="0.46999999880790699"/>
    <n v="1.8899999856948899"/>
    <n v="4.46000003814697"/>
    <n v="0"/>
    <n v="7"/>
    <n v="29"/>
    <n v="293"/>
    <n v="1111"/>
    <n v="2105"/>
    <x v="4"/>
    <x v="2"/>
  </r>
  <r>
    <x v="17"/>
    <d v="2016-05-05T00:00:00"/>
    <n v="10611"/>
    <n v="7.0100002288818404"/>
    <n v="7.0100002288818404"/>
    <n v="0"/>
    <n v="1.0099999904632599"/>
    <n v="0.5"/>
    <n v="5.5100002288818404"/>
    <n v="0"/>
    <n v="14"/>
    <n v="8"/>
    <n v="370"/>
    <n v="1048"/>
    <n v="2262"/>
    <x v="0"/>
    <x v="2"/>
  </r>
  <r>
    <x v="17"/>
    <d v="2016-05-09T00:00:00"/>
    <n v="11451"/>
    <n v="7.5700001716613796"/>
    <n v="7.5700001716613796"/>
    <n v="0"/>
    <n v="0.43000000715255698"/>
    <n v="1.62000000476837"/>
    <n v="5.5199999809265101"/>
    <n v="0"/>
    <n v="6"/>
    <n v="30"/>
    <n v="339"/>
    <n v="1065"/>
    <n v="2223"/>
    <x v="5"/>
    <x v="2"/>
  </r>
  <r>
    <x v="17"/>
    <d v="2016-04-21T00:00:00"/>
    <n v="13743"/>
    <n v="9.0799999237060494"/>
    <n v="9.0799999237060494"/>
    <n v="0"/>
    <n v="0.41999998688697798"/>
    <n v="0.97000002861022905"/>
    <n v="7.6999998092651403"/>
    <n v="0"/>
    <n v="6"/>
    <n v="21"/>
    <n v="432"/>
    <n v="844"/>
    <n v="2486"/>
    <x v="0"/>
    <x v="2"/>
  </r>
  <r>
    <x v="18"/>
    <d v="2016-05-01T00:00:00"/>
    <n v="0"/>
    <n v="0"/>
    <n v="0"/>
    <n v="0"/>
    <n v="0"/>
    <n v="0"/>
    <n v="0"/>
    <n v="0"/>
    <n v="0"/>
    <n v="0"/>
    <n v="0"/>
    <n v="1440"/>
    <n v="2017"/>
    <x v="1"/>
    <x v="0"/>
  </r>
  <r>
    <x v="18"/>
    <d v="2016-04-22T00:00:00"/>
    <n v="1664"/>
    <n v="1.3500000238418599"/>
    <n v="1.3500000238418599"/>
    <n v="0"/>
    <n v="0"/>
    <n v="0"/>
    <n v="1.3500000238418599"/>
    <n v="0"/>
    <n v="0"/>
    <n v="0"/>
    <n v="72"/>
    <n v="1341"/>
    <n v="2241"/>
    <x v="2"/>
    <x v="0"/>
  </r>
  <r>
    <x v="18"/>
    <d v="2016-05-12T00:00:00"/>
    <n v="2752"/>
    <n v="2.2300000190734899"/>
    <n v="2.2300000190734899"/>
    <n v="0"/>
    <n v="0"/>
    <n v="0"/>
    <n v="2.2300000190734899"/>
    <n v="0"/>
    <n v="0"/>
    <n v="0"/>
    <n v="68"/>
    <n v="241"/>
    <n v="1240"/>
    <x v="0"/>
    <x v="0"/>
  </r>
  <r>
    <x v="18"/>
    <d v="2016-04-26T00:00:00"/>
    <n v="6108"/>
    <n v="4.9499998092651403"/>
    <n v="4.9499998092651403"/>
    <n v="0"/>
    <n v="7.0000000298023196E-2"/>
    <n v="0.34999999403953602"/>
    <n v="4.53999996185303"/>
    <n v="0"/>
    <n v="1"/>
    <n v="8"/>
    <n v="216"/>
    <n v="765"/>
    <n v="2784"/>
    <x v="6"/>
    <x v="3"/>
  </r>
  <r>
    <x v="18"/>
    <d v="2016-04-15T00:00:00"/>
    <n v="6506"/>
    <n v="5.2800002098083496"/>
    <n v="5.2800002098083496"/>
    <n v="0"/>
    <n v="7.0000000298023196E-2"/>
    <n v="0.41999998688697798"/>
    <n v="4.78999996185303"/>
    <n v="0"/>
    <n v="1"/>
    <n v="8"/>
    <n v="256"/>
    <n v="944"/>
    <n v="2896"/>
    <x v="2"/>
    <x v="3"/>
  </r>
  <r>
    <x v="18"/>
    <d v="2016-04-21T00:00:00"/>
    <n v="6530"/>
    <n v="5.3000001907348597"/>
    <n v="5.3000001907348597"/>
    <n v="0"/>
    <n v="0.31000000238418601"/>
    <n v="2.0499999523162802"/>
    <n v="2.9400000572204599"/>
    <n v="0"/>
    <n v="4"/>
    <n v="41"/>
    <n v="144"/>
    <n v="901"/>
    <n v="2729"/>
    <x v="0"/>
    <x v="3"/>
  </r>
  <r>
    <x v="18"/>
    <d v="2016-04-19T00:00:00"/>
    <n v="6708"/>
    <n v="5.4400000572204599"/>
    <n v="5.4400000572204599"/>
    <n v="0"/>
    <n v="0.87999999523162797"/>
    <n v="0.37000000476837203"/>
    <n v="4.1900000572204599"/>
    <n v="0"/>
    <n v="10"/>
    <n v="8"/>
    <n v="179"/>
    <n v="757"/>
    <n v="2812"/>
    <x v="6"/>
    <x v="3"/>
  </r>
  <r>
    <x v="18"/>
    <d v="2016-04-13T00:00:00"/>
    <n v="6877"/>
    <n v="5.5799999237060502"/>
    <n v="5.5799999237060502"/>
    <n v="0"/>
    <n v="0"/>
    <n v="0"/>
    <n v="5.5799999237060502"/>
    <n v="0"/>
    <n v="0"/>
    <n v="0"/>
    <n v="258"/>
    <n v="777"/>
    <n v="2898"/>
    <x v="3"/>
    <x v="3"/>
  </r>
  <r>
    <x v="18"/>
    <d v="2016-05-06T00:00:00"/>
    <n v="6943"/>
    <n v="5.6300001144409197"/>
    <n v="5.6300001144409197"/>
    <n v="0"/>
    <n v="7.9999998211860698E-2"/>
    <n v="0.66000002622604403"/>
    <n v="4.8699998855590803"/>
    <n v="0"/>
    <n v="1"/>
    <n v="16"/>
    <n v="207"/>
    <n v="682"/>
    <n v="2859"/>
    <x v="2"/>
    <x v="3"/>
  </r>
  <r>
    <x v="18"/>
    <d v="2016-04-27T00:00:00"/>
    <n v="7047"/>
    <n v="5.7199997901916504"/>
    <n v="5.7199997901916504"/>
    <n v="0"/>
    <n v="9.00000035762787E-2"/>
    <n v="0.80000001192092896"/>
    <n v="4.7800002098083496"/>
    <n v="0"/>
    <n v="1"/>
    <n v="16"/>
    <n v="238"/>
    <n v="733"/>
    <n v="2908"/>
    <x v="3"/>
    <x v="3"/>
  </r>
  <r>
    <x v="18"/>
    <d v="2016-04-12T00:00:00"/>
    <n v="7213"/>
    <n v="5.8800001144409197"/>
    <n v="5.8800001144409197"/>
    <n v="0"/>
    <n v="0"/>
    <n v="0"/>
    <n v="5.8499999046325701"/>
    <n v="0"/>
    <n v="0"/>
    <n v="0"/>
    <n v="263"/>
    <n v="718"/>
    <n v="2947"/>
    <x v="6"/>
    <x v="3"/>
  </r>
  <r>
    <x v="18"/>
    <d v="2016-05-02T00:00:00"/>
    <n v="7245"/>
    <n v="5.9200000762939498"/>
    <n v="5.9200000762939498"/>
    <n v="0"/>
    <n v="0.37999999523162797"/>
    <n v="1.7400000095367401"/>
    <n v="3.7599999904632599"/>
    <n v="0"/>
    <n v="5"/>
    <n v="40"/>
    <n v="195"/>
    <n v="1131"/>
    <n v="2859"/>
    <x v="5"/>
    <x v="3"/>
  </r>
  <r>
    <x v="18"/>
    <d v="2016-04-14T00:00:00"/>
    <n v="7860"/>
    <n v="6.3699998855590803"/>
    <n v="6.3699998855590803"/>
    <n v="0"/>
    <n v="0"/>
    <n v="0"/>
    <n v="6.3699998855590803"/>
    <n v="0"/>
    <n v="0"/>
    <n v="0"/>
    <n v="271"/>
    <n v="772"/>
    <n v="2984"/>
    <x v="0"/>
    <x v="1"/>
  </r>
  <r>
    <x v="18"/>
    <d v="2016-05-04T00:00:00"/>
    <n v="8161"/>
    <n v="6.6199998855590803"/>
    <n v="6.6199998855590803"/>
    <n v="0"/>
    <n v="0.34000000357627902"/>
    <n v="0.730000019073486"/>
    <n v="5.53999996185303"/>
    <n v="0"/>
    <n v="4"/>
    <n v="15"/>
    <n v="251"/>
    <n v="757"/>
    <n v="3004"/>
    <x v="3"/>
    <x v="1"/>
  </r>
  <r>
    <x v="18"/>
    <d v="2016-05-09T00:00:00"/>
    <n v="8232"/>
    <n v="6.6799998283386204"/>
    <n v="6.6799998283386204"/>
    <n v="0"/>
    <n v="0"/>
    <n v="0.56999999284744296"/>
    <n v="6.0999999046325701"/>
    <n v="0"/>
    <n v="0"/>
    <n v="12"/>
    <n v="253"/>
    <n v="746"/>
    <n v="2990"/>
    <x v="5"/>
    <x v="1"/>
  </r>
  <r>
    <x v="18"/>
    <d v="2016-05-05T00:00:00"/>
    <n v="8614"/>
    <n v="6.9899997711181596"/>
    <n v="6.9899997711181596"/>
    <n v="0"/>
    <n v="0.67000001668930098"/>
    <n v="0.21999999880790699"/>
    <n v="6.0900001525878897"/>
    <n v="0"/>
    <n v="8"/>
    <n v="5"/>
    <n v="241"/>
    <n v="745"/>
    <n v="3006"/>
    <x v="0"/>
    <x v="1"/>
  </r>
  <r>
    <x v="18"/>
    <d v="2016-04-20T00:00:00"/>
    <n v="8793"/>
    <n v="7.1300001144409197"/>
    <n v="7.1300001144409197"/>
    <n v="0"/>
    <n v="0.15999999642372101"/>
    <n v="1.2300000190734901"/>
    <n v="5.7300000190734899"/>
    <n v="0"/>
    <n v="2"/>
    <n v="29"/>
    <n v="260"/>
    <n v="717"/>
    <n v="3061"/>
    <x v="3"/>
    <x v="1"/>
  </r>
  <r>
    <x v="18"/>
    <d v="2016-04-28T00:00:00"/>
    <n v="9023"/>
    <n v="7.3200001716613796"/>
    <n v="7.3200001716613796"/>
    <n v="0"/>
    <n v="1.12999999523163"/>
    <n v="0.41999998688697798"/>
    <n v="5.7699999809265101"/>
    <n v="0"/>
    <n v="14"/>
    <n v="9"/>
    <n v="232"/>
    <n v="738"/>
    <n v="3033"/>
    <x v="0"/>
    <x v="1"/>
  </r>
  <r>
    <x v="18"/>
    <d v="2016-04-18T00:00:00"/>
    <n v="9105"/>
    <n v="7.3800001144409197"/>
    <n v="7.3800001144409197"/>
    <n v="0"/>
    <n v="1.8200000524520901"/>
    <n v="1.4900000095367401"/>
    <n v="4.0700001716613796"/>
    <n v="0"/>
    <n v="22"/>
    <n v="30"/>
    <n v="191"/>
    <n v="890"/>
    <n v="3013"/>
    <x v="5"/>
    <x v="1"/>
  </r>
  <r>
    <x v="18"/>
    <d v="2016-04-25T00:00:00"/>
    <n v="9167"/>
    <n v="7.4299998283386204"/>
    <n v="7.4299998283386204"/>
    <n v="0"/>
    <n v="0.490000009536743"/>
    <n v="0.81999999284744296"/>
    <n v="6.1100001335143999"/>
    <n v="0"/>
    <n v="6"/>
    <n v="15"/>
    <n v="270"/>
    <n v="730"/>
    <n v="3064"/>
    <x v="5"/>
    <x v="1"/>
  </r>
  <r>
    <x v="18"/>
    <d v="2016-05-03T00:00:00"/>
    <n v="9454"/>
    <n v="7.6700000762939498"/>
    <n v="7.6700000762939498"/>
    <n v="0"/>
    <n v="0"/>
    <n v="0"/>
    <n v="7.6700000762939498"/>
    <n v="0"/>
    <n v="0"/>
    <n v="0"/>
    <n v="313"/>
    <n v="729"/>
    <n v="3145"/>
    <x v="6"/>
    <x v="1"/>
  </r>
  <r>
    <x v="18"/>
    <d v="2016-05-11T00:00:00"/>
    <n v="9810"/>
    <n v="7.96000003814697"/>
    <n v="7.96000003814697"/>
    <n v="0"/>
    <n v="0.77999997138977095"/>
    <n v="2.1600000858306898"/>
    <n v="4.9800000190734899"/>
    <n v="0"/>
    <n v="10"/>
    <n v="41"/>
    <n v="235"/>
    <n v="784"/>
    <n v="3069"/>
    <x v="3"/>
    <x v="1"/>
  </r>
  <r>
    <x v="18"/>
    <d v="2016-04-29T00:00:00"/>
    <n v="9930"/>
    <n v="8.0500001907348597"/>
    <n v="8.0500001907348597"/>
    <n v="0"/>
    <n v="1.0599999427795399"/>
    <n v="0.92000001668930098"/>
    <n v="6.0700001716613796"/>
    <n v="0"/>
    <n v="12"/>
    <n v="19"/>
    <n v="267"/>
    <n v="692"/>
    <n v="3165"/>
    <x v="2"/>
    <x v="1"/>
  </r>
  <r>
    <x v="18"/>
    <d v="2016-04-30T00:00:00"/>
    <n v="10144"/>
    <n v="8.2299995422363299"/>
    <n v="8.2299995422363299"/>
    <n v="0"/>
    <n v="0.31999999284744302"/>
    <n v="2.0299999713897701"/>
    <n v="5.8800001144409197"/>
    <n v="0"/>
    <n v="4"/>
    <n v="36"/>
    <n v="263"/>
    <n v="728"/>
    <n v="3115"/>
    <x v="4"/>
    <x v="2"/>
  </r>
  <r>
    <x v="18"/>
    <d v="2016-05-10T00:00:00"/>
    <n v="10613"/>
    <n v="8.6099996566772496"/>
    <n v="8.6099996566772496"/>
    <n v="0"/>
    <n v="7.9999998211860698E-2"/>
    <n v="1.87999999523163"/>
    <n v="6.6500000953674299"/>
    <n v="0"/>
    <n v="1"/>
    <n v="37"/>
    <n v="262"/>
    <n v="701"/>
    <n v="3172"/>
    <x v="6"/>
    <x v="2"/>
  </r>
  <r>
    <x v="18"/>
    <d v="2016-04-16T00:00:00"/>
    <n v="11140"/>
    <n v="9.0299997329711896"/>
    <n v="9.0299997329711896"/>
    <n v="0"/>
    <n v="0.239999994635582"/>
    <n v="1.25"/>
    <n v="7.53999996185303"/>
    <n v="0"/>
    <n v="3"/>
    <n v="24"/>
    <n v="335"/>
    <n v="556"/>
    <n v="3328"/>
    <x v="4"/>
    <x v="2"/>
  </r>
  <r>
    <x v="18"/>
    <d v="2016-04-17T00:00:00"/>
    <n v="12692"/>
    <n v="10.289999961853001"/>
    <n v="10.289999961853001"/>
    <n v="0"/>
    <n v="0.95999997854232799"/>
    <n v="3.46000003814697"/>
    <n v="5.8800001144409197"/>
    <n v="0"/>
    <n v="12"/>
    <n v="66"/>
    <n v="302"/>
    <n v="437"/>
    <n v="3394"/>
    <x v="1"/>
    <x v="2"/>
  </r>
  <r>
    <x v="18"/>
    <d v="2016-05-08T00:00:00"/>
    <n v="12857"/>
    <n v="10.430000305175801"/>
    <n v="10.430000305175801"/>
    <n v="0"/>
    <n v="0.68000000715255704"/>
    <n v="6.21000003814697"/>
    <n v="3.53999996185303"/>
    <n v="0"/>
    <n v="9"/>
    <n v="125"/>
    <n v="192"/>
    <n v="1019"/>
    <n v="3287"/>
    <x v="1"/>
    <x v="2"/>
  </r>
  <r>
    <x v="18"/>
    <d v="2016-05-07T00:00:00"/>
    <n v="14370"/>
    <n v="11.6499996185303"/>
    <n v="11.6499996185303"/>
    <n v="0"/>
    <n v="0.37000000476837203"/>
    <n v="2.3099999427795401"/>
    <n v="8.9700002670288104"/>
    <n v="0"/>
    <n v="5"/>
    <n v="46"/>
    <n v="439"/>
    <n v="577"/>
    <n v="3683"/>
    <x v="4"/>
    <x v="2"/>
  </r>
  <r>
    <x v="18"/>
    <d v="2016-04-24T00:00:00"/>
    <n v="15050"/>
    <n v="12.2200002670288"/>
    <n v="12.2200002670288"/>
    <n v="0"/>
    <n v="1.20000004768372"/>
    <n v="5.1199998855590803"/>
    <n v="5.8800001144409197"/>
    <n v="0"/>
    <n v="15"/>
    <n v="95"/>
    <n v="281"/>
    <n v="542"/>
    <n v="3538"/>
    <x v="1"/>
    <x v="2"/>
  </r>
  <r>
    <x v="18"/>
    <d v="2016-04-23T00:00:00"/>
    <n v="15126"/>
    <n v="12.2700004577637"/>
    <n v="12.2700004577637"/>
    <n v="0"/>
    <n v="0.75999999046325695"/>
    <n v="3.2400000095367401"/>
    <n v="8.2700004577636701"/>
    <n v="0"/>
    <n v="9"/>
    <n v="66"/>
    <n v="408"/>
    <n v="469"/>
    <n v="3691"/>
    <x v="4"/>
    <x v="2"/>
  </r>
  <r>
    <x v="19"/>
    <d v="2016-04-17T00:00:00"/>
    <n v="655"/>
    <n v="0.43000000715255698"/>
    <n v="0.43000000715255698"/>
    <n v="0"/>
    <n v="0"/>
    <n v="0"/>
    <n v="0.43000000715255698"/>
    <n v="0"/>
    <n v="0"/>
    <n v="0"/>
    <n v="46"/>
    <n v="943"/>
    <n v="1397"/>
    <x v="1"/>
    <x v="0"/>
  </r>
  <r>
    <x v="19"/>
    <d v="2016-04-30T00:00:00"/>
    <n v="1202"/>
    <n v="0.77999997138977095"/>
    <n v="0.77999997138977095"/>
    <n v="0"/>
    <n v="0"/>
    <n v="0"/>
    <n v="0.77999997138977095"/>
    <n v="0"/>
    <n v="0"/>
    <n v="0"/>
    <n v="84"/>
    <n v="506"/>
    <n v="1463"/>
    <x v="4"/>
    <x v="0"/>
  </r>
  <r>
    <x v="19"/>
    <d v="2016-04-24T00:00:00"/>
    <n v="1807"/>
    <n v="1.1799999475479099"/>
    <n v="1.1799999475479099"/>
    <n v="0"/>
    <n v="0"/>
    <n v="0"/>
    <n v="1.1799999475479099"/>
    <n v="0"/>
    <n v="0"/>
    <n v="0"/>
    <n v="104"/>
    <n v="582"/>
    <n v="1507"/>
    <x v="1"/>
    <x v="0"/>
  </r>
  <r>
    <x v="19"/>
    <d v="2016-05-07T00:00:00"/>
    <n v="1868"/>
    <n v="1.2200000286102299"/>
    <n v="1.2200000286102299"/>
    <n v="0"/>
    <n v="0"/>
    <n v="0"/>
    <n v="1.2200000286102299"/>
    <n v="0"/>
    <n v="0"/>
    <n v="0"/>
    <n v="96"/>
    <n v="902"/>
    <n v="1494"/>
    <x v="4"/>
    <x v="0"/>
  </r>
  <r>
    <x v="19"/>
    <d v="2016-04-20T00:00:00"/>
    <n v="2713"/>
    <n v="1.7699999809265099"/>
    <n v="1.7699999809265099"/>
    <n v="0"/>
    <n v="0"/>
    <n v="0"/>
    <n v="1.7699999809265099"/>
    <n v="0"/>
    <n v="0"/>
    <n v="0"/>
    <n v="148"/>
    <n v="598"/>
    <n v="1570"/>
    <x v="3"/>
    <x v="0"/>
  </r>
  <r>
    <x v="19"/>
    <d v="2016-05-12T00:00:00"/>
    <n v="3121"/>
    <n v="2.03999996185303"/>
    <n v="2.03999996185303"/>
    <n v="0"/>
    <n v="0.57999998331069902"/>
    <n v="0.40000000596046398"/>
    <n v="1.0599999427795399"/>
    <n v="0"/>
    <n v="8"/>
    <n v="6"/>
    <n v="48"/>
    <n v="222"/>
    <n v="741"/>
    <x v="0"/>
    <x v="0"/>
  </r>
  <r>
    <x v="19"/>
    <d v="2016-04-18T00:00:00"/>
    <n v="3727"/>
    <n v="2.4300000667571999"/>
    <n v="2.4300000667571999"/>
    <n v="0"/>
    <n v="0"/>
    <n v="0"/>
    <n v="2.4300000667571999"/>
    <n v="0"/>
    <n v="0"/>
    <n v="0"/>
    <n v="206"/>
    <n v="622"/>
    <n v="1683"/>
    <x v="5"/>
    <x v="0"/>
  </r>
  <r>
    <x v="19"/>
    <d v="2016-04-23T00:00:00"/>
    <n v="4112"/>
    <n v="2.6900000572204599"/>
    <n v="2.6900000572204599"/>
    <n v="0"/>
    <n v="0"/>
    <n v="0"/>
    <n v="2.6800000667571999"/>
    <n v="0"/>
    <n v="0"/>
    <n v="0"/>
    <n v="272"/>
    <n v="443"/>
    <n v="1776"/>
    <x v="4"/>
    <x v="0"/>
  </r>
  <r>
    <x v="19"/>
    <d v="2016-05-04T00:00:00"/>
    <n v="4249"/>
    <n v="2.7699999809265101"/>
    <n v="2.7699999809265101"/>
    <n v="0"/>
    <n v="0"/>
    <n v="0"/>
    <n v="2.7699999809265101"/>
    <n v="0"/>
    <n v="0"/>
    <n v="0"/>
    <n v="224"/>
    <n v="651"/>
    <n v="1698"/>
    <x v="3"/>
    <x v="0"/>
  </r>
  <r>
    <x v="19"/>
    <d v="2016-04-13T00:00:00"/>
    <n v="4832"/>
    <n v="3.1600000858306898"/>
    <n v="3.1600000858306898"/>
    <n v="0"/>
    <n v="0"/>
    <n v="0"/>
    <n v="3.1600000858306898"/>
    <n v="0"/>
    <n v="0"/>
    <n v="0"/>
    <n v="226"/>
    <n v="647"/>
    <n v="1718"/>
    <x v="3"/>
    <x v="0"/>
  </r>
  <r>
    <x v="19"/>
    <d v="2016-05-11T00:00:00"/>
    <n v="4926"/>
    <n v="3.2200000286102299"/>
    <n v="3.2200000286102299"/>
    <n v="0"/>
    <n v="0"/>
    <n v="0"/>
    <n v="3.2200000286102299"/>
    <n v="0"/>
    <n v="0"/>
    <n v="0"/>
    <n v="195"/>
    <n v="628"/>
    <n v="1693"/>
    <x v="3"/>
    <x v="0"/>
  </r>
  <r>
    <x v="19"/>
    <d v="2016-05-01T00:00:00"/>
    <n v="5164"/>
    <n v="3.3699998855590798"/>
    <n v="3.3699998855590798"/>
    <n v="0"/>
    <n v="0"/>
    <n v="0"/>
    <n v="3.3699998855590798"/>
    <n v="0"/>
    <n v="0"/>
    <n v="0"/>
    <n v="237"/>
    <n v="436"/>
    <n v="1747"/>
    <x v="1"/>
    <x v="3"/>
  </r>
  <r>
    <x v="19"/>
    <d v="2016-04-16T00:00:00"/>
    <n v="5771"/>
    <n v="3.7699999809265101"/>
    <n v="3.7699999809265101"/>
    <n v="0"/>
    <n v="0"/>
    <n v="0"/>
    <n v="3.7699999809265101"/>
    <n v="0"/>
    <n v="0"/>
    <n v="0"/>
    <n v="288"/>
    <n v="521"/>
    <n v="1831"/>
    <x v="4"/>
    <x v="3"/>
  </r>
  <r>
    <x v="19"/>
    <d v="2016-05-08T00:00:00"/>
    <n v="6083"/>
    <n v="4"/>
    <n v="4"/>
    <n v="0"/>
    <n v="0.21999999880790699"/>
    <n v="0.46999999880790699"/>
    <n v="3.2999999523162802"/>
    <n v="0"/>
    <n v="3"/>
    <n v="8"/>
    <n v="210"/>
    <n v="505"/>
    <n v="1762"/>
    <x v="1"/>
    <x v="3"/>
  </r>
  <r>
    <x v="19"/>
    <d v="2016-05-06T00:00:00"/>
    <n v="9632"/>
    <n v="6.28999996185303"/>
    <n v="6.28999996185303"/>
    <n v="0"/>
    <n v="1.5199999809265099"/>
    <n v="0.54000002145767201"/>
    <n v="4.2300000190734899"/>
    <n v="0"/>
    <n v="21"/>
    <n v="9"/>
    <n v="229"/>
    <n v="761"/>
    <n v="1916"/>
    <x v="2"/>
    <x v="1"/>
  </r>
  <r>
    <x v="19"/>
    <d v="2016-05-02T00:00:00"/>
    <n v="9769"/>
    <n v="6.3800001144409197"/>
    <n v="6.3800001144409197"/>
    <n v="0"/>
    <n v="1.0599999427795399"/>
    <n v="0.40999999642372098"/>
    <n v="4.9000000953674299"/>
    <n v="0"/>
    <n v="23"/>
    <n v="9"/>
    <n v="227"/>
    <n v="724"/>
    <n v="1996"/>
    <x v="5"/>
    <x v="1"/>
  </r>
  <r>
    <x v="19"/>
    <d v="2016-04-27T00:00:00"/>
    <n v="10538"/>
    <n v="6.8800001144409197"/>
    <n v="6.8800001144409197"/>
    <n v="0"/>
    <n v="1.1399999856948899"/>
    <n v="1"/>
    <n v="4.7399997711181596"/>
    <n v="0"/>
    <n v="16"/>
    <n v="16"/>
    <n v="206"/>
    <n v="745"/>
    <n v="1922"/>
    <x v="3"/>
    <x v="2"/>
  </r>
  <r>
    <x v="19"/>
    <d v="2016-04-25T00:00:00"/>
    <n v="10946"/>
    <n v="7.1900000572204599"/>
    <n v="7.1900000572204599"/>
    <n v="0"/>
    <n v="2.9300000667571999"/>
    <n v="0.56999999284744296"/>
    <n v="3.6900000572204599"/>
    <n v="0"/>
    <n v="51"/>
    <n v="11"/>
    <n v="201"/>
    <n v="732"/>
    <n v="2033"/>
    <x v="5"/>
    <x v="2"/>
  </r>
  <r>
    <x v="19"/>
    <d v="2016-04-28T00:00:00"/>
    <n v="11393"/>
    <n v="7.6300001144409197"/>
    <n v="7.6300001144409197"/>
    <n v="0"/>
    <n v="3.71000003814697"/>
    <n v="0.75"/>
    <n v="3.1700000762939502"/>
    <n v="0"/>
    <n v="49"/>
    <n v="13"/>
    <n v="165"/>
    <n v="727"/>
    <n v="1999"/>
    <x v="0"/>
    <x v="2"/>
  </r>
  <r>
    <x v="19"/>
    <d v="2016-04-12T00:00:00"/>
    <n v="11596"/>
    <n v="7.5700001716613796"/>
    <n v="7.5700001716613796"/>
    <n v="0"/>
    <n v="1.37000000476837"/>
    <n v="0.79000002145767201"/>
    <n v="5.4099998474121103"/>
    <n v="0"/>
    <n v="19"/>
    <n v="13"/>
    <n v="277"/>
    <n v="767"/>
    <n v="2026"/>
    <x v="6"/>
    <x v="2"/>
  </r>
  <r>
    <x v="19"/>
    <d v="2016-05-09T00:00:00"/>
    <n v="11611"/>
    <n v="7.5799999237060502"/>
    <n v="7.5799999237060502"/>
    <n v="0"/>
    <n v="2.1300001144409202"/>
    <n v="0.88999998569488503"/>
    <n v="4.5599999427795401"/>
    <n v="0"/>
    <n v="59"/>
    <n v="22"/>
    <n v="251"/>
    <n v="667"/>
    <n v="2272"/>
    <x v="5"/>
    <x v="2"/>
  </r>
  <r>
    <x v="19"/>
    <d v="2016-04-22T00:00:00"/>
    <n v="11682"/>
    <n v="7.6300001144409197"/>
    <n v="7.6300001144409197"/>
    <n v="0"/>
    <n v="1.37999999523163"/>
    <n v="0.62999999523162797"/>
    <n v="5.5999999046325701"/>
    <n v="0"/>
    <n v="25"/>
    <n v="16"/>
    <n v="270"/>
    <n v="781"/>
    <n v="2105"/>
    <x v="2"/>
    <x v="2"/>
  </r>
  <r>
    <x v="19"/>
    <d v="2016-04-26T00:00:00"/>
    <n v="11886"/>
    <n v="7.7600002288818404"/>
    <n v="7.7600002288818404"/>
    <n v="0"/>
    <n v="2.3699998855590798"/>
    <n v="0.93000000715255704"/>
    <n v="4.46000003814697"/>
    <n v="0"/>
    <n v="40"/>
    <n v="18"/>
    <n v="238"/>
    <n v="750"/>
    <n v="2093"/>
    <x v="6"/>
    <x v="2"/>
  </r>
  <r>
    <x v="19"/>
    <d v="2016-04-21T00:00:00"/>
    <n v="12346"/>
    <n v="8.0600004196166992"/>
    <n v="8.0600004196166992"/>
    <n v="0"/>
    <n v="2.9500000476837198"/>
    <n v="2.1600000858306898"/>
    <n v="2.96000003814697"/>
    <n v="0"/>
    <n v="47"/>
    <n v="42"/>
    <n v="177"/>
    <n v="801"/>
    <n v="2066"/>
    <x v="0"/>
    <x v="2"/>
  </r>
  <r>
    <x v="19"/>
    <d v="2016-04-29T00:00:00"/>
    <n v="12764"/>
    <n v="8.3299999237060494"/>
    <n v="8.3299999237060494"/>
    <n v="0"/>
    <n v="2.78999996185303"/>
    <n v="0.63999998569488503"/>
    <n v="4.9099998474121103"/>
    <n v="0"/>
    <n v="46"/>
    <n v="15"/>
    <n v="270"/>
    <n v="709"/>
    <n v="2169"/>
    <x v="2"/>
    <x v="2"/>
  </r>
  <r>
    <x v="19"/>
    <d v="2016-05-03T00:00:00"/>
    <n v="12848"/>
    <n v="8.3900003433227504"/>
    <n v="8.3900003433227504"/>
    <n v="0"/>
    <n v="1.5"/>
    <n v="1.20000004768372"/>
    <n v="5.6799998283386204"/>
    <n v="0"/>
    <n v="26"/>
    <n v="29"/>
    <n v="247"/>
    <n v="812"/>
    <n v="2116"/>
    <x v="6"/>
    <x v="2"/>
  </r>
  <r>
    <x v="19"/>
    <d v="2016-05-05T00:00:00"/>
    <n v="14331"/>
    <n v="9.5100002288818395"/>
    <n v="9.5100002288818395"/>
    <n v="0"/>
    <n v="3.4300000667571999"/>
    <n v="1.6599999666214"/>
    <n v="4.4299998283386204"/>
    <n v="0"/>
    <n v="44"/>
    <n v="29"/>
    <n v="241"/>
    <n v="692"/>
    <n v="2156"/>
    <x v="0"/>
    <x v="2"/>
  </r>
  <r>
    <x v="19"/>
    <d v="2016-04-19T00:00:00"/>
    <n v="15482"/>
    <n v="10.1099996566772"/>
    <n v="10.1099996566772"/>
    <n v="0"/>
    <n v="4.2800002098083496"/>
    <n v="1.6599999666214"/>
    <n v="4.1799998283386204"/>
    <n v="0"/>
    <n v="69"/>
    <n v="28"/>
    <n v="249"/>
    <n v="756"/>
    <n v="2284"/>
    <x v="6"/>
    <x v="2"/>
  </r>
  <r>
    <x v="19"/>
    <d v="2016-05-10T00:00:00"/>
    <n v="16358"/>
    <n v="10.710000038146999"/>
    <n v="10.710000038146999"/>
    <n v="0"/>
    <n v="3.8699998855590798"/>
    <n v="1.6100000143051101"/>
    <n v="5.1999998092651403"/>
    <n v="0"/>
    <n v="61"/>
    <n v="40"/>
    <n v="265"/>
    <n v="707"/>
    <n v="2335"/>
    <x v="6"/>
    <x v="2"/>
  </r>
  <r>
    <x v="19"/>
    <d v="2016-04-15T00:00:00"/>
    <n v="16556"/>
    <n v="10.8599996566772"/>
    <n v="10.8599996566772"/>
    <n v="0"/>
    <n v="4.1599998474121103"/>
    <n v="1.9800000190734901"/>
    <n v="4.71000003814697"/>
    <n v="0"/>
    <n v="58"/>
    <n v="38"/>
    <n v="239"/>
    <n v="689"/>
    <n v="2254"/>
    <x v="2"/>
    <x v="2"/>
  </r>
  <r>
    <x v="19"/>
    <d v="2016-04-14T00:00:00"/>
    <n v="17022"/>
    <n v="11.1199998855591"/>
    <n v="11.1199998855591"/>
    <n v="0"/>
    <n v="4"/>
    <n v="2.4500000476837198"/>
    <n v="4.6700000762939498"/>
    <n v="0"/>
    <n v="61"/>
    <n v="41"/>
    <n v="256"/>
    <n v="693"/>
    <n v="2324"/>
    <x v="0"/>
    <x v="2"/>
  </r>
  <r>
    <x v="20"/>
    <d v="2016-05-07T00:00:00"/>
    <n v="0"/>
    <n v="0"/>
    <n v="0"/>
    <n v="0"/>
    <n v="0"/>
    <n v="0"/>
    <n v="0"/>
    <n v="0"/>
    <n v="0"/>
    <n v="0"/>
    <n v="0"/>
    <n v="1440"/>
    <n v="1819"/>
    <x v="4"/>
    <x v="0"/>
  </r>
  <r>
    <x v="20"/>
    <d v="2016-05-08T00:00:00"/>
    <n v="0"/>
    <n v="0"/>
    <n v="0"/>
    <n v="0"/>
    <n v="0"/>
    <n v="0"/>
    <n v="0"/>
    <n v="0"/>
    <n v="0"/>
    <n v="0"/>
    <n v="0"/>
    <n v="1440"/>
    <n v="1819"/>
    <x v="1"/>
    <x v="0"/>
  </r>
  <r>
    <x v="20"/>
    <d v="2016-05-09T00:00:00"/>
    <n v="3421"/>
    <n v="2.5599999427795401"/>
    <n v="2.5599999427795401"/>
    <n v="0"/>
    <n v="1.4299999475479099"/>
    <n v="0.140000000596046"/>
    <n v="0.99000000953674305"/>
    <n v="0"/>
    <n v="34"/>
    <n v="11"/>
    <n v="70"/>
    <n v="1099"/>
    <n v="2489"/>
    <x v="5"/>
    <x v="0"/>
  </r>
  <r>
    <x v="20"/>
    <d v="2016-05-11T00:00:00"/>
    <n v="4038"/>
    <n v="3.03999996185303"/>
    <n v="3.03999996185303"/>
    <n v="0"/>
    <n v="1.83000004291534"/>
    <n v="0.30000001192092901"/>
    <n v="0.88999998569488503"/>
    <n v="0"/>
    <n v="45"/>
    <n v="15"/>
    <n v="63"/>
    <n v="257"/>
    <n v="1665"/>
    <x v="3"/>
    <x v="0"/>
  </r>
  <r>
    <x v="20"/>
    <d v="2016-05-06T00:00:00"/>
    <n v="4950"/>
    <n v="3.7000000476837198"/>
    <n v="3.7000000476837198"/>
    <n v="0"/>
    <n v="1.9299999475479099"/>
    <n v="0.31999999284744302"/>
    <n v="1.45000004768372"/>
    <n v="0"/>
    <n v="41"/>
    <n v="16"/>
    <n v="79"/>
    <n v="1304"/>
    <n v="2643"/>
    <x v="2"/>
    <x v="0"/>
  </r>
  <r>
    <x v="20"/>
    <d v="2016-04-13T00:00:00"/>
    <n v="5077"/>
    <n v="3.78999996185303"/>
    <n v="3.78999996185303"/>
    <n v="0"/>
    <n v="0.31999999284744302"/>
    <n v="0.21999999880790699"/>
    <n v="3.25"/>
    <n v="0"/>
    <n v="15"/>
    <n v="11"/>
    <n v="144"/>
    <n v="776"/>
    <n v="2551"/>
    <x v="3"/>
    <x v="3"/>
  </r>
  <r>
    <x v="20"/>
    <d v="2016-05-04T00:00:00"/>
    <n v="5206"/>
    <n v="3.8900001049041699"/>
    <n v="3.8900001049041699"/>
    <n v="0"/>
    <n v="1.5599999427795399"/>
    <n v="0.25"/>
    <n v="2.0799999237060498"/>
    <n v="0"/>
    <n v="25"/>
    <n v="9"/>
    <n v="141"/>
    <n v="631"/>
    <n v="2755"/>
    <x v="3"/>
    <x v="3"/>
  </r>
  <r>
    <x v="20"/>
    <d v="2016-04-26T00:00:00"/>
    <n v="5325"/>
    <n v="3.9800000190734899"/>
    <n v="3.9800000190734899"/>
    <n v="0"/>
    <n v="0.85000002384185802"/>
    <n v="0.64999997615814198"/>
    <n v="2.4700000286102299"/>
    <n v="0"/>
    <n v="38"/>
    <n v="32"/>
    <n v="181"/>
    <n v="759"/>
    <n v="3088"/>
    <x v="6"/>
    <x v="3"/>
  </r>
  <r>
    <x v="20"/>
    <d v="2016-04-25T00:00:00"/>
    <n v="6393"/>
    <n v="4.7800002098083496"/>
    <n v="4.7800002098083496"/>
    <n v="0"/>
    <n v="1.3500000238418599"/>
    <n v="0.67000001668930098"/>
    <n v="2.7599999904632599"/>
    <n v="0"/>
    <n v="61"/>
    <n v="38"/>
    <n v="214"/>
    <n v="743"/>
    <n v="3374"/>
    <x v="5"/>
    <x v="3"/>
  </r>
  <r>
    <x v="20"/>
    <d v="2016-04-27T00:00:00"/>
    <n v="6805"/>
    <n v="5.1399998664856001"/>
    <n v="5.1399998664856001"/>
    <n v="0"/>
    <n v="1.8099999427795399"/>
    <n v="0.40000000596046398"/>
    <n v="2.9300000667571999"/>
    <n v="0"/>
    <n v="63"/>
    <n v="16"/>
    <n v="190"/>
    <n v="773"/>
    <n v="3294"/>
    <x v="3"/>
    <x v="3"/>
  </r>
  <r>
    <x v="20"/>
    <d v="2016-05-02T00:00:00"/>
    <n v="7439"/>
    <n v="5.5599999427795401"/>
    <n v="5.5599999427795401"/>
    <n v="0"/>
    <n v="1.12000000476837"/>
    <n v="0.34999999403953602"/>
    <n v="4.0700001716613796"/>
    <n v="0"/>
    <n v="37"/>
    <n v="20"/>
    <n v="235"/>
    <n v="732"/>
    <n v="3014"/>
    <x v="5"/>
    <x v="3"/>
  </r>
  <r>
    <x v="20"/>
    <d v="2016-05-05T00:00:00"/>
    <n v="7550"/>
    <n v="5.6399998664856001"/>
    <n v="5.6399998664856001"/>
    <n v="0"/>
    <n v="2.5"/>
    <n v="0.46999999880790699"/>
    <n v="2.6700000762939502"/>
    <n v="0"/>
    <n v="45"/>
    <n v="21"/>
    <n v="143"/>
    <n v="1153"/>
    <n v="3004"/>
    <x v="0"/>
    <x v="1"/>
  </r>
  <r>
    <x v="20"/>
    <d v="2016-04-23T00:00:00"/>
    <n v="7638"/>
    <n v="5.71000003814697"/>
    <n v="5.71000003814697"/>
    <n v="0"/>
    <n v="1.21000003814697"/>
    <n v="0.36000001430511502"/>
    <n v="4.1399998664856001"/>
    <n v="0"/>
    <n v="24"/>
    <n v="24"/>
    <n v="223"/>
    <n v="627"/>
    <n v="3152"/>
    <x v="4"/>
    <x v="1"/>
  </r>
  <r>
    <x v="20"/>
    <d v="2016-04-29T00:00:00"/>
    <n v="7924"/>
    <n v="5.9200000762939498"/>
    <n v="5.9200000762939498"/>
    <n v="0"/>
    <n v="2.8399999141693102"/>
    <n v="0.61000001430511497"/>
    <n v="2.4700000286102299"/>
    <n v="0"/>
    <n v="97"/>
    <n v="36"/>
    <n v="165"/>
    <n v="739"/>
    <n v="3544"/>
    <x v="2"/>
    <x v="1"/>
  </r>
  <r>
    <x v="20"/>
    <d v="2016-04-12T00:00:00"/>
    <n v="8135"/>
    <n v="6.0799999237060502"/>
    <n v="6.0799999237060502"/>
    <n v="0"/>
    <n v="3.5999999046325701"/>
    <n v="0.37999999523162797"/>
    <n v="2.0999999046325701"/>
    <n v="0"/>
    <n v="86"/>
    <n v="16"/>
    <n v="140"/>
    <n v="728"/>
    <n v="3405"/>
    <x v="6"/>
    <x v="1"/>
  </r>
  <r>
    <x v="20"/>
    <d v="2016-04-20T00:00:00"/>
    <n v="8330"/>
    <n v="6.2199997901916504"/>
    <n v="6.2199997901916504"/>
    <n v="0"/>
    <n v="4.1199998855590803"/>
    <n v="0.34000000357627902"/>
    <n v="1.7599999904632599"/>
    <n v="0"/>
    <n v="87"/>
    <n v="16"/>
    <n v="113"/>
    <n v="773"/>
    <n v="3192"/>
    <x v="3"/>
    <x v="1"/>
  </r>
  <r>
    <x v="20"/>
    <d v="2016-04-14T00:00:00"/>
    <n v="8596"/>
    <n v="6.4200000762939498"/>
    <n v="6.4200000762939498"/>
    <n v="0"/>
    <n v="3.3299999237060498"/>
    <n v="0.31000000238418601"/>
    <n v="2.7799999713897701"/>
    <n v="0"/>
    <n v="118"/>
    <n v="30"/>
    <n v="176"/>
    <n v="662"/>
    <n v="4022"/>
    <x v="0"/>
    <x v="1"/>
  </r>
  <r>
    <x v="20"/>
    <d v="2016-05-10T00:00:00"/>
    <n v="8869"/>
    <n v="6.6500000953674299"/>
    <n v="6.6500000953674299"/>
    <n v="0"/>
    <n v="2.5599999427795401"/>
    <n v="0.75"/>
    <n v="3.3499999046325701"/>
    <n v="0"/>
    <n v="104"/>
    <n v="37"/>
    <n v="194"/>
    <n v="639"/>
    <n v="3841"/>
    <x v="6"/>
    <x v="1"/>
  </r>
  <r>
    <x v="20"/>
    <d v="2016-04-22T00:00:00"/>
    <n v="9172"/>
    <n v="6.8499999046325701"/>
    <n v="6.8499999046325701"/>
    <n v="0"/>
    <n v="2.4200000762939502"/>
    <n v="0.79000002145767201"/>
    <n v="3.2999999523162802"/>
    <n v="0"/>
    <n v="62"/>
    <n v="30"/>
    <n v="200"/>
    <n v="823"/>
    <n v="3329"/>
    <x v="2"/>
    <x v="1"/>
  </r>
  <r>
    <x v="20"/>
    <d v="2016-04-28T00:00:00"/>
    <n v="9841"/>
    <n v="7.4299998283386204"/>
    <n v="7.4299998283386204"/>
    <n v="0"/>
    <n v="3.25"/>
    <n v="1.16999995708466"/>
    <n v="3.0099999904632599"/>
    <n v="0"/>
    <n v="99"/>
    <n v="51"/>
    <n v="141"/>
    <n v="692"/>
    <n v="3580"/>
    <x v="0"/>
    <x v="1"/>
  </r>
  <r>
    <x v="20"/>
    <d v="2016-04-18T00:00:00"/>
    <n v="9893"/>
    <n v="7.3899998664856001"/>
    <n v="7.3899998664856001"/>
    <n v="0"/>
    <n v="4.8600001335143999"/>
    <n v="0.72000002861022905"/>
    <n v="1.8200000524520901"/>
    <n v="0"/>
    <n v="114"/>
    <n v="32"/>
    <n v="130"/>
    <n v="623"/>
    <n v="3625"/>
    <x v="5"/>
    <x v="1"/>
  </r>
  <r>
    <x v="20"/>
    <d v="2016-04-21T00:00:00"/>
    <n v="10830"/>
    <n v="8.0900001525878906"/>
    <n v="8.0900001525878906"/>
    <n v="0"/>
    <n v="3.6500000953674299"/>
    <n v="1.6599999666214"/>
    <n v="2.7799999713897701"/>
    <n v="0"/>
    <n v="110"/>
    <n v="74"/>
    <n v="175"/>
    <n v="670"/>
    <n v="4018"/>
    <x v="0"/>
    <x v="2"/>
  </r>
  <r>
    <x v="20"/>
    <d v="2016-05-03T00:00:00"/>
    <n v="11045"/>
    <n v="8.25"/>
    <n v="8.25"/>
    <n v="0"/>
    <n v="4.5199999809265101"/>
    <n v="0.15000000596046401"/>
    <n v="3.5699999332428001"/>
    <n v="0"/>
    <n v="97"/>
    <n v="8"/>
    <n v="212"/>
    <n v="580"/>
    <n v="3795"/>
    <x v="6"/>
    <x v="2"/>
  </r>
  <r>
    <x v="20"/>
    <d v="2016-04-15T00:00:00"/>
    <n v="12087"/>
    <n v="9.0799999237060494"/>
    <n v="9.0799999237060494"/>
    <n v="0"/>
    <n v="3.9200000762939502"/>
    <n v="1.6000000238418599"/>
    <n v="3.5599999427795401"/>
    <n v="0"/>
    <n v="115"/>
    <n v="54"/>
    <n v="199"/>
    <n v="695"/>
    <n v="4005"/>
    <x v="2"/>
    <x v="2"/>
  </r>
  <r>
    <x v="20"/>
    <d v="2016-04-17T00:00:00"/>
    <n v="12231"/>
    <n v="9.1400003433227504"/>
    <n v="9.1400003433227504"/>
    <n v="0"/>
    <n v="5.9800000190734899"/>
    <n v="0.82999998331069902"/>
    <n v="2.3199999332428001"/>
    <n v="0"/>
    <n v="200"/>
    <n v="37"/>
    <n v="159"/>
    <n v="525"/>
    <n v="4552"/>
    <x v="1"/>
    <x v="2"/>
  </r>
  <r>
    <x v="20"/>
    <d v="2016-04-30T00:00:00"/>
    <n v="12363"/>
    <n v="9.2399997711181605"/>
    <n v="9.2399997711181605"/>
    <n v="0"/>
    <n v="5.8299999237060502"/>
    <n v="0.79000002145767201"/>
    <n v="2.6099998950958301"/>
    <n v="0"/>
    <n v="207"/>
    <n v="45"/>
    <n v="163"/>
    <n v="621"/>
    <n v="4501"/>
    <x v="4"/>
    <x v="2"/>
  </r>
  <r>
    <x v="20"/>
    <d v="2016-04-19T00:00:00"/>
    <n v="12574"/>
    <n v="9.4200000762939506"/>
    <n v="9.4200000762939506"/>
    <n v="0"/>
    <n v="7.0199999809265101"/>
    <n v="0.63999998569488503"/>
    <n v="1.7599999904632599"/>
    <n v="0"/>
    <n v="108"/>
    <n v="23"/>
    <n v="111"/>
    <n v="733"/>
    <n v="3501"/>
    <x v="6"/>
    <x v="2"/>
  </r>
  <r>
    <x v="20"/>
    <d v="2016-05-01T00:00:00"/>
    <n v="13368"/>
    <n v="9.9899997711181605"/>
    <n v="9.9899997711181605"/>
    <n v="0"/>
    <n v="5.3099999427795401"/>
    <n v="1.4400000572204601"/>
    <n v="3.2400000095367401"/>
    <n v="0"/>
    <n v="194"/>
    <n v="72"/>
    <n v="178"/>
    <n v="499"/>
    <n v="4546"/>
    <x v="1"/>
    <x v="2"/>
  </r>
  <r>
    <x v="20"/>
    <d v="2016-04-16T00:00:00"/>
    <n v="14269"/>
    <n v="10.6599998474121"/>
    <n v="10.6599998474121"/>
    <n v="0"/>
    <n v="6.6399998664856001"/>
    <n v="1.2799999713897701"/>
    <n v="2.7300000190734899"/>
    <n v="0"/>
    <n v="184"/>
    <n v="56"/>
    <n v="158"/>
    <n v="472"/>
    <n v="4274"/>
    <x v="4"/>
    <x v="2"/>
  </r>
  <r>
    <x v="20"/>
    <d v="2016-04-24T00:00:00"/>
    <n v="15764"/>
    <n v="11.7799997329712"/>
    <n v="11.7799997329712"/>
    <n v="0"/>
    <n v="7.6500000953674299"/>
    <n v="2.1500000953674299"/>
    <n v="1.9800000190734901"/>
    <n v="0"/>
    <n v="210"/>
    <n v="65"/>
    <n v="141"/>
    <n v="425"/>
    <n v="4392"/>
    <x v="1"/>
    <x v="2"/>
  </r>
  <r>
    <x v="21"/>
    <d v="2016-04-12T00:00:00"/>
    <n v="0"/>
    <n v="0"/>
    <n v="0"/>
    <n v="0"/>
    <n v="0"/>
    <n v="0"/>
    <n v="0"/>
    <n v="0"/>
    <n v="0"/>
    <n v="0"/>
    <n v="0"/>
    <n v="1440"/>
    <n v="1496"/>
    <x v="6"/>
    <x v="0"/>
  </r>
  <r>
    <x v="21"/>
    <d v="2016-04-13T00:00:00"/>
    <n v="0"/>
    <n v="0"/>
    <n v="0"/>
    <n v="0"/>
    <n v="0"/>
    <n v="0"/>
    <n v="0"/>
    <n v="0"/>
    <n v="0"/>
    <n v="0"/>
    <n v="0"/>
    <n v="1440"/>
    <n v="1496"/>
    <x v="3"/>
    <x v="0"/>
  </r>
  <r>
    <x v="21"/>
    <d v="2016-04-14T00:00:00"/>
    <n v="0"/>
    <n v="0"/>
    <n v="0"/>
    <n v="0"/>
    <n v="0"/>
    <n v="0"/>
    <n v="0"/>
    <n v="0"/>
    <n v="0"/>
    <n v="0"/>
    <n v="0"/>
    <n v="1440"/>
    <n v="1496"/>
    <x v="0"/>
    <x v="0"/>
  </r>
  <r>
    <x v="21"/>
    <d v="2016-04-25T00:00:00"/>
    <n v="0"/>
    <n v="0"/>
    <n v="0"/>
    <n v="0"/>
    <n v="0"/>
    <n v="0"/>
    <n v="0"/>
    <n v="0"/>
    <n v="0"/>
    <n v="0"/>
    <n v="0"/>
    <n v="1440"/>
    <n v="1497"/>
    <x v="5"/>
    <x v="0"/>
  </r>
  <r>
    <x v="21"/>
    <d v="2016-05-03T00:00:00"/>
    <n v="0"/>
    <n v="0"/>
    <n v="0"/>
    <n v="0"/>
    <n v="0"/>
    <n v="0"/>
    <n v="0"/>
    <n v="0"/>
    <n v="0"/>
    <n v="0"/>
    <n v="0"/>
    <n v="1440"/>
    <n v="1496"/>
    <x v="6"/>
    <x v="0"/>
  </r>
  <r>
    <x v="21"/>
    <d v="2016-05-04T00:00:00"/>
    <n v="2997"/>
    <n v="2.2599999904632599"/>
    <n v="2.2599999904632599"/>
    <n v="0"/>
    <n v="0"/>
    <n v="0"/>
    <n v="2.2599999904632599"/>
    <n v="0"/>
    <n v="0"/>
    <n v="0"/>
    <n v="156"/>
    <n v="1279"/>
    <n v="1902"/>
    <x v="3"/>
    <x v="0"/>
  </r>
  <r>
    <x v="21"/>
    <d v="2016-05-06T00:00:00"/>
    <n v="3365"/>
    <n v="2.6800000667571999"/>
    <n v="2.6800000667571999"/>
    <n v="0"/>
    <n v="0"/>
    <n v="0"/>
    <n v="2.6800000667571999"/>
    <n v="0"/>
    <n v="0"/>
    <n v="0"/>
    <n v="133"/>
    <n v="673"/>
    <n v="1838"/>
    <x v="2"/>
    <x v="0"/>
  </r>
  <r>
    <x v="21"/>
    <d v="2016-04-28T00:00:00"/>
    <n v="3403"/>
    <n v="2.5999999046325701"/>
    <n v="2.5999999046325701"/>
    <n v="0"/>
    <n v="0"/>
    <n v="0"/>
    <n v="2.5999999046325701"/>
    <n v="0"/>
    <n v="0"/>
    <n v="0"/>
    <n v="141"/>
    <n v="758"/>
    <n v="1879"/>
    <x v="0"/>
    <x v="0"/>
  </r>
  <r>
    <x v="21"/>
    <d v="2016-05-09T00:00:00"/>
    <n v="4477"/>
    <n v="3.3800001144409202"/>
    <n v="3.3800001144409202"/>
    <n v="0"/>
    <n v="0"/>
    <n v="0"/>
    <n v="3.3800001144409202"/>
    <n v="0"/>
    <n v="0"/>
    <n v="0"/>
    <n v="197"/>
    <n v="125"/>
    <n v="1248"/>
    <x v="5"/>
    <x v="0"/>
  </r>
  <r>
    <x v="21"/>
    <d v="2016-05-02T00:00:00"/>
    <n v="4933"/>
    <n v="3.7300000190734899"/>
    <n v="3.7300000190734899"/>
    <n v="0"/>
    <n v="0"/>
    <n v="0"/>
    <n v="3.7300000190734899"/>
    <n v="0"/>
    <n v="0"/>
    <n v="0"/>
    <n v="236"/>
    <n v="1204"/>
    <n v="2044"/>
    <x v="5"/>
    <x v="0"/>
  </r>
  <r>
    <x v="21"/>
    <d v="2016-04-18T00:00:00"/>
    <n v="5153"/>
    <n v="3.9100000858306898"/>
    <n v="3.9100000858306898"/>
    <n v="0"/>
    <n v="0"/>
    <n v="0"/>
    <n v="3.8900001049041699"/>
    <n v="0"/>
    <n v="0"/>
    <n v="0"/>
    <n v="241"/>
    <n v="759"/>
    <n v="2018"/>
    <x v="5"/>
    <x v="3"/>
  </r>
  <r>
    <x v="21"/>
    <d v="2016-04-30T00:00:00"/>
    <n v="6987"/>
    <n v="5.2800002098083496"/>
    <n v="5.2800002098083496"/>
    <n v="0"/>
    <n v="0"/>
    <n v="0"/>
    <n v="5.2800002098083496"/>
    <n v="0"/>
    <n v="0"/>
    <n v="0"/>
    <n v="343"/>
    <n v="1040"/>
    <n v="2275"/>
    <x v="4"/>
    <x v="3"/>
  </r>
  <r>
    <x v="21"/>
    <d v="2016-04-17T00:00:00"/>
    <n v="7150"/>
    <n v="5.4000000953674299"/>
    <n v="5.4000000953674299"/>
    <n v="0"/>
    <n v="0"/>
    <n v="0"/>
    <n v="5.4000000953674299"/>
    <n v="0"/>
    <n v="0"/>
    <n v="0"/>
    <n v="312"/>
    <n v="702"/>
    <n v="2225"/>
    <x v="1"/>
    <x v="3"/>
  </r>
  <r>
    <x v="21"/>
    <d v="2016-05-08T00:00:00"/>
    <n v="7328"/>
    <n v="5.5300002098083496"/>
    <n v="5.5300002098083496"/>
    <n v="0"/>
    <n v="0"/>
    <n v="0"/>
    <n v="5.5300002098083496"/>
    <n v="0"/>
    <n v="0"/>
    <n v="0"/>
    <n v="318"/>
    <n v="517"/>
    <n v="2250"/>
    <x v="1"/>
    <x v="3"/>
  </r>
  <r>
    <x v="21"/>
    <d v="2016-05-07T00:00:00"/>
    <n v="7336"/>
    <n v="5.53999996185303"/>
    <n v="5.53999996185303"/>
    <n v="0"/>
    <n v="0"/>
    <n v="0"/>
    <n v="5.53999996185303"/>
    <n v="0"/>
    <n v="0"/>
    <n v="0"/>
    <n v="412"/>
    <n v="456"/>
    <n v="2469"/>
    <x v="4"/>
    <x v="3"/>
  </r>
  <r>
    <x v="21"/>
    <d v="2016-04-24T00:00:00"/>
    <n v="7623"/>
    <n v="5.7600002288818404"/>
    <n v="5.7600002288818404"/>
    <n v="0"/>
    <n v="0"/>
    <n v="0"/>
    <n v="5.7600002288818404"/>
    <n v="0"/>
    <n v="0"/>
    <n v="0"/>
    <n v="362"/>
    <n v="711"/>
    <n v="2305"/>
    <x v="1"/>
    <x v="1"/>
  </r>
  <r>
    <x v="21"/>
    <d v="2016-04-22T00:00:00"/>
    <n v="8206"/>
    <n v="6.1999998092651403"/>
    <n v="6.1999998092651403"/>
    <n v="0"/>
    <n v="0"/>
    <n v="0"/>
    <n v="6.1999998092651403"/>
    <n v="0"/>
    <n v="0"/>
    <n v="0"/>
    <n v="402"/>
    <n v="413"/>
    <n v="2409"/>
    <x v="2"/>
    <x v="1"/>
  </r>
  <r>
    <x v="21"/>
    <d v="2016-05-01T00:00:00"/>
    <n v="8915"/>
    <n v="6.7300000190734899"/>
    <n v="6.7300000190734899"/>
    <n v="0"/>
    <n v="0"/>
    <n v="0"/>
    <n v="6.7300000190734899"/>
    <n v="0"/>
    <n v="0"/>
    <n v="0"/>
    <n v="397"/>
    <n v="525"/>
    <n v="2361"/>
    <x v="1"/>
    <x v="1"/>
  </r>
  <r>
    <x v="21"/>
    <d v="2016-04-27T00:00:00"/>
    <n v="9411"/>
    <n v="7.1100001335143999"/>
    <n v="7.1100001335143999"/>
    <n v="0"/>
    <n v="0"/>
    <n v="0"/>
    <n v="7.1100001335143999"/>
    <n v="0"/>
    <n v="0"/>
    <n v="0"/>
    <n v="458"/>
    <n v="417"/>
    <n v="2576"/>
    <x v="3"/>
    <x v="1"/>
  </r>
  <r>
    <x v="21"/>
    <d v="2016-04-26T00:00:00"/>
    <n v="9543"/>
    <n v="7.21000003814697"/>
    <n v="7.21000003814697"/>
    <n v="0"/>
    <n v="0"/>
    <n v="0.34000000357627902"/>
    <n v="6.8699998855590803"/>
    <n v="0"/>
    <n v="0"/>
    <n v="7"/>
    <n v="352"/>
    <n v="1077"/>
    <n v="2450"/>
    <x v="6"/>
    <x v="1"/>
  </r>
  <r>
    <x v="21"/>
    <d v="2016-04-29T00:00:00"/>
    <n v="9592"/>
    <n v="7.2399997711181596"/>
    <n v="7.2399997711181596"/>
    <n v="0"/>
    <n v="0"/>
    <n v="0"/>
    <n v="7.2399997711181596"/>
    <n v="0"/>
    <n v="0"/>
    <n v="0"/>
    <n v="461"/>
    <n v="479"/>
    <n v="2560"/>
    <x v="2"/>
    <x v="1"/>
  </r>
  <r>
    <x v="21"/>
    <d v="2016-05-05T00:00:00"/>
    <n v="9799"/>
    <n v="7.4000000953674299"/>
    <n v="7.4000000953674299"/>
    <n v="0"/>
    <n v="0"/>
    <n v="0"/>
    <n v="7.4000000953674299"/>
    <n v="0"/>
    <n v="0"/>
    <n v="0"/>
    <n v="487"/>
    <n v="479"/>
    <n v="2636"/>
    <x v="0"/>
    <x v="1"/>
  </r>
  <r>
    <x v="21"/>
    <d v="2016-04-20T00:00:00"/>
    <n v="10449"/>
    <n v="8.0200004577636701"/>
    <n v="8.0200004577636701"/>
    <n v="0"/>
    <n v="2.0299999713897701"/>
    <n v="0.479999989271164"/>
    <n v="5.5199999809265101"/>
    <n v="0"/>
    <n v="26"/>
    <n v="10"/>
    <n v="349"/>
    <n v="587"/>
    <n v="2536"/>
    <x v="3"/>
    <x v="2"/>
  </r>
  <r>
    <x v="21"/>
    <d v="2016-04-19T00:00:00"/>
    <n v="11135"/>
    <n v="8.4099998474121094"/>
    <n v="8.4099998474121094"/>
    <n v="0"/>
    <n v="0"/>
    <n v="0"/>
    <n v="8.4099998474121094"/>
    <n v="0"/>
    <n v="0"/>
    <n v="0"/>
    <n v="480"/>
    <n v="425"/>
    <n v="2606"/>
    <x v="6"/>
    <x v="2"/>
  </r>
  <r>
    <x v="21"/>
    <d v="2016-04-23T00:00:00"/>
    <n v="11495"/>
    <n v="8.6800003051757795"/>
    <n v="8.6800003051757795"/>
    <n v="0"/>
    <n v="0"/>
    <n v="0"/>
    <n v="8.6800003051757795"/>
    <n v="0"/>
    <n v="0"/>
    <n v="0"/>
    <n v="512"/>
    <n v="468"/>
    <n v="2651"/>
    <x v="4"/>
    <x v="2"/>
  </r>
  <r>
    <x v="21"/>
    <d v="2016-04-15T00:00:00"/>
    <n v="14019"/>
    <n v="10.5900001525879"/>
    <n v="10.5900001525879"/>
    <n v="0"/>
    <n v="0"/>
    <n v="0.28000000119209301"/>
    <n v="10.300000190734901"/>
    <n v="0"/>
    <n v="0"/>
    <n v="6"/>
    <n v="513"/>
    <n v="921"/>
    <n v="2865"/>
    <x v="2"/>
    <x v="2"/>
  </r>
  <r>
    <x v="21"/>
    <d v="2016-04-16T00:00:00"/>
    <n v="14450"/>
    <n v="10.9099998474121"/>
    <n v="10.9099998474121"/>
    <n v="0"/>
    <n v="0.57999998331069902"/>
    <n v="0.85000002384185802"/>
    <n v="9.4799995422363299"/>
    <n v="0"/>
    <n v="7"/>
    <n v="15"/>
    <n v="518"/>
    <n v="502"/>
    <n v="2828"/>
    <x v="4"/>
    <x v="2"/>
  </r>
  <r>
    <x v="21"/>
    <d v="2016-04-21T00:00:00"/>
    <n v="19542"/>
    <n v="15.0100002288818"/>
    <n v="15.0100002288818"/>
    <n v="0"/>
    <n v="0.980000019073486"/>
    <n v="0.40000000596046398"/>
    <n v="5.6199998855590803"/>
    <n v="0"/>
    <n v="11"/>
    <n v="19"/>
    <n v="294"/>
    <n v="579"/>
    <n v="4900"/>
    <x v="0"/>
    <x v="2"/>
  </r>
  <r>
    <x v="22"/>
    <d v="2016-04-21T00:00:00"/>
    <n v="0"/>
    <n v="0"/>
    <n v="0"/>
    <n v="0"/>
    <n v="0"/>
    <n v="0"/>
    <n v="0"/>
    <n v="0"/>
    <n v="0"/>
    <n v="0"/>
    <n v="0"/>
    <n v="1440"/>
    <n v="2060"/>
    <x v="0"/>
    <x v="0"/>
  </r>
  <r>
    <x v="22"/>
    <d v="2016-04-23T00:00:00"/>
    <n v="0"/>
    <n v="0"/>
    <n v="0"/>
    <n v="0"/>
    <n v="0"/>
    <n v="0"/>
    <n v="0"/>
    <n v="0"/>
    <n v="33"/>
    <n v="0"/>
    <n v="0"/>
    <n v="1407"/>
    <n v="2664"/>
    <x v="4"/>
    <x v="0"/>
  </r>
  <r>
    <x v="22"/>
    <d v="2016-04-26T00:00:00"/>
    <n v="0"/>
    <n v="0"/>
    <n v="0"/>
    <n v="0"/>
    <n v="0"/>
    <n v="0"/>
    <n v="0"/>
    <n v="0"/>
    <n v="0"/>
    <n v="0"/>
    <n v="0"/>
    <n v="1440"/>
    <n v="2060"/>
    <x v="6"/>
    <x v="0"/>
  </r>
  <r>
    <x v="22"/>
    <d v="2016-04-29T00:00:00"/>
    <n v="0"/>
    <n v="0"/>
    <n v="0"/>
    <n v="0"/>
    <n v="0"/>
    <n v="0"/>
    <n v="0"/>
    <n v="0"/>
    <n v="0"/>
    <n v="0"/>
    <n v="0"/>
    <n v="1440"/>
    <n v="2060"/>
    <x v="2"/>
    <x v="0"/>
  </r>
  <r>
    <x v="22"/>
    <d v="2016-05-10T00:00:00"/>
    <n v="0"/>
    <n v="0"/>
    <n v="0"/>
    <n v="0"/>
    <n v="0"/>
    <n v="0"/>
    <n v="0"/>
    <n v="0"/>
    <n v="0"/>
    <n v="0"/>
    <n v="0"/>
    <n v="1440"/>
    <n v="0"/>
    <x v="6"/>
    <x v="0"/>
  </r>
  <r>
    <x v="22"/>
    <d v="2016-04-12T00:00:00"/>
    <n v="4562"/>
    <n v="3.4500000476837198"/>
    <n v="3.4500000476837198"/>
    <n v="0"/>
    <n v="0"/>
    <n v="0"/>
    <n v="3.4500000476837198"/>
    <n v="0"/>
    <n v="0"/>
    <n v="0"/>
    <n v="199"/>
    <n v="1241"/>
    <n v="2560"/>
    <x v="6"/>
    <x v="0"/>
  </r>
  <r>
    <x v="22"/>
    <d v="2016-05-07T00:00:00"/>
    <n v="5510"/>
    <n v="4.1700000762939498"/>
    <n v="4.1700000762939498"/>
    <n v="0"/>
    <n v="0"/>
    <n v="0"/>
    <n v="4.1599998474121103"/>
    <n v="0"/>
    <n v="0"/>
    <n v="0"/>
    <n v="227"/>
    <n v="1213"/>
    <n v="2613"/>
    <x v="4"/>
    <x v="3"/>
  </r>
  <r>
    <x v="22"/>
    <d v="2016-04-27T00:00:00"/>
    <n v="5565"/>
    <n v="4.21000003814697"/>
    <n v="4.21000003814697"/>
    <n v="0"/>
    <n v="0"/>
    <n v="0"/>
    <n v="4.1799998283386204"/>
    <n v="2.9999999329447701E-2"/>
    <n v="0"/>
    <n v="0"/>
    <n v="287"/>
    <n v="1153"/>
    <n v="2743"/>
    <x v="3"/>
    <x v="3"/>
  </r>
  <r>
    <x v="22"/>
    <d v="2016-04-28T00:00:00"/>
    <n v="5731"/>
    <n v="4.3299999237060502"/>
    <n v="4.3299999237060502"/>
    <n v="0"/>
    <n v="0"/>
    <n v="0"/>
    <n v="4.3299999237060502"/>
    <n v="0"/>
    <n v="0"/>
    <n v="0"/>
    <n v="255"/>
    <n v="1185"/>
    <n v="2687"/>
    <x v="0"/>
    <x v="3"/>
  </r>
  <r>
    <x v="22"/>
    <d v="2016-05-04T00:00:00"/>
    <n v="5832"/>
    <n v="4.4099998474121103"/>
    <n v="4.4099998474121103"/>
    <n v="0"/>
    <n v="0"/>
    <n v="0"/>
    <n v="4.4000000953674299"/>
    <n v="9.9999997764825804E-3"/>
    <n v="0"/>
    <n v="0"/>
    <n v="272"/>
    <n v="1168"/>
    <n v="2718"/>
    <x v="3"/>
    <x v="3"/>
  </r>
  <r>
    <x v="22"/>
    <d v="2016-04-24T00:00:00"/>
    <n v="5896"/>
    <n v="4.46000003814697"/>
    <n v="4.46000003814697"/>
    <n v="0"/>
    <n v="0"/>
    <n v="0"/>
    <n v="4.46000003814697"/>
    <n v="0"/>
    <n v="0"/>
    <n v="0"/>
    <n v="258"/>
    <n v="1182"/>
    <n v="2703"/>
    <x v="1"/>
    <x v="3"/>
  </r>
  <r>
    <x v="22"/>
    <d v="2016-05-03T00:00:00"/>
    <n v="6047"/>
    <n v="4.5700001716613796"/>
    <n v="4.5700001716613796"/>
    <n v="0"/>
    <n v="0"/>
    <n v="0"/>
    <n v="4.5700001716613796"/>
    <n v="0"/>
    <n v="0"/>
    <n v="0"/>
    <n v="240"/>
    <n v="1200"/>
    <n v="2671"/>
    <x v="6"/>
    <x v="3"/>
  </r>
  <r>
    <x v="22"/>
    <d v="2016-05-06T00:00:00"/>
    <n v="6116"/>
    <n v="4.6199998855590803"/>
    <n v="4.6199998855590803"/>
    <n v="0"/>
    <n v="0"/>
    <n v="0"/>
    <n v="4.5900001525878897"/>
    <n v="2.9999999329447701E-2"/>
    <n v="0"/>
    <n v="0"/>
    <n v="305"/>
    <n v="1135"/>
    <n v="2806"/>
    <x v="2"/>
    <x v="3"/>
  </r>
  <r>
    <x v="22"/>
    <d v="2016-04-22T00:00:00"/>
    <n v="6238"/>
    <n v="4.7199997901916504"/>
    <n v="4.7199997901916504"/>
    <n v="0"/>
    <n v="0"/>
    <n v="0"/>
    <n v="4.7199997901916504"/>
    <n v="0"/>
    <n v="0"/>
    <n v="0"/>
    <n v="302"/>
    <n v="1138"/>
    <n v="2796"/>
    <x v="2"/>
    <x v="3"/>
  </r>
  <r>
    <x v="22"/>
    <d v="2016-05-09T00:00:00"/>
    <n v="6277"/>
    <n v="4.75"/>
    <n v="4.75"/>
    <n v="0"/>
    <n v="0"/>
    <n v="0"/>
    <n v="4.7300000190734899"/>
    <n v="1.9999999552965199E-2"/>
    <n v="0"/>
    <n v="0"/>
    <n v="264"/>
    <n v="800"/>
    <n v="2175"/>
    <x v="5"/>
    <x v="3"/>
  </r>
  <r>
    <x v="22"/>
    <d v="2016-05-05T00:00:00"/>
    <n v="6339"/>
    <n v="4.78999996185303"/>
    <n v="4.78999996185303"/>
    <n v="0"/>
    <n v="0"/>
    <n v="0"/>
    <n v="4.78999996185303"/>
    <n v="0"/>
    <n v="0"/>
    <n v="0"/>
    <n v="239"/>
    <n v="1201"/>
    <n v="2682"/>
    <x v="0"/>
    <x v="3"/>
  </r>
  <r>
    <x v="22"/>
    <d v="2016-04-20T00:00:00"/>
    <n v="6361"/>
    <n v="4.8099999427795401"/>
    <n v="4.8099999427795401"/>
    <n v="0"/>
    <n v="0"/>
    <n v="0"/>
    <n v="4.8000001907348597"/>
    <n v="9.9999997764825804E-3"/>
    <n v="0"/>
    <n v="0"/>
    <n v="258"/>
    <n v="1182"/>
    <n v="2701"/>
    <x v="3"/>
    <x v="3"/>
  </r>
  <r>
    <x v="22"/>
    <d v="2016-04-30T00:00:00"/>
    <n v="6744"/>
    <n v="5.0999999046325701"/>
    <n v="5.0999999046325701"/>
    <n v="0"/>
    <n v="0"/>
    <n v="0"/>
    <n v="5.0900001525878897"/>
    <n v="9.9999997764825804E-3"/>
    <n v="0"/>
    <n v="0"/>
    <n v="324"/>
    <n v="1116"/>
    <n v="2843"/>
    <x v="4"/>
    <x v="3"/>
  </r>
  <r>
    <x v="22"/>
    <d v="2016-05-02T00:00:00"/>
    <n v="6781"/>
    <n v="5.1300001144409197"/>
    <n v="5.1300001144409197"/>
    <n v="0"/>
    <n v="0"/>
    <n v="0"/>
    <n v="5.1100001335143999"/>
    <n v="1.9999999552965199E-2"/>
    <n v="0"/>
    <n v="0"/>
    <n v="268"/>
    <n v="1172"/>
    <n v="2725"/>
    <x v="5"/>
    <x v="3"/>
  </r>
  <r>
    <x v="22"/>
    <d v="2016-04-18T00:00:00"/>
    <n v="6885"/>
    <n v="5.21000003814697"/>
    <n v="5.21000003814697"/>
    <n v="0"/>
    <n v="0"/>
    <n v="0"/>
    <n v="5.1900000572204599"/>
    <n v="1.9999999552965199E-2"/>
    <n v="0"/>
    <n v="0"/>
    <n v="271"/>
    <n v="1169"/>
    <n v="2766"/>
    <x v="5"/>
    <x v="3"/>
  </r>
  <r>
    <x v="22"/>
    <d v="2016-04-13T00:00:00"/>
    <n v="7142"/>
    <n v="5.4000000953674299"/>
    <n v="5.4000000953674299"/>
    <n v="0"/>
    <n v="0"/>
    <n v="0"/>
    <n v="5.3899998664856001"/>
    <n v="9.9999997764825804E-3"/>
    <n v="0"/>
    <n v="0"/>
    <n v="350"/>
    <n v="1090"/>
    <n v="2905"/>
    <x v="3"/>
    <x v="3"/>
  </r>
  <r>
    <x v="22"/>
    <d v="2016-04-19T00:00:00"/>
    <n v="7142"/>
    <n v="5.4000000953674299"/>
    <n v="5.4000000953674299"/>
    <n v="0"/>
    <n v="0"/>
    <n v="0"/>
    <n v="5.3899998664856001"/>
    <n v="9.9999997764825804E-3"/>
    <n v="0"/>
    <n v="0"/>
    <n v="321"/>
    <n v="1119"/>
    <n v="2839"/>
    <x v="6"/>
    <x v="3"/>
  </r>
  <r>
    <x v="22"/>
    <d v="2016-04-14T00:00:00"/>
    <n v="7671"/>
    <n v="5.8000001907348597"/>
    <n v="5.8000001907348597"/>
    <n v="0"/>
    <n v="0"/>
    <n v="0"/>
    <n v="5.7699999809265101"/>
    <n v="2.9999999329447701E-2"/>
    <n v="0"/>
    <n v="0"/>
    <n v="363"/>
    <n v="1077"/>
    <n v="2952"/>
    <x v="0"/>
    <x v="1"/>
  </r>
  <r>
    <x v="22"/>
    <d v="2016-05-08T00:00:00"/>
    <n v="7706"/>
    <n v="5.8299999237060502"/>
    <n v="5.8299999237060502"/>
    <n v="0"/>
    <n v="0"/>
    <n v="0"/>
    <n v="5.8200001716613796"/>
    <n v="0"/>
    <n v="0"/>
    <n v="0"/>
    <n v="251"/>
    <n v="1189"/>
    <n v="2712"/>
    <x v="1"/>
    <x v="1"/>
  </r>
  <r>
    <x v="22"/>
    <d v="2016-04-25T00:00:00"/>
    <n v="7802"/>
    <n v="5.9000000953674299"/>
    <n v="5.9000000953674299"/>
    <n v="0"/>
    <n v="0.68000000715255704"/>
    <n v="0.18000000715255701"/>
    <n v="5.0300002098083496"/>
    <n v="9.9999997764825804E-3"/>
    <n v="8"/>
    <n v="3"/>
    <n v="249"/>
    <n v="1180"/>
    <n v="2771"/>
    <x v="5"/>
    <x v="1"/>
  </r>
  <r>
    <x v="22"/>
    <d v="2016-04-17T00:00:00"/>
    <n v="7851"/>
    <n v="5.9400000572204599"/>
    <n v="5.9400000572204599"/>
    <n v="0"/>
    <n v="1.1399999856948899"/>
    <n v="0.79000002145767201"/>
    <n v="4"/>
    <n v="0"/>
    <n v="31"/>
    <n v="12"/>
    <n v="225"/>
    <n v="1172"/>
    <n v="3171"/>
    <x v="1"/>
    <x v="1"/>
  </r>
  <r>
    <x v="22"/>
    <d v="2016-04-16T00:00:00"/>
    <n v="8301"/>
    <n v="6.2800002098083496"/>
    <n v="6.2800002098083496"/>
    <n v="0"/>
    <n v="0"/>
    <n v="0"/>
    <n v="6.2699999809265101"/>
    <n v="9.9999997764825804E-3"/>
    <n v="0"/>
    <n v="0"/>
    <n v="258"/>
    <n v="1182"/>
    <n v="2783"/>
    <x v="4"/>
    <x v="1"/>
  </r>
  <r>
    <x v="22"/>
    <d v="2016-04-15T00:00:00"/>
    <n v="9501"/>
    <n v="7.1799998283386204"/>
    <n v="7.1799998283386204"/>
    <n v="0"/>
    <n v="0"/>
    <n v="0"/>
    <n v="7.1700000762939498"/>
    <n v="9.9999997764825804E-3"/>
    <n v="0"/>
    <n v="0"/>
    <n v="328"/>
    <n v="1112"/>
    <n v="2896"/>
    <x v="2"/>
    <x v="1"/>
  </r>
  <r>
    <x v="22"/>
    <d v="2016-05-01T00:00:00"/>
    <n v="9837"/>
    <n v="7.4400000572204599"/>
    <n v="7.4400000572204599"/>
    <n v="0"/>
    <n v="0.66000002622604403"/>
    <n v="2.75"/>
    <n v="4"/>
    <n v="1.9999999552965199E-2"/>
    <n v="8"/>
    <n v="95"/>
    <n v="282"/>
    <n v="1055"/>
    <n v="3327"/>
    <x v="1"/>
    <x v="1"/>
  </r>
  <r>
    <x v="23"/>
    <d v="2016-04-12T00:00:00"/>
    <n v="0"/>
    <n v="0"/>
    <n v="0"/>
    <n v="0"/>
    <n v="0"/>
    <n v="0"/>
    <n v="0"/>
    <n v="0"/>
    <n v="0"/>
    <n v="0"/>
    <n v="0"/>
    <n v="1440"/>
    <n v="1841"/>
    <x v="6"/>
    <x v="0"/>
  </r>
  <r>
    <x v="23"/>
    <d v="2016-04-19T00:00:00"/>
    <n v="0"/>
    <n v="0"/>
    <n v="0"/>
    <n v="0"/>
    <n v="0"/>
    <n v="0"/>
    <n v="0"/>
    <n v="0"/>
    <n v="0"/>
    <n v="0"/>
    <n v="0"/>
    <n v="1440"/>
    <n v="1841"/>
    <x v="6"/>
    <x v="0"/>
  </r>
  <r>
    <x v="23"/>
    <d v="2016-04-21T00:00:00"/>
    <n v="0"/>
    <n v="0"/>
    <n v="0"/>
    <n v="0"/>
    <n v="0"/>
    <n v="0"/>
    <n v="0"/>
    <n v="0"/>
    <n v="0"/>
    <n v="0"/>
    <n v="0"/>
    <n v="1440"/>
    <n v="1841"/>
    <x v="0"/>
    <x v="0"/>
  </r>
  <r>
    <x v="23"/>
    <d v="2016-04-23T00:00:00"/>
    <n v="0"/>
    <n v="0"/>
    <n v="0"/>
    <n v="0"/>
    <n v="0"/>
    <n v="0"/>
    <n v="0"/>
    <n v="0"/>
    <n v="0"/>
    <n v="0"/>
    <n v="0"/>
    <n v="1440"/>
    <n v="1841"/>
    <x v="4"/>
    <x v="0"/>
  </r>
  <r>
    <x v="23"/>
    <d v="2016-04-27T00:00:00"/>
    <n v="0"/>
    <n v="0"/>
    <n v="0"/>
    <n v="0"/>
    <n v="0"/>
    <n v="0"/>
    <n v="0"/>
    <n v="0"/>
    <n v="0"/>
    <n v="0"/>
    <n v="0"/>
    <n v="1440"/>
    <n v="1841"/>
    <x v="3"/>
    <x v="0"/>
  </r>
  <r>
    <x v="23"/>
    <d v="2016-04-29T00:00:00"/>
    <n v="0"/>
    <n v="0"/>
    <n v="0"/>
    <n v="0"/>
    <n v="0"/>
    <n v="0"/>
    <n v="0"/>
    <n v="0"/>
    <n v="0"/>
    <n v="0"/>
    <n v="0"/>
    <n v="1440"/>
    <n v="1841"/>
    <x v="2"/>
    <x v="0"/>
  </r>
  <r>
    <x v="23"/>
    <d v="2016-05-02T00:00:00"/>
    <n v="0"/>
    <n v="0"/>
    <n v="0"/>
    <n v="0"/>
    <n v="0"/>
    <n v="0"/>
    <n v="0"/>
    <n v="0"/>
    <n v="0"/>
    <n v="0"/>
    <n v="0"/>
    <n v="1440"/>
    <n v="1841"/>
    <x v="5"/>
    <x v="0"/>
  </r>
  <r>
    <x v="23"/>
    <d v="2016-05-04T00:00:00"/>
    <n v="0"/>
    <n v="0"/>
    <n v="0"/>
    <n v="0"/>
    <n v="0"/>
    <n v="0"/>
    <n v="0"/>
    <n v="0"/>
    <n v="0"/>
    <n v="0"/>
    <n v="0"/>
    <n v="1440"/>
    <n v="1841"/>
    <x v="3"/>
    <x v="0"/>
  </r>
  <r>
    <x v="23"/>
    <d v="2016-05-05T00:00:00"/>
    <n v="0"/>
    <n v="0"/>
    <n v="0"/>
    <n v="0"/>
    <n v="0"/>
    <n v="0"/>
    <n v="0"/>
    <n v="0"/>
    <n v="0"/>
    <n v="0"/>
    <n v="0"/>
    <n v="1440"/>
    <n v="1841"/>
    <x v="0"/>
    <x v="0"/>
  </r>
  <r>
    <x v="23"/>
    <d v="2016-05-03T00:00:00"/>
    <n v="9"/>
    <n v="9.9999997764825804E-3"/>
    <n v="9.9999997764825804E-3"/>
    <n v="0"/>
    <n v="0"/>
    <n v="0"/>
    <n v="9.9999997764825804E-3"/>
    <n v="0"/>
    <n v="0"/>
    <n v="0"/>
    <n v="1"/>
    <n v="1439"/>
    <n v="1843"/>
    <x v="6"/>
    <x v="0"/>
  </r>
  <r>
    <x v="23"/>
    <d v="2016-04-22T00:00:00"/>
    <n v="637"/>
    <n v="0.46000000834464999"/>
    <n v="0.46000000834464999"/>
    <n v="0"/>
    <n v="0"/>
    <n v="0"/>
    <n v="0.46000000834464999"/>
    <n v="0"/>
    <n v="0"/>
    <n v="0"/>
    <n v="20"/>
    <n v="1420"/>
    <n v="1922"/>
    <x v="2"/>
    <x v="0"/>
  </r>
  <r>
    <x v="23"/>
    <d v="2016-04-28T00:00:00"/>
    <n v="703"/>
    <n v="0.5"/>
    <n v="0.5"/>
    <n v="0"/>
    <n v="5.9999998658895499E-2"/>
    <n v="0.20000000298023199"/>
    <n v="0.239999994635582"/>
    <n v="0"/>
    <n v="2"/>
    <n v="13"/>
    <n v="15"/>
    <n v="1410"/>
    <n v="1993"/>
    <x v="0"/>
    <x v="0"/>
  </r>
  <r>
    <x v="23"/>
    <d v="2016-04-15T00:00:00"/>
    <n v="1282"/>
    <n v="0.92000001668930098"/>
    <n v="0.92000001668930098"/>
    <n v="0"/>
    <n v="0"/>
    <n v="0"/>
    <n v="0.92000001668930098"/>
    <n v="0"/>
    <n v="0"/>
    <n v="0"/>
    <n v="58"/>
    <n v="976"/>
    <n v="2127"/>
    <x v="2"/>
    <x v="0"/>
  </r>
  <r>
    <x v="23"/>
    <d v="2016-05-07T00:00:00"/>
    <n v="1967"/>
    <n v="1.4099999666214"/>
    <n v="1.4099999666214"/>
    <n v="0"/>
    <n v="0.129999995231628"/>
    <n v="0.239999994635582"/>
    <n v="1.04999995231628"/>
    <n v="0"/>
    <n v="2"/>
    <n v="5"/>
    <n v="49"/>
    <n v="551"/>
    <n v="1032"/>
    <x v="4"/>
    <x v="0"/>
  </r>
  <r>
    <x v="23"/>
    <d v="2016-04-24T00:00:00"/>
    <n v="2153"/>
    <n v="1.53999996185303"/>
    <n v="1.53999996185303"/>
    <n v="0"/>
    <n v="0.769999980926514"/>
    <n v="0.62000000476837203"/>
    <n v="0.15000000596046401"/>
    <n v="0"/>
    <n v="11"/>
    <n v="18"/>
    <n v="11"/>
    <n v="1400"/>
    <n v="2053"/>
    <x v="1"/>
    <x v="0"/>
  </r>
  <r>
    <x v="23"/>
    <d v="2016-05-01T00:00:00"/>
    <n v="2487"/>
    <n v="1.7799999713897701"/>
    <n v="1.7799999713897701"/>
    <n v="0"/>
    <n v="0.479999989271164"/>
    <n v="0.62000000476837203"/>
    <n v="0.68000000715255704"/>
    <n v="0"/>
    <n v="9"/>
    <n v="34"/>
    <n v="50"/>
    <n v="1347"/>
    <n v="2319"/>
    <x v="1"/>
    <x v="0"/>
  </r>
  <r>
    <x v="23"/>
    <d v="2016-04-17T00:00:00"/>
    <n v="2497"/>
    <n v="1.78999996185303"/>
    <n v="1.78999996185303"/>
    <n v="0"/>
    <n v="0.34999999403953602"/>
    <n v="1.12999999523163"/>
    <n v="0.31000000238418601"/>
    <n v="0"/>
    <n v="5"/>
    <n v="24"/>
    <n v="19"/>
    <n v="1392"/>
    <n v="2067"/>
    <x v="1"/>
    <x v="0"/>
  </r>
  <r>
    <x v="23"/>
    <d v="2016-04-30T00:00:00"/>
    <n v="2503"/>
    <n v="1.78999996185303"/>
    <n v="1.78999996185303"/>
    <n v="0"/>
    <n v="0.15999999642372101"/>
    <n v="0.15999999642372101"/>
    <n v="1.4800000190734901"/>
    <n v="0"/>
    <n v="3"/>
    <n v="9"/>
    <n v="84"/>
    <n v="1344"/>
    <n v="2280"/>
    <x v="4"/>
    <x v="0"/>
  </r>
  <r>
    <x v="23"/>
    <d v="2016-04-13T00:00:00"/>
    <n v="4053"/>
    <n v="2.9100000858306898"/>
    <n v="2.9100000858306898"/>
    <n v="0"/>
    <n v="1.1100000143051101"/>
    <n v="0.57999998331069902"/>
    <n v="1.2200000286102299"/>
    <n v="0"/>
    <n v="17"/>
    <n v="18"/>
    <n v="85"/>
    <n v="1053"/>
    <n v="2400"/>
    <x v="3"/>
    <x v="0"/>
  </r>
  <r>
    <x v="23"/>
    <d v="2016-05-06T00:00:00"/>
    <n v="4697"/>
    <n v="3.3699998855590798"/>
    <n v="3.3699998855590798"/>
    <n v="0"/>
    <n v="0.46999999880790699"/>
    <n v="0.93000000715255704"/>
    <n v="1.9299999475479099"/>
    <n v="0"/>
    <n v="12"/>
    <n v="35"/>
    <n v="75"/>
    <n v="1318"/>
    <n v="2496"/>
    <x v="2"/>
    <x v="0"/>
  </r>
  <r>
    <x v="23"/>
    <d v="2016-04-16T00:00:00"/>
    <n v="4732"/>
    <n v="3.3900001049041699"/>
    <n v="3.3900001049041699"/>
    <n v="0"/>
    <n v="2.5199999809265101"/>
    <n v="0.81000000238418601"/>
    <n v="5.9999998658895499E-2"/>
    <n v="0"/>
    <n v="36"/>
    <n v="18"/>
    <n v="9"/>
    <n v="1377"/>
    <n v="2225"/>
    <x v="4"/>
    <x v="0"/>
  </r>
  <r>
    <x v="23"/>
    <d v="2016-04-14T00:00:00"/>
    <n v="5162"/>
    <n v="3.7000000476837198"/>
    <n v="3.7000000476837198"/>
    <n v="0"/>
    <n v="0.87000000476837203"/>
    <n v="0.86000001430511497"/>
    <n v="1.9700000286102299"/>
    <n v="0"/>
    <n v="14"/>
    <n v="24"/>
    <n v="105"/>
    <n v="863"/>
    <n v="2507"/>
    <x v="0"/>
    <x v="3"/>
  </r>
  <r>
    <x v="23"/>
    <d v="2016-04-25T00:00:00"/>
    <n v="6474"/>
    <n v="4.6399998664856001"/>
    <n v="4.6399998664856001"/>
    <n v="0"/>
    <n v="2.2699999809265101"/>
    <n v="0.46000000834464999"/>
    <n v="1.8999999761581401"/>
    <n v="0"/>
    <n v="33"/>
    <n v="13"/>
    <n v="92"/>
    <n v="1302"/>
    <n v="2484"/>
    <x v="5"/>
    <x v="3"/>
  </r>
  <r>
    <x v="23"/>
    <d v="2016-04-26T00:00:00"/>
    <n v="7091"/>
    <n v="5.2699999809265101"/>
    <n v="5.2699999809265101"/>
    <n v="1.9595960378646899"/>
    <n v="3.4800000190734899"/>
    <n v="0.87000000476837203"/>
    <n v="0.730000019073486"/>
    <n v="0"/>
    <n v="42"/>
    <n v="30"/>
    <n v="47"/>
    <n v="1321"/>
    <n v="2584"/>
    <x v="6"/>
    <x v="3"/>
  </r>
  <r>
    <x v="23"/>
    <d v="2016-04-18T00:00:00"/>
    <n v="8294"/>
    <n v="5.9499998092651403"/>
    <n v="5.9499998092651403"/>
    <n v="0"/>
    <n v="2"/>
    <n v="0.769999980926514"/>
    <n v="3.1700000762939502"/>
    <n v="0"/>
    <n v="30"/>
    <n v="31"/>
    <n v="146"/>
    <n v="1233"/>
    <n v="2798"/>
    <x v="5"/>
    <x v="1"/>
  </r>
  <r>
    <x v="23"/>
    <d v="2016-04-20T00:00:00"/>
    <n v="10771"/>
    <n v="7.7199997901916504"/>
    <n v="7.7199997901916504"/>
    <n v="0"/>
    <n v="3.7699999809265101"/>
    <n v="1.7400000095367401"/>
    <n v="2.2200000286102299"/>
    <n v="0"/>
    <n v="70"/>
    <n v="113"/>
    <n v="178"/>
    <n v="1079"/>
    <n v="3727"/>
    <x v="3"/>
    <x v="2"/>
  </r>
  <r>
    <x v="24"/>
    <d v="2016-04-14T00:00:00"/>
    <n v="1551"/>
    <n v="1.0299999713897701"/>
    <n v="1.0299999713897701"/>
    <n v="0"/>
    <n v="0"/>
    <n v="0"/>
    <n v="1.0299999713897701"/>
    <n v="0"/>
    <n v="0"/>
    <n v="0"/>
    <n v="86"/>
    <n v="862"/>
    <n v="1466"/>
    <x v="0"/>
    <x v="0"/>
  </r>
  <r>
    <x v="24"/>
    <d v="2016-05-12T00:00:00"/>
    <n v="3587"/>
    <n v="2.3699998855590798"/>
    <n v="2.3699998855590798"/>
    <n v="0"/>
    <n v="0"/>
    <n v="0.25"/>
    <n v="2.1099998950958301"/>
    <n v="0"/>
    <n v="0"/>
    <n v="8"/>
    <n v="105"/>
    <n v="127"/>
    <n v="928"/>
    <x v="0"/>
    <x v="0"/>
  </r>
  <r>
    <x v="24"/>
    <d v="2016-05-08T00:00:00"/>
    <n v="4188"/>
    <n v="2.7699999809265101"/>
    <n v="2.7699999809265101"/>
    <n v="0"/>
    <n v="0"/>
    <n v="0.519999980926514"/>
    <n v="2.25"/>
    <n v="0"/>
    <n v="0"/>
    <n v="14"/>
    <n v="151"/>
    <n v="709"/>
    <n v="1659"/>
    <x v="1"/>
    <x v="0"/>
  </r>
  <r>
    <x v="24"/>
    <d v="2016-04-24T00:00:00"/>
    <n v="5029"/>
    <n v="3.3199999332428001"/>
    <n v="3.3199999332428001"/>
    <n v="0"/>
    <n v="0"/>
    <n v="0"/>
    <n v="3.3199999332428001"/>
    <n v="0"/>
    <n v="0"/>
    <n v="0"/>
    <n v="199"/>
    <n v="720"/>
    <n v="1705"/>
    <x v="1"/>
    <x v="3"/>
  </r>
  <r>
    <x v="24"/>
    <d v="2016-05-01T00:00:00"/>
    <n v="5454"/>
    <n v="3.6099998950958301"/>
    <n v="3.6099998950958301"/>
    <n v="0"/>
    <n v="0"/>
    <n v="0"/>
    <n v="3.6099998950958301"/>
    <n v="0"/>
    <n v="0"/>
    <n v="0"/>
    <n v="215"/>
    <n v="722"/>
    <n v="1740"/>
    <x v="1"/>
    <x v="3"/>
  </r>
  <r>
    <x v="24"/>
    <d v="2016-04-15T00:00:00"/>
    <n v="5563"/>
    <n v="3.6800000667571999"/>
    <n v="3.6800000667571999"/>
    <n v="0"/>
    <n v="0"/>
    <n v="0"/>
    <n v="3.6800000667571999"/>
    <n v="0"/>
    <n v="0"/>
    <n v="0"/>
    <n v="217"/>
    <n v="837"/>
    <n v="1756"/>
    <x v="2"/>
    <x v="3"/>
  </r>
  <r>
    <x v="24"/>
    <d v="2016-04-13T00:00:00"/>
    <n v="5652"/>
    <n v="3.7400000095367401"/>
    <n v="3.7400000095367401"/>
    <n v="0"/>
    <n v="0.56999999284744296"/>
    <n v="1.21000003814697"/>
    <n v="1.96000003814697"/>
    <n v="0"/>
    <n v="8"/>
    <n v="24"/>
    <n v="142"/>
    <n v="548"/>
    <n v="1718"/>
    <x v="3"/>
    <x v="3"/>
  </r>
  <r>
    <x v="24"/>
    <d v="2016-05-06T00:00:00"/>
    <n v="5908"/>
    <n v="3.9100000858306898"/>
    <n v="3.9100000858306898"/>
    <n v="0"/>
    <n v="0"/>
    <n v="0"/>
    <n v="3.9100000858306898"/>
    <n v="0"/>
    <n v="0"/>
    <n v="0"/>
    <n v="299"/>
    <n v="717"/>
    <n v="1850"/>
    <x v="2"/>
    <x v="3"/>
  </r>
  <r>
    <x v="24"/>
    <d v="2016-05-11T00:00:00"/>
    <n v="6722"/>
    <n v="4.4400000572204599"/>
    <n v="4.4400000572204599"/>
    <n v="0"/>
    <n v="1.4900000095367401"/>
    <n v="0.31000000238418601"/>
    <n v="2.6500000953674299"/>
    <n v="0"/>
    <n v="24"/>
    <n v="7"/>
    <n v="199"/>
    <n v="709"/>
    <n v="1855"/>
    <x v="3"/>
    <x v="3"/>
  </r>
  <r>
    <x v="24"/>
    <d v="2016-05-07T00:00:00"/>
    <n v="6815"/>
    <n v="4.5"/>
    <n v="4.5"/>
    <n v="0"/>
    <n v="0"/>
    <n v="0"/>
    <n v="4.5"/>
    <n v="0"/>
    <n v="0"/>
    <n v="0"/>
    <n v="328"/>
    <n v="745"/>
    <n v="1947"/>
    <x v="4"/>
    <x v="3"/>
  </r>
  <r>
    <x v="24"/>
    <d v="2016-04-30T00:00:00"/>
    <n v="10081"/>
    <n v="6.6599998474121103"/>
    <n v="6.6599998474121103"/>
    <n v="0"/>
    <n v="2.2400000095367401"/>
    <n v="0.75999999046325695"/>
    <n v="3.6700000762939502"/>
    <n v="0"/>
    <n v="32"/>
    <n v="16"/>
    <n v="237"/>
    <n v="731"/>
    <n v="2002"/>
    <x v="4"/>
    <x v="2"/>
  </r>
  <r>
    <x v="24"/>
    <d v="2016-04-17T00:00:00"/>
    <n v="10145"/>
    <n v="6.71000003814697"/>
    <n v="6.71000003814697"/>
    <n v="0"/>
    <n v="0.33000001311302202"/>
    <n v="0.68000000715255704"/>
    <n v="5.6900000572204599"/>
    <n v="0"/>
    <n v="5"/>
    <n v="13"/>
    <n v="295"/>
    <n v="634"/>
    <n v="2027"/>
    <x v="1"/>
    <x v="2"/>
  </r>
  <r>
    <x v="24"/>
    <d v="2016-05-04T00:00:00"/>
    <n v="10147"/>
    <n v="6.71000003814697"/>
    <n v="6.71000003814697"/>
    <n v="0"/>
    <n v="0.46999999880790699"/>
    <n v="1.6799999475479099"/>
    <n v="4.5500001907348597"/>
    <n v="0"/>
    <n v="15"/>
    <n v="36"/>
    <n v="284"/>
    <n v="683"/>
    <n v="2086"/>
    <x v="3"/>
    <x v="2"/>
  </r>
  <r>
    <x v="24"/>
    <d v="2016-04-12T00:00:00"/>
    <n v="10199"/>
    <n v="6.7399997711181596"/>
    <n v="6.7399997711181596"/>
    <n v="0"/>
    <n v="3.4000000953674299"/>
    <n v="0.82999998331069902"/>
    <n v="2.5099999904632599"/>
    <n v="0"/>
    <n v="50"/>
    <n v="14"/>
    <n v="189"/>
    <n v="796"/>
    <n v="1994"/>
    <x v="6"/>
    <x v="2"/>
  </r>
  <r>
    <x v="24"/>
    <d v="2016-04-27T00:00:00"/>
    <n v="10320"/>
    <n v="6.8200001716613796"/>
    <n v="6.8200001716613796"/>
    <n v="0"/>
    <n v="0.55000001192092896"/>
    <n v="2.0199999809265101"/>
    <n v="4.25"/>
    <n v="0"/>
    <n v="7"/>
    <n v="38"/>
    <n v="279"/>
    <n v="697"/>
    <n v="2034"/>
    <x v="3"/>
    <x v="2"/>
  </r>
  <r>
    <x v="24"/>
    <d v="2016-04-26T00:00:00"/>
    <n v="10433"/>
    <n v="6.9000000953674299"/>
    <n v="6.9000000953674299"/>
    <n v="0"/>
    <n v="2.5799999237060498"/>
    <n v="0.41999998688697798"/>
    <n v="3.9000000953674299"/>
    <n v="0"/>
    <n v="36"/>
    <n v="7"/>
    <n v="254"/>
    <n v="680"/>
    <n v="2012"/>
    <x v="6"/>
    <x v="2"/>
  </r>
  <r>
    <x v="24"/>
    <d v="2016-05-05T00:00:00"/>
    <n v="10524"/>
    <n v="6.96000003814697"/>
    <n v="6.96000003814697"/>
    <n v="0"/>
    <n v="0.99000000953674305"/>
    <n v="1.1599999666214"/>
    <n v="4.8099999427795401"/>
    <n v="0"/>
    <n v="14"/>
    <n v="22"/>
    <n v="305"/>
    <n v="591"/>
    <n v="2066"/>
    <x v="0"/>
    <x v="2"/>
  </r>
  <r>
    <x v="24"/>
    <d v="2016-04-22T00:00:00"/>
    <n v="10725"/>
    <n v="7.0900001525878897"/>
    <n v="7.0900001525878897"/>
    <n v="0"/>
    <n v="1.7699999809265099"/>
    <n v="1.54999995231628"/>
    <n v="3.7699999809265101"/>
    <n v="0"/>
    <n v="30"/>
    <n v="33"/>
    <n v="240"/>
    <n v="659"/>
    <n v="2086"/>
    <x v="2"/>
    <x v="2"/>
  </r>
  <r>
    <x v="24"/>
    <d v="2016-04-19T00:00:00"/>
    <n v="10742"/>
    <n v="7.0999999046325701"/>
    <n v="7.0999999046325701"/>
    <n v="0"/>
    <n v="2.0999999046325701"/>
    <n v="2.1300001144409202"/>
    <n v="2.8699998855590798"/>
    <n v="0"/>
    <n v="35"/>
    <n v="41"/>
    <n v="195"/>
    <n v="659"/>
    <n v="2046"/>
    <x v="6"/>
    <x v="2"/>
  </r>
  <r>
    <x v="24"/>
    <d v="2016-04-29T00:00:00"/>
    <n v="10762"/>
    <n v="7.1100001335143999"/>
    <n v="7.1100001335143999"/>
    <n v="0"/>
    <n v="0.81999999284744296"/>
    <n v="0.479999989271164"/>
    <n v="5.8099999427795401"/>
    <n v="0"/>
    <n v="12"/>
    <n v="15"/>
    <n v="369"/>
    <n v="645"/>
    <n v="2254"/>
    <x v="2"/>
    <x v="2"/>
  </r>
  <r>
    <x v="24"/>
    <d v="2016-04-18T00:00:00"/>
    <n v="11404"/>
    <n v="7.53999996185303"/>
    <n v="7.53999996185303"/>
    <n v="0"/>
    <n v="0.82999998331069902"/>
    <n v="2.3900001049041699"/>
    <n v="4.3200001716613796"/>
    <n v="0"/>
    <n v="13"/>
    <n v="42"/>
    <n v="238"/>
    <n v="689"/>
    <n v="2039"/>
    <x v="5"/>
    <x v="2"/>
  </r>
  <r>
    <x v="24"/>
    <d v="2016-04-21T00:00:00"/>
    <n v="11835"/>
    <n v="9.7100000381469709"/>
    <n v="7.8800001144409197"/>
    <n v="4.0816922187805202"/>
    <n v="3.9900000095367401"/>
    <n v="2.0999999046325701"/>
    <n v="3.5099999904632599"/>
    <n v="0.109999999403954"/>
    <n v="53"/>
    <n v="27"/>
    <n v="214"/>
    <n v="708"/>
    <n v="2179"/>
    <x v="0"/>
    <x v="2"/>
  </r>
  <r>
    <x v="24"/>
    <d v="2016-05-03T00:00:00"/>
    <n v="12109"/>
    <n v="8.1199998855590803"/>
    <n v="8.1199998855590803"/>
    <n v="0"/>
    <n v="1.7400000095367401"/>
    <n v="2.03999996185303"/>
    <n v="4.3299999237060502"/>
    <n v="0"/>
    <n v="21"/>
    <n v="36"/>
    <n v="267"/>
    <n v="654"/>
    <n v="2072"/>
    <x v="6"/>
    <x v="2"/>
  </r>
  <r>
    <x v="24"/>
    <d v="2016-05-09T00:00:00"/>
    <n v="12342"/>
    <n v="8.7200002670288104"/>
    <n v="8.6800003051757795"/>
    <n v="3.1678218841552699"/>
    <n v="3.9000000953674299"/>
    <n v="1.1799999475479099"/>
    <n v="3.6500000953674299"/>
    <n v="0"/>
    <n v="43"/>
    <n v="21"/>
    <n v="231"/>
    <n v="607"/>
    <n v="2105"/>
    <x v="5"/>
    <x v="2"/>
  </r>
  <r>
    <x v="24"/>
    <d v="2016-04-28T00:00:00"/>
    <n v="12627"/>
    <n v="8.3500003814697301"/>
    <n v="8.3500003814697301"/>
    <n v="0"/>
    <n v="2.5099999904632599"/>
    <n v="0.239999994635582"/>
    <n v="5.5900001525878897"/>
    <n v="0"/>
    <n v="38"/>
    <n v="8"/>
    <n v="288"/>
    <n v="621"/>
    <n v="2182"/>
    <x v="0"/>
    <x v="2"/>
  </r>
  <r>
    <x v="24"/>
    <d v="2016-05-02T00:00:00"/>
    <n v="12912"/>
    <n v="8.5399999618530291"/>
    <n v="8.5399999618530291"/>
    <n v="0"/>
    <n v="1.20000004768372"/>
    <n v="2"/>
    <n v="5.3400001525878897"/>
    <n v="0"/>
    <n v="18"/>
    <n v="39"/>
    <n v="313"/>
    <n v="655"/>
    <n v="2162"/>
    <x v="5"/>
    <x v="2"/>
  </r>
  <r>
    <x v="24"/>
    <d v="2016-04-16T00:00:00"/>
    <n v="13217"/>
    <n v="8.7399997711181605"/>
    <n v="8.7399997711181605"/>
    <n v="0"/>
    <n v="3.6600000858306898"/>
    <n v="0.18999999761581399"/>
    <n v="4.8800001144409197"/>
    <n v="0"/>
    <n v="50"/>
    <n v="3"/>
    <n v="280"/>
    <n v="741"/>
    <n v="2173"/>
    <x v="4"/>
    <x v="2"/>
  </r>
  <r>
    <x v="24"/>
    <d v="2016-04-25T00:00:00"/>
    <n v="13239"/>
    <n v="9.2700004577636701"/>
    <n v="9.0799999237060494"/>
    <n v="2.7851750850677499"/>
    <n v="3.0199999809265101"/>
    <n v="1.6799999475479099"/>
    <n v="4.46000003814697"/>
    <n v="0.10000000149011599"/>
    <n v="35"/>
    <n v="31"/>
    <n v="282"/>
    <n v="637"/>
    <n v="2194"/>
    <x v="5"/>
    <x v="2"/>
  </r>
  <r>
    <x v="24"/>
    <d v="2016-04-20T00:00:00"/>
    <n v="13928"/>
    <n v="9.5500001907348597"/>
    <n v="9.5500001907348597"/>
    <n v="0"/>
    <n v="4.2800002098083496"/>
    <n v="0.18999999761581399"/>
    <n v="5.0900001525878897"/>
    <n v="0"/>
    <n v="48"/>
    <n v="4"/>
    <n v="297"/>
    <n v="639"/>
    <n v="2174"/>
    <x v="3"/>
    <x v="2"/>
  </r>
  <r>
    <x v="24"/>
    <d v="2016-05-10T00:00:00"/>
    <n v="15448"/>
    <n v="10.210000038146999"/>
    <n v="10.210000038146999"/>
    <n v="0"/>
    <n v="3.4700000286102299"/>
    <n v="1.75"/>
    <n v="4.9899997711181596"/>
    <n v="0"/>
    <n v="62"/>
    <n v="34"/>
    <n v="275"/>
    <n v="626"/>
    <n v="2361"/>
    <x v="6"/>
    <x v="2"/>
  </r>
  <r>
    <x v="24"/>
    <d v="2016-04-23T00:00:00"/>
    <n v="20031"/>
    <n v="13.2399997711182"/>
    <n v="13.2399997711182"/>
    <n v="0"/>
    <n v="4.1999998092651403"/>
    <n v="2"/>
    <n v="7.03999996185303"/>
    <n v="0"/>
    <n v="58"/>
    <n v="41"/>
    <n v="347"/>
    <n v="484"/>
    <n v="2571"/>
    <x v="4"/>
    <x v="2"/>
  </r>
  <r>
    <x v="25"/>
    <d v="2016-05-04T00:00:00"/>
    <n v="0"/>
    <n v="0"/>
    <n v="0"/>
    <n v="0"/>
    <n v="0"/>
    <n v="0"/>
    <n v="0"/>
    <n v="0"/>
    <n v="0"/>
    <n v="0"/>
    <n v="0"/>
    <n v="1440"/>
    <n v="1557"/>
    <x v="3"/>
    <x v="0"/>
  </r>
  <r>
    <x v="25"/>
    <d v="2016-05-07T00:00:00"/>
    <n v="0"/>
    <n v="0"/>
    <n v="0"/>
    <n v="0"/>
    <n v="0"/>
    <n v="0"/>
    <n v="0"/>
    <n v="0"/>
    <n v="0"/>
    <n v="0"/>
    <n v="0"/>
    <n v="111"/>
    <n v="120"/>
    <x v="4"/>
    <x v="0"/>
  </r>
  <r>
    <x v="25"/>
    <d v="2016-04-30T00:00:00"/>
    <n v="3761"/>
    <n v="2.5199999809265101"/>
    <n v="2.5199999809265101"/>
    <n v="0"/>
    <n v="0"/>
    <n v="0"/>
    <n v="2.5199999809265101"/>
    <n v="0"/>
    <n v="0"/>
    <n v="0"/>
    <n v="200"/>
    <n v="1240"/>
    <n v="2051"/>
    <x v="4"/>
    <x v="0"/>
  </r>
  <r>
    <x v="25"/>
    <d v="2016-04-16T00:00:00"/>
    <n v="4631"/>
    <n v="3.0999999046325701"/>
    <n v="3.0999999046325701"/>
    <n v="0"/>
    <n v="0"/>
    <n v="0"/>
    <n v="3.0999999046325701"/>
    <n v="0"/>
    <n v="0"/>
    <n v="0"/>
    <n v="203"/>
    <n v="1155"/>
    <n v="2076"/>
    <x v="4"/>
    <x v="0"/>
  </r>
  <r>
    <x v="25"/>
    <d v="2016-04-15T00:00:00"/>
    <n v="5273"/>
    <n v="3.5299999713897701"/>
    <n v="3.5299999713897701"/>
    <n v="0"/>
    <n v="0"/>
    <n v="0"/>
    <n v="3.5299999713897701"/>
    <n v="0"/>
    <n v="0"/>
    <n v="0"/>
    <n v="202"/>
    <n v="1238"/>
    <n v="2098"/>
    <x v="2"/>
    <x v="3"/>
  </r>
  <r>
    <x v="25"/>
    <d v="2016-05-01T00:00:00"/>
    <n v="5600"/>
    <n v="3.75"/>
    <n v="3.75"/>
    <n v="0"/>
    <n v="0"/>
    <n v="0"/>
    <n v="3.75"/>
    <n v="0"/>
    <n v="0"/>
    <n v="0"/>
    <n v="237"/>
    <n v="1142"/>
    <n v="2225"/>
    <x v="1"/>
    <x v="3"/>
  </r>
  <r>
    <x v="25"/>
    <d v="2016-04-17T00:00:00"/>
    <n v="8059"/>
    <n v="5.3899998664856001"/>
    <n v="5.3899998664856001"/>
    <n v="0"/>
    <n v="0"/>
    <n v="0"/>
    <n v="5.3899998664856001"/>
    <n v="0"/>
    <n v="0"/>
    <n v="0"/>
    <n v="305"/>
    <n v="1135"/>
    <n v="2383"/>
    <x v="1"/>
    <x v="1"/>
  </r>
  <r>
    <x v="25"/>
    <d v="2016-04-23T00:00:00"/>
    <n v="8093"/>
    <n v="5.4099998474121103"/>
    <n v="5.4099998474121103"/>
    <n v="0"/>
    <n v="0.129999995231628"/>
    <n v="1.12999999523163"/>
    <n v="4.1500000953674299"/>
    <n v="0"/>
    <n v="2"/>
    <n v="25"/>
    <n v="223"/>
    <n v="1190"/>
    <n v="2284"/>
    <x v="4"/>
    <x v="1"/>
  </r>
  <r>
    <x v="25"/>
    <d v="2016-04-24T00:00:00"/>
    <n v="11085"/>
    <n v="7.4200000762939498"/>
    <n v="7.4200000762939498"/>
    <n v="0"/>
    <n v="0"/>
    <n v="0"/>
    <n v="7.4200000762939498"/>
    <n v="0"/>
    <n v="0"/>
    <n v="0"/>
    <n v="419"/>
    <n v="1021"/>
    <n v="2667"/>
    <x v="1"/>
    <x v="2"/>
  </r>
  <r>
    <x v="25"/>
    <d v="2016-04-14T00:00:00"/>
    <n v="11179"/>
    <n v="8.2399997711181605"/>
    <n v="7.4800000190734899"/>
    <n v="3.2854149341583301"/>
    <n v="2.9500000476837198"/>
    <n v="0.34000000357627902"/>
    <n v="4.96000003814697"/>
    <n v="0"/>
    <n v="34"/>
    <n v="6"/>
    <n v="304"/>
    <n v="1096"/>
    <n v="2668"/>
    <x v="0"/>
    <x v="2"/>
  </r>
  <r>
    <x v="25"/>
    <d v="2016-05-06T00:00:00"/>
    <n v="11459"/>
    <n v="7.6700000762939498"/>
    <n v="7.6700000762939498"/>
    <n v="0"/>
    <n v="3"/>
    <n v="0.81000000238418601"/>
    <n v="3.8599998950958301"/>
    <n v="0"/>
    <n v="44"/>
    <n v="13"/>
    <n v="247"/>
    <n v="1136"/>
    <n v="2553"/>
    <x v="2"/>
    <x v="2"/>
  </r>
  <r>
    <x v="25"/>
    <d v="2016-04-13T00:00:00"/>
    <n v="12862"/>
    <n v="9.6499996185302699"/>
    <n v="8.6000003814697301"/>
    <n v="4.8513069152831996"/>
    <n v="4.6100001335143999"/>
    <n v="0.56000000238418601"/>
    <n v="4.4800000190734899"/>
    <n v="0"/>
    <n v="56"/>
    <n v="22"/>
    <n v="261"/>
    <n v="1101"/>
    <n v="2742"/>
    <x v="3"/>
    <x v="2"/>
  </r>
  <r>
    <x v="25"/>
    <d v="2016-05-02T00:00:00"/>
    <n v="13041"/>
    <n v="9.1800003051757795"/>
    <n v="8.7200002670288104"/>
    <n v="2.83232593536377"/>
    <n v="4.6399998664856001"/>
    <n v="0.69999998807907104"/>
    <n v="3.8299999237060498"/>
    <n v="0"/>
    <n v="64"/>
    <n v="14"/>
    <n v="250"/>
    <n v="1112"/>
    <n v="2642"/>
    <x v="5"/>
    <x v="2"/>
  </r>
  <r>
    <x v="25"/>
    <d v="2016-04-27T00:00:00"/>
    <n v="13541"/>
    <n v="10.2200002670288"/>
    <n v="9.0600004196166992"/>
    <n v="4.8856048583984402"/>
    <n v="4.2699999809265101"/>
    <n v="0.66000002622604403"/>
    <n v="5.28999996185303"/>
    <n v="0"/>
    <n v="50"/>
    <n v="12"/>
    <n v="337"/>
    <n v="1041"/>
    <n v="2830"/>
    <x v="3"/>
    <x v="2"/>
  </r>
  <r>
    <x v="25"/>
    <d v="2016-04-21T00:00:00"/>
    <n v="13744"/>
    <n v="9.1899995803833008"/>
    <n v="9.1899995803833008"/>
    <n v="0"/>
    <n v="2.1500000953674299"/>
    <n v="1.87000000476837"/>
    <n v="5.1700000762939498"/>
    <n v="0"/>
    <n v="30"/>
    <n v="34"/>
    <n v="327"/>
    <n v="1049"/>
    <n v="2763"/>
    <x v="0"/>
    <x v="2"/>
  </r>
  <r>
    <x v="25"/>
    <d v="2016-04-12T00:00:00"/>
    <n v="14172"/>
    <n v="10.289999961853001"/>
    <n v="9.4799995422363299"/>
    <n v="4.8697829246520996"/>
    <n v="4.5"/>
    <n v="0.37999999523162797"/>
    <n v="5.4099998474121103"/>
    <n v="0"/>
    <n v="53"/>
    <n v="8"/>
    <n v="355"/>
    <n v="1024"/>
    <n v="2937"/>
    <x v="6"/>
    <x v="2"/>
  </r>
  <r>
    <x v="25"/>
    <d v="2016-04-19T00:00:00"/>
    <n v="14194"/>
    <n v="10.4799995422363"/>
    <n v="9.5"/>
    <n v="4.9421420097351101"/>
    <n v="4.4099998474121103"/>
    <n v="0.75999999046325695"/>
    <n v="5.3099999427795401"/>
    <n v="0"/>
    <n v="53"/>
    <n v="17"/>
    <n v="304"/>
    <n v="1066"/>
    <n v="2812"/>
    <x v="6"/>
    <x v="2"/>
  </r>
  <r>
    <x v="25"/>
    <d v="2016-05-03T00:00:00"/>
    <n v="14510"/>
    <n v="10.8699998855591"/>
    <n v="9.7100000381469709"/>
    <n v="4.9123678207397496"/>
    <n v="4.4800000190734899"/>
    <n v="1.0199999809265099"/>
    <n v="5.3600001335143999"/>
    <n v="0"/>
    <n v="58"/>
    <n v="31"/>
    <n v="330"/>
    <n v="1021"/>
    <n v="2976"/>
    <x v="6"/>
    <x v="2"/>
  </r>
  <r>
    <x v="25"/>
    <d v="2016-04-18T00:00:00"/>
    <n v="14816"/>
    <n v="10.9799995422363"/>
    <n v="9.9099998474121094"/>
    <n v="4.9305500984191903"/>
    <n v="3.78999996185303"/>
    <n v="2.1199998855590798"/>
    <n v="5.0500001907348597"/>
    <n v="1.9999999552965199E-2"/>
    <n v="48"/>
    <n v="31"/>
    <n v="284"/>
    <n v="1077"/>
    <n v="2832"/>
    <x v="5"/>
    <x v="2"/>
  </r>
  <r>
    <x v="25"/>
    <d v="2016-05-05T00:00:00"/>
    <n v="15010"/>
    <n v="11.1000003814697"/>
    <n v="10.039999961853001"/>
    <n v="4.8782320022582999"/>
    <n v="4.3299999237060502"/>
    <n v="1.28999996185303"/>
    <n v="5.4800000190734899"/>
    <n v="0"/>
    <n v="53"/>
    <n v="23"/>
    <n v="317"/>
    <n v="1047"/>
    <n v="2933"/>
    <x v="0"/>
    <x v="2"/>
  </r>
  <r>
    <x v="25"/>
    <d v="2016-04-26T00:00:00"/>
    <n v="15090"/>
    <n v="10.1000003814697"/>
    <n v="10.1000003814697"/>
    <n v="0"/>
    <n v="0.93000000715255704"/>
    <n v="0.93999999761581399"/>
    <n v="8.2299995422363299"/>
    <n v="0"/>
    <n v="16"/>
    <n v="22"/>
    <n v="424"/>
    <n v="978"/>
    <n v="2939"/>
    <x v="6"/>
    <x v="2"/>
  </r>
  <r>
    <x v="25"/>
    <d v="2016-04-28T00:00:00"/>
    <n v="15128"/>
    <n v="10.1199998855591"/>
    <n v="10.1199998855591"/>
    <n v="0"/>
    <n v="1.0900000333786"/>
    <n v="0.769999980926514"/>
    <n v="8.2600002288818395"/>
    <n v="0"/>
    <n v="16"/>
    <n v="16"/>
    <n v="401"/>
    <n v="1007"/>
    <n v="2836"/>
    <x v="0"/>
    <x v="2"/>
  </r>
  <r>
    <x v="25"/>
    <d v="2016-04-22T00:00:00"/>
    <n v="15299"/>
    <n v="10.2399997711182"/>
    <n v="10.2399997711182"/>
    <n v="0"/>
    <n v="4.0999999046325701"/>
    <n v="1.7599999904632599"/>
    <n v="4.3699998855590803"/>
    <n v="0"/>
    <n v="64"/>
    <n v="50"/>
    <n v="261"/>
    <n v="1065"/>
    <n v="2889"/>
    <x v="2"/>
    <x v="2"/>
  </r>
  <r>
    <x v="25"/>
    <d v="2016-04-20T00:00:00"/>
    <n v="15566"/>
    <n v="11.310000419616699"/>
    <n v="10.4099998474121"/>
    <n v="4.9248409271240199"/>
    <n v="4.78999996185303"/>
    <n v="0.67000001668930098"/>
    <n v="5.8600001335143999"/>
    <n v="0"/>
    <n v="60"/>
    <n v="33"/>
    <n v="347"/>
    <n v="1000"/>
    <n v="3096"/>
    <x v="3"/>
    <x v="2"/>
  </r>
  <r>
    <x v="25"/>
    <d v="2016-04-25T00:00:00"/>
    <n v="18229"/>
    <n v="13.3400001525879"/>
    <n v="12.199999809265099"/>
    <n v="4.8617920875549299"/>
    <n v="4.3099999427795401"/>
    <n v="1.37000000476837"/>
    <n v="7.6700000762939498"/>
    <n v="0"/>
    <n v="51"/>
    <n v="24"/>
    <n v="379"/>
    <n v="986"/>
    <n v="3055"/>
    <x v="5"/>
    <x v="2"/>
  </r>
  <r>
    <x v="25"/>
    <d v="2016-04-29T00:00:00"/>
    <n v="20067"/>
    <n v="14.300000190734901"/>
    <n v="13.420000076293899"/>
    <n v="4.9111461639404297"/>
    <n v="4.3099999427795401"/>
    <n v="2.0499999523162802"/>
    <n v="7.9499998092651403"/>
    <n v="0"/>
    <n v="55"/>
    <n v="42"/>
    <n v="382"/>
    <n v="961"/>
    <n v="3180"/>
    <x v="2"/>
    <x v="2"/>
  </r>
  <r>
    <x v="26"/>
    <d v="2016-04-17T00:00:00"/>
    <n v="0"/>
    <n v="0"/>
    <n v="0"/>
    <n v="0"/>
    <n v="0"/>
    <n v="0"/>
    <n v="0"/>
    <n v="0"/>
    <n v="0"/>
    <n v="0"/>
    <n v="0"/>
    <n v="1440"/>
    <n v="1629"/>
    <x v="1"/>
    <x v="0"/>
  </r>
  <r>
    <x v="26"/>
    <d v="2016-04-16T00:00:00"/>
    <n v="31"/>
    <n v="9.9999997764825804E-3"/>
    <n v="9.9999997764825804E-3"/>
    <n v="0"/>
    <n v="0"/>
    <n v="0"/>
    <n v="9.9999997764825804E-3"/>
    <n v="0"/>
    <n v="0"/>
    <n v="0"/>
    <n v="3"/>
    <n v="1437"/>
    <n v="1635"/>
    <x v="4"/>
    <x v="0"/>
  </r>
  <r>
    <x v="26"/>
    <d v="2016-04-23T00:00:00"/>
    <n v="2817"/>
    <n v="1.8099999427795399"/>
    <n v="1.8099999427795399"/>
    <n v="0"/>
    <n v="0"/>
    <n v="0"/>
    <n v="1.79999995231628"/>
    <n v="0"/>
    <n v="0"/>
    <n v="0"/>
    <n v="90"/>
    <n v="1350"/>
    <n v="1965"/>
    <x v="4"/>
    <x v="0"/>
  </r>
  <r>
    <x v="26"/>
    <d v="2016-04-24T00:00:00"/>
    <n v="3520"/>
    <n v="2.1600000858306898"/>
    <n v="2.1600000858306898"/>
    <n v="0"/>
    <n v="0"/>
    <n v="0"/>
    <n v="2.1500000953674299"/>
    <n v="0"/>
    <n v="0"/>
    <n v="0"/>
    <n v="125"/>
    <n v="566"/>
    <n v="2049"/>
    <x v="1"/>
    <x v="0"/>
  </r>
  <r>
    <x v="26"/>
    <d v="2016-05-12T00:00:00"/>
    <n v="3789"/>
    <n v="2.5599999427795401"/>
    <n v="2.5599999427795401"/>
    <n v="0"/>
    <n v="0.37999999523162797"/>
    <n v="0.270000010728836"/>
    <n v="1.8899999856948899"/>
    <n v="0"/>
    <n v="5"/>
    <n v="4"/>
    <n v="58"/>
    <n v="343"/>
    <n v="1199"/>
    <x v="0"/>
    <x v="0"/>
  </r>
  <r>
    <x v="26"/>
    <d v="2016-04-13T00:00:00"/>
    <n v="5813"/>
    <n v="3.6199998855590798"/>
    <n v="3.6199998855590798"/>
    <n v="0"/>
    <n v="0.56000000238418601"/>
    <n v="0.20999999344348899"/>
    <n v="2.8399999141693102"/>
    <n v="0"/>
    <n v="31"/>
    <n v="26"/>
    <n v="155"/>
    <n v="744"/>
    <n v="2516"/>
    <x v="3"/>
    <x v="3"/>
  </r>
  <r>
    <x v="26"/>
    <d v="2016-04-29T00:00:00"/>
    <n v="7881"/>
    <n v="4.9499998092651403"/>
    <n v="4.9499998092651403"/>
    <n v="0"/>
    <n v="0.490000009536743"/>
    <n v="0.44999998807907099"/>
    <n v="4"/>
    <n v="0"/>
    <n v="24"/>
    <n v="36"/>
    <n v="182"/>
    <n v="1198"/>
    <n v="2616"/>
    <x v="2"/>
    <x v="1"/>
  </r>
  <r>
    <x v="26"/>
    <d v="2016-05-05T00:00:00"/>
    <n v="8564"/>
    <n v="5.5999999046325701"/>
    <n v="5.5999999046325701"/>
    <n v="0"/>
    <n v="1.7799999713897701"/>
    <n v="0.82999998331069902"/>
    <n v="2.9500000476837198"/>
    <n v="0"/>
    <n v="24"/>
    <n v="14"/>
    <n v="149"/>
    <n v="1253"/>
    <n v="2386"/>
    <x v="0"/>
    <x v="1"/>
  </r>
  <r>
    <x v="26"/>
    <d v="2016-04-15T00:00:00"/>
    <n v="8585"/>
    <n v="5.6700000762939498"/>
    <n v="5.6700000762939498"/>
    <n v="0"/>
    <n v="2.03999996185303"/>
    <n v="1.1100000143051101"/>
    <n v="2.5299999713897701"/>
    <n v="0"/>
    <n v="30"/>
    <n v="21"/>
    <n v="139"/>
    <n v="864"/>
    <n v="2395"/>
    <x v="2"/>
    <x v="1"/>
  </r>
  <r>
    <x v="26"/>
    <d v="2016-04-14T00:00:00"/>
    <n v="9123"/>
    <n v="6.1199998855590803"/>
    <n v="6.1199998855590803"/>
    <n v="0"/>
    <n v="2.0299999713897701"/>
    <n v="0.33000001311302202"/>
    <n v="3.6600000858306898"/>
    <n v="0"/>
    <n v="35"/>
    <n v="32"/>
    <n v="189"/>
    <n v="787"/>
    <n v="2734"/>
    <x v="0"/>
    <x v="1"/>
  </r>
  <r>
    <x v="26"/>
    <d v="2016-04-21T00:00:00"/>
    <n v="9469"/>
    <n v="6.1799998283386204"/>
    <n v="6.1799998283386204"/>
    <n v="0"/>
    <n v="1.3600000143051101"/>
    <n v="0.30000001192092901"/>
    <n v="4.5100002288818404"/>
    <n v="0"/>
    <n v="19"/>
    <n v="6"/>
    <n v="206"/>
    <n v="758"/>
    <n v="2463"/>
    <x v="0"/>
    <x v="1"/>
  </r>
  <r>
    <x v="26"/>
    <d v="2016-05-11T00:00:00"/>
    <n v="9572"/>
    <n v="6.5199999809265101"/>
    <n v="6.5199999809265101"/>
    <n v="0"/>
    <n v="2.8900001049041699"/>
    <n v="1.3899999856948899"/>
    <n v="2.2300000190734899"/>
    <n v="0"/>
    <n v="57"/>
    <n v="40"/>
    <n v="128"/>
    <n v="757"/>
    <n v="2735"/>
    <x v="3"/>
    <x v="1"/>
  </r>
  <r>
    <x v="26"/>
    <d v="2016-04-22T00:00:00"/>
    <n v="9753"/>
    <n v="6.5300002098083496"/>
    <n v="6.5300002098083496"/>
    <n v="0"/>
    <n v="2.8699998855590798"/>
    <n v="0.97000002861022905"/>
    <n v="2.6700000762939502"/>
    <n v="0"/>
    <n v="58"/>
    <n v="59"/>
    <n v="153"/>
    <n v="762"/>
    <n v="2846"/>
    <x v="2"/>
    <x v="1"/>
  </r>
  <r>
    <x v="26"/>
    <d v="2016-04-18T00:00:00"/>
    <n v="9827"/>
    <n v="6.71000003814697"/>
    <n v="6.71000003814697"/>
    <n v="0"/>
    <n v="3.1700000762939502"/>
    <n v="1.2200000286102299"/>
    <n v="2.3099999427795401"/>
    <n v="0"/>
    <n v="61"/>
    <n v="51"/>
    <n v="114"/>
    <n v="1136"/>
    <n v="2743"/>
    <x v="5"/>
    <x v="1"/>
  </r>
  <r>
    <x v="26"/>
    <d v="2016-05-02T00:00:00"/>
    <n v="10052"/>
    <n v="6.8099999427795401"/>
    <n v="6.8099999427795401"/>
    <n v="0"/>
    <n v="3.4800000190734899"/>
    <n v="0.66000002622604403"/>
    <n v="2.6600000858306898"/>
    <n v="0"/>
    <n v="66"/>
    <n v="26"/>
    <n v="139"/>
    <n v="737"/>
    <n v="2754"/>
    <x v="5"/>
    <x v="2"/>
  </r>
  <r>
    <x v="26"/>
    <d v="2016-04-25T00:00:00"/>
    <n v="10091"/>
    <n v="6.8200001716613796"/>
    <n v="6.8200001716613796"/>
    <n v="0"/>
    <n v="3.75"/>
    <n v="0.69999998807907104"/>
    <n v="2.3699998855590798"/>
    <n v="0"/>
    <n v="69"/>
    <n v="39"/>
    <n v="129"/>
    <n v="706"/>
    <n v="2752"/>
    <x v="5"/>
    <x v="2"/>
  </r>
  <r>
    <x v="26"/>
    <d v="2016-05-03T00:00:00"/>
    <n v="10288"/>
    <n v="6.7600002288818404"/>
    <n v="6.7600002288818404"/>
    <n v="0"/>
    <n v="2.7400000095367401"/>
    <n v="0.85000002384185802"/>
    <n v="3.1600000858306898"/>
    <n v="0"/>
    <n v="57"/>
    <n v="36"/>
    <n v="152"/>
    <n v="761"/>
    <n v="2754"/>
    <x v="6"/>
    <x v="2"/>
  </r>
  <r>
    <x v="26"/>
    <d v="2016-04-26T00:00:00"/>
    <n v="10387"/>
    <n v="7.0700001716613796"/>
    <n v="7.0700001716613796"/>
    <n v="0"/>
    <n v="4.1599998474121103"/>
    <n v="0.769999980926514"/>
    <n v="2.1199998855590798"/>
    <n v="0"/>
    <n v="70"/>
    <n v="33"/>
    <n v="132"/>
    <n v="726"/>
    <n v="2781"/>
    <x v="6"/>
    <x v="2"/>
  </r>
  <r>
    <x v="26"/>
    <d v="2016-05-08T00:00:00"/>
    <n v="10677"/>
    <n v="7.0999999046325701"/>
    <n v="7.0999999046325701"/>
    <n v="0"/>
    <n v="2.3099999427795401"/>
    <n v="1.5299999713897701"/>
    <n v="3.25"/>
    <n v="0"/>
    <n v="32"/>
    <n v="27"/>
    <n v="147"/>
    <n v="695"/>
    <n v="2534"/>
    <x v="1"/>
    <x v="2"/>
  </r>
  <r>
    <x v="26"/>
    <d v="2016-04-19T00:00:00"/>
    <n v="10688"/>
    <n v="7.28999996185303"/>
    <n v="7.28999996185303"/>
    <n v="0"/>
    <n v="3.5299999713897701"/>
    <n v="1.2300000190734901"/>
    <n v="2.5099999904632599"/>
    <n v="0"/>
    <n v="67"/>
    <n v="69"/>
    <n v="124"/>
    <n v="671"/>
    <n v="2944"/>
    <x v="6"/>
    <x v="2"/>
  </r>
  <r>
    <x v="26"/>
    <d v="2016-05-04T00:00:00"/>
    <n v="10988"/>
    <n v="8.3100004196166992"/>
    <n v="8.3100004196166992"/>
    <n v="0"/>
    <n v="5.2800002098083496"/>
    <n v="0.119999997317791"/>
    <n v="2.9000000953674299"/>
    <n v="0"/>
    <n v="45"/>
    <n v="12"/>
    <n v="135"/>
    <n v="843"/>
    <n v="2655"/>
    <x v="3"/>
    <x v="2"/>
  </r>
  <r>
    <x v="26"/>
    <d v="2016-04-27T00:00:00"/>
    <n v="11107"/>
    <n v="8.3400001525878906"/>
    <n v="8.3400001525878906"/>
    <n v="0"/>
    <n v="5.6300001144409197"/>
    <n v="0.18000000715255701"/>
    <n v="2.5299999713897701"/>
    <n v="0"/>
    <n v="55"/>
    <n v="6"/>
    <n v="145"/>
    <n v="829"/>
    <n v="2693"/>
    <x v="3"/>
    <x v="2"/>
  </r>
  <r>
    <x v="26"/>
    <d v="2016-04-12T00:00:00"/>
    <n v="11317"/>
    <n v="8.4099998474121094"/>
    <n v="8.4099998474121094"/>
    <n v="0"/>
    <n v="5.2699999809265101"/>
    <n v="0.15000000596046401"/>
    <n v="2.9700000286102299"/>
    <n v="0"/>
    <n v="59"/>
    <n v="6"/>
    <n v="153"/>
    <n v="745"/>
    <n v="2772"/>
    <x v="6"/>
    <x v="2"/>
  </r>
  <r>
    <x v="26"/>
    <d v="2016-04-28T00:00:00"/>
    <n v="11584"/>
    <n v="7.8000001907348597"/>
    <n v="7.8000001907348597"/>
    <n v="0"/>
    <n v="2.78999996185303"/>
    <n v="1.6399999856948899"/>
    <n v="3.3599998950958301"/>
    <n v="0"/>
    <n v="54"/>
    <n v="48"/>
    <n v="161"/>
    <n v="810"/>
    <n v="2862"/>
    <x v="0"/>
    <x v="2"/>
  </r>
  <r>
    <x v="26"/>
    <d v="2016-05-01T00:00:00"/>
    <n v="12390"/>
    <n v="8.0699996948242205"/>
    <n v="8.0699996948242205"/>
    <n v="0"/>
    <n v="2.2999999523162802"/>
    <n v="0.89999997615814198"/>
    <n v="4.8499999046325701"/>
    <n v="0"/>
    <n v="30"/>
    <n v="15"/>
    <n v="258"/>
    <n v="685"/>
    <n v="2730"/>
    <x v="1"/>
    <x v="2"/>
  </r>
  <r>
    <x v="26"/>
    <d v="2016-05-06T00:00:00"/>
    <n v="12461"/>
    <n v="8.3800001144409197"/>
    <n v="8.3800001144409197"/>
    <n v="0"/>
    <n v="3.8199999332428001"/>
    <n v="1.4299999475479099"/>
    <n v="3.1199998855590798"/>
    <n v="0"/>
    <n v="84"/>
    <n v="35"/>
    <n v="154"/>
    <n v="834"/>
    <n v="2924"/>
    <x v="2"/>
    <x v="2"/>
  </r>
  <r>
    <x v="26"/>
    <d v="2016-05-07T00:00:00"/>
    <n v="12827"/>
    <n v="8.4799995422363299"/>
    <n v="8.4799995422363299"/>
    <n v="0"/>
    <n v="1.46000003814697"/>
    <n v="2.3299999237060498"/>
    <n v="4.6799998283386204"/>
    <n v="0"/>
    <n v="20"/>
    <n v="42"/>
    <n v="209"/>
    <n v="621"/>
    <n v="2739"/>
    <x v="4"/>
    <x v="2"/>
  </r>
  <r>
    <x v="26"/>
    <d v="2016-05-09T00:00:00"/>
    <n v="13566"/>
    <n v="9.1099996566772496"/>
    <n v="9.1099996566772496"/>
    <n v="0"/>
    <n v="4.2600002288818404"/>
    <n v="1.71000003814697"/>
    <n v="3.1199998855590798"/>
    <n v="0"/>
    <n v="67"/>
    <n v="50"/>
    <n v="171"/>
    <n v="743"/>
    <n v="2960"/>
    <x v="5"/>
    <x v="2"/>
  </r>
  <r>
    <x v="26"/>
    <d v="2016-04-20T00:00:00"/>
    <n v="14365"/>
    <n v="10.6400003433228"/>
    <n v="10.6400003433228"/>
    <n v="0"/>
    <n v="7.6399998664856001"/>
    <n v="0.44999998807907099"/>
    <n v="2.53999996185303"/>
    <n v="0"/>
    <n v="87"/>
    <n v="13"/>
    <n v="145"/>
    <n v="797"/>
    <n v="2997"/>
    <x v="3"/>
    <x v="2"/>
  </r>
  <r>
    <x v="26"/>
    <d v="2016-05-10T00:00:00"/>
    <n v="14433"/>
    <n v="10.789999961853001"/>
    <n v="10.789999961853001"/>
    <n v="0"/>
    <n v="7.1100001335143999"/>
    <n v="1.20000004768372"/>
    <n v="2.4500000476837198"/>
    <n v="0"/>
    <n v="72"/>
    <n v="23"/>
    <n v="106"/>
    <n v="1182"/>
    <n v="2800"/>
    <x v="6"/>
    <x v="2"/>
  </r>
  <r>
    <x v="26"/>
    <d v="2016-04-30T00:00:00"/>
    <n v="14560"/>
    <n v="9.4099998474121094"/>
    <n v="9.4099998474121094"/>
    <n v="0"/>
    <n v="3.1199998855590798"/>
    <n v="1.03999996185303"/>
    <n v="5.2399997711181596"/>
    <n v="0"/>
    <n v="42"/>
    <n v="17"/>
    <n v="308"/>
    <n v="584"/>
    <n v="2995"/>
    <x v="4"/>
    <x v="2"/>
  </r>
  <r>
    <x v="27"/>
    <d v="2016-05-01T00:00:00"/>
    <n v="1170"/>
    <n v="0.85000002384185802"/>
    <n v="0.85000002384185802"/>
    <n v="0"/>
    <n v="0"/>
    <n v="0"/>
    <n v="0.85000002384185802"/>
    <n v="0"/>
    <n v="0"/>
    <n v="0"/>
    <n v="51"/>
    <n v="1389"/>
    <n v="1886"/>
    <x v="1"/>
    <x v="0"/>
  </r>
  <r>
    <x v="27"/>
    <d v="2016-05-02T00:00:00"/>
    <n v="1969"/>
    <n v="1.4299999475479099"/>
    <n v="1.4299999475479099"/>
    <n v="0"/>
    <n v="0"/>
    <n v="0"/>
    <n v="1.4299999475479099"/>
    <n v="0"/>
    <n v="0"/>
    <n v="0"/>
    <n v="95"/>
    <n v="1345"/>
    <n v="1988"/>
    <x v="5"/>
    <x v="0"/>
  </r>
  <r>
    <x v="27"/>
    <d v="2016-05-12T00:00:00"/>
    <n v="4998"/>
    <n v="3.9100000858306898"/>
    <n v="3.9100000858306898"/>
    <n v="0"/>
    <n v="2.9500000476837198"/>
    <n v="0.20000000298023199"/>
    <n v="0.75999999046325695"/>
    <n v="0"/>
    <n v="28"/>
    <n v="4"/>
    <n v="39"/>
    <n v="839"/>
    <n v="1505"/>
    <x v="0"/>
    <x v="0"/>
  </r>
  <r>
    <x v="27"/>
    <d v="2016-04-30T00:00:00"/>
    <n v="7135"/>
    <n v="5.5900001525878897"/>
    <n v="5.5900001525878897"/>
    <n v="0"/>
    <n v="2.9900000095367401"/>
    <n v="5.9999998658895499E-2"/>
    <n v="2.53999996185303"/>
    <n v="0"/>
    <n v="27"/>
    <n v="1"/>
    <n v="131"/>
    <n v="1281"/>
    <n v="2408"/>
    <x v="4"/>
    <x v="3"/>
  </r>
  <r>
    <x v="27"/>
    <d v="2016-04-22T00:00:00"/>
    <n v="10520"/>
    <n v="8.2899999618530291"/>
    <n v="8.2899999618530291"/>
    <n v="0"/>
    <n v="6.2600002288818404"/>
    <n v="0.15000000596046401"/>
    <n v="1.87999999523163"/>
    <n v="0"/>
    <n v="60"/>
    <n v="3"/>
    <n v="117"/>
    <n v="1260"/>
    <n v="2655"/>
    <x v="2"/>
    <x v="2"/>
  </r>
  <r>
    <x v="27"/>
    <d v="2016-05-11T00:00:00"/>
    <n v="12209"/>
    <n v="9.3999996185302699"/>
    <n v="9.3999996185302699"/>
    <n v="0"/>
    <n v="6.0799999237060502"/>
    <n v="0.28000000119209301"/>
    <n v="3.03999996185303"/>
    <n v="0"/>
    <n v="60"/>
    <n v="7"/>
    <n v="184"/>
    <n v="1189"/>
    <n v="2809"/>
    <x v="3"/>
    <x v="2"/>
  </r>
  <r>
    <x v="27"/>
    <d v="2016-04-29T00:00:00"/>
    <n v="12315"/>
    <n v="9.6499996185302699"/>
    <n v="9.6499996185302699"/>
    <n v="0"/>
    <n v="6.1700000762939498"/>
    <n v="0.31000000238418601"/>
    <n v="3.1700000762939502"/>
    <n v="0"/>
    <n v="58"/>
    <n v="8"/>
    <n v="159"/>
    <n v="1215"/>
    <n v="2794"/>
    <x v="2"/>
    <x v="2"/>
  </r>
  <r>
    <x v="27"/>
    <d v="2016-04-27T00:00:00"/>
    <n v="12422"/>
    <n v="9.8199996948242205"/>
    <n v="9.8199996948242205"/>
    <n v="0"/>
    <n v="6.46000003814697"/>
    <n v="0.43000000715255698"/>
    <n v="2.9300000667571999"/>
    <n v="0"/>
    <n v="60"/>
    <n v="10"/>
    <n v="183"/>
    <n v="1187"/>
    <n v="2852"/>
    <x v="3"/>
    <x v="2"/>
  </r>
  <r>
    <x v="27"/>
    <d v="2016-05-09T00:00:00"/>
    <n v="12465"/>
    <n v="9.3800001144409197"/>
    <n v="9.3800001144409197"/>
    <n v="0"/>
    <n v="6.1199998855590803"/>
    <n v="0.56999999284744296"/>
    <n v="2.6900000572204599"/>
    <n v="0"/>
    <n v="66"/>
    <n v="12"/>
    <n v="148"/>
    <n v="1214"/>
    <n v="2765"/>
    <x v="5"/>
    <x v="2"/>
  </r>
  <r>
    <x v="27"/>
    <d v="2016-04-26T00:00:00"/>
    <n v="12685"/>
    <n v="9.6199998855590803"/>
    <n v="9.6199998855590803"/>
    <n v="0"/>
    <n v="6.3099999427795401"/>
    <n v="0.20000000298023199"/>
    <n v="3.0999999046325701"/>
    <n v="0"/>
    <n v="68"/>
    <n v="5"/>
    <n v="185"/>
    <n v="1182"/>
    <n v="2846"/>
    <x v="6"/>
    <x v="2"/>
  </r>
  <r>
    <x v="27"/>
    <d v="2016-05-06T00:00:00"/>
    <n v="13953"/>
    <n v="11"/>
    <n v="11"/>
    <n v="0"/>
    <n v="9.1000003814697301"/>
    <n v="0.68999999761581399"/>
    <n v="1.21000003814697"/>
    <n v="0"/>
    <n v="90"/>
    <n v="15"/>
    <n v="90"/>
    <n v="1245"/>
    <n v="2859"/>
    <x v="2"/>
    <x v="2"/>
  </r>
  <r>
    <x v="27"/>
    <d v="2016-04-16T00:00:00"/>
    <n v="14549"/>
    <n v="11.1099996566772"/>
    <n v="11.1099996566772"/>
    <n v="0"/>
    <n v="9.3599996566772496"/>
    <n v="0.270000010728836"/>
    <n v="1.4900000095367401"/>
    <n v="0"/>
    <n v="96"/>
    <n v="6"/>
    <n v="83"/>
    <n v="1255"/>
    <n v="2867"/>
    <x v="4"/>
    <x v="2"/>
  </r>
  <r>
    <x v="27"/>
    <d v="2016-05-04T00:00:00"/>
    <n v="14581"/>
    <n v="11.1499996185303"/>
    <n v="11.1499996185303"/>
    <n v="0"/>
    <n v="8.8199996948242205"/>
    <n v="0.40000000596046398"/>
    <n v="1.9099999666214"/>
    <n v="0"/>
    <n v="89"/>
    <n v="8"/>
    <n v="123"/>
    <n v="1220"/>
    <n v="2918"/>
    <x v="3"/>
    <x v="2"/>
  </r>
  <r>
    <x v="27"/>
    <d v="2016-05-10T00:00:00"/>
    <n v="14810"/>
    <n v="11.3599996566772"/>
    <n v="11.3599996566772"/>
    <n v="0"/>
    <n v="9.0900001525878906"/>
    <n v="0.41999998688697798"/>
    <n v="1.8500000238418599"/>
    <n v="0"/>
    <n v="96"/>
    <n v="10"/>
    <n v="115"/>
    <n v="1219"/>
    <n v="2926"/>
    <x v="6"/>
    <x v="2"/>
  </r>
  <r>
    <x v="27"/>
    <d v="2016-05-05T00:00:00"/>
    <n v="14990"/>
    <n v="11.5100002288818"/>
    <n v="11.5100002288818"/>
    <n v="0"/>
    <n v="8.8500003814697301"/>
    <n v="0.44999998807907099"/>
    <n v="2.21000003814697"/>
    <n v="0"/>
    <n v="93"/>
    <n v="9"/>
    <n v="130"/>
    <n v="1208"/>
    <n v="2950"/>
    <x v="0"/>
    <x v="2"/>
  </r>
  <r>
    <x v="27"/>
    <d v="2016-04-20T00:00:00"/>
    <n v="15108"/>
    <n v="12.189999580383301"/>
    <n v="12.189999580383301"/>
    <n v="0"/>
    <n v="9.5799999237060494"/>
    <n v="0.230000004172325"/>
    <n v="2.3800001144409202"/>
    <n v="0"/>
    <n v="89"/>
    <n v="5"/>
    <n v="158"/>
    <n v="695"/>
    <n v="3043"/>
    <x v="3"/>
    <x v="2"/>
  </r>
  <r>
    <x v="27"/>
    <d v="2016-04-28T00:00:00"/>
    <n v="15447"/>
    <n v="12.3999996185303"/>
    <n v="12.3999996185303"/>
    <n v="0"/>
    <n v="9.6700000762939506"/>
    <n v="0.38999998569488498"/>
    <n v="2.3499999046325701"/>
    <n v="0"/>
    <n v="90"/>
    <n v="9"/>
    <n v="153"/>
    <n v="1188"/>
    <n v="3062"/>
    <x v="0"/>
    <x v="2"/>
  </r>
  <r>
    <x v="27"/>
    <d v="2016-05-03T00:00:00"/>
    <n v="15484"/>
    <n v="11.8999996185303"/>
    <n v="11.8999996185303"/>
    <n v="0"/>
    <n v="8.3900003433227504"/>
    <n v="0.93000000715255704"/>
    <n v="2.5899999141693102"/>
    <n v="0"/>
    <n v="87"/>
    <n v="22"/>
    <n v="165"/>
    <n v="1166"/>
    <n v="3023"/>
    <x v="6"/>
    <x v="2"/>
  </r>
  <r>
    <x v="27"/>
    <d v="2016-04-19T00:00:00"/>
    <n v="15929"/>
    <n v="12.4799995422363"/>
    <n v="12.4799995422363"/>
    <n v="0"/>
    <n v="9.2200002670288104"/>
    <n v="0.31000000238418601"/>
    <n v="2.9500000476837198"/>
    <n v="0"/>
    <n v="90"/>
    <n v="7"/>
    <n v="191"/>
    <n v="1152"/>
    <n v="3114"/>
    <x v="6"/>
    <x v="2"/>
  </r>
  <r>
    <x v="27"/>
    <d v="2016-04-21T00:00:00"/>
    <n v="16057"/>
    <n v="12.5100002288818"/>
    <n v="12.5100002288818"/>
    <n v="0"/>
    <n v="9.6700000762939506"/>
    <n v="0.25"/>
    <n v="2.5799999237060498"/>
    <n v="0"/>
    <n v="100"/>
    <n v="6"/>
    <n v="170"/>
    <n v="1164"/>
    <n v="3103"/>
    <x v="0"/>
    <x v="2"/>
  </r>
  <r>
    <x v="27"/>
    <d v="2016-04-13T00:00:00"/>
    <n v="16433"/>
    <n v="13.3500003814697"/>
    <n v="13.3500003814697"/>
    <n v="0"/>
    <n v="10.430000305175801"/>
    <n v="0.46999999880790699"/>
    <n v="2.4500000476837198"/>
    <n v="0"/>
    <n v="95"/>
    <n v="12"/>
    <n v="156"/>
    <n v="1177"/>
    <n v="3140"/>
    <x v="3"/>
    <x v="2"/>
  </r>
  <r>
    <x v="27"/>
    <d v="2016-04-18T00:00:00"/>
    <n v="17076"/>
    <n v="12.6599998474121"/>
    <n v="12.6599998474121"/>
    <n v="0"/>
    <n v="9.0799999237060494"/>
    <n v="0.230000004172325"/>
    <n v="3.3499999046325701"/>
    <n v="0"/>
    <n v="102"/>
    <n v="6"/>
    <n v="195"/>
    <n v="1137"/>
    <n v="3133"/>
    <x v="5"/>
    <x v="2"/>
  </r>
  <r>
    <x v="27"/>
    <d v="2016-04-12T00:00:00"/>
    <n v="18060"/>
    <n v="14.1199998855591"/>
    <n v="14.1199998855591"/>
    <n v="0"/>
    <n v="11.6400003433228"/>
    <n v="0.38999998569488498"/>
    <n v="2.0999999046325701"/>
    <n v="0"/>
    <n v="116"/>
    <n v="8"/>
    <n v="123"/>
    <n v="1193"/>
    <n v="3186"/>
    <x v="6"/>
    <x v="2"/>
  </r>
  <r>
    <x v="27"/>
    <d v="2016-04-17T00:00:00"/>
    <n v="18827"/>
    <n v="13.689999580383301"/>
    <n v="13.689999580383301"/>
    <n v="0"/>
    <n v="9.2399997711181605"/>
    <n v="0.80000001192092896"/>
    <n v="3.6400001049041699"/>
    <n v="0"/>
    <n v="111"/>
    <n v="21"/>
    <n v="195"/>
    <n v="1113"/>
    <n v="3213"/>
    <x v="1"/>
    <x v="2"/>
  </r>
  <r>
    <x v="27"/>
    <d v="2016-05-07T00:00:00"/>
    <n v="19769"/>
    <n v="15.670000076293899"/>
    <n v="15.670000076293899"/>
    <n v="0"/>
    <n v="12.439999580383301"/>
    <n v="0.87999999523162797"/>
    <n v="2.3499999046325701"/>
    <n v="0"/>
    <n v="121"/>
    <n v="20"/>
    <n v="148"/>
    <n v="1076"/>
    <n v="3331"/>
    <x v="4"/>
    <x v="2"/>
  </r>
  <r>
    <x v="27"/>
    <d v="2016-04-14T00:00:00"/>
    <n v="20159"/>
    <n v="15.9700002670288"/>
    <n v="15.9700002670288"/>
    <n v="0"/>
    <n v="12.3400001525879"/>
    <n v="0.20999999344348899"/>
    <n v="3.3599998950958301"/>
    <n v="0"/>
    <n v="119"/>
    <n v="5"/>
    <n v="193"/>
    <n v="1123"/>
    <n v="3411"/>
    <x v="0"/>
    <x v="2"/>
  </r>
  <r>
    <x v="27"/>
    <d v="2016-04-25T00:00:00"/>
    <n v="20500"/>
    <n v="15.689999580383301"/>
    <n v="15.689999580383301"/>
    <n v="0"/>
    <n v="11.3699998855591"/>
    <n v="0.46000000834464999"/>
    <n v="3.8599998950958301"/>
    <n v="0"/>
    <n v="118"/>
    <n v="9"/>
    <n v="209"/>
    <n v="1104"/>
    <n v="3403"/>
    <x v="5"/>
    <x v="2"/>
  </r>
  <r>
    <x v="27"/>
    <d v="2016-04-15T00:00:00"/>
    <n v="20669"/>
    <n v="16.2399997711182"/>
    <n v="16.2399997711182"/>
    <n v="0"/>
    <n v="13.2600002288818"/>
    <n v="0.38999998569488498"/>
    <n v="2.5899999141693102"/>
    <n v="0"/>
    <n v="132"/>
    <n v="8"/>
    <n v="158"/>
    <n v="1142"/>
    <n v="3410"/>
    <x v="2"/>
    <x v="2"/>
  </r>
  <r>
    <x v="27"/>
    <d v="2016-05-08T00:00:00"/>
    <n v="22026"/>
    <n v="17.649999618530298"/>
    <n v="17.649999618530298"/>
    <n v="0"/>
    <n v="13.3999996185303"/>
    <n v="0.58999997377395597"/>
    <n v="3.6600000858306898"/>
    <n v="0"/>
    <n v="125"/>
    <n v="14"/>
    <n v="228"/>
    <n v="1073"/>
    <n v="3589"/>
    <x v="1"/>
    <x v="2"/>
  </r>
  <r>
    <x v="27"/>
    <d v="2016-04-23T00:00:00"/>
    <n v="22359"/>
    <n v="17.190000534057599"/>
    <n v="17.190000534057599"/>
    <n v="0"/>
    <n v="12.539999961853001"/>
    <n v="0.62999999523162797"/>
    <n v="4.0199999809265101"/>
    <n v="0"/>
    <n v="125"/>
    <n v="14"/>
    <n v="223"/>
    <n v="741"/>
    <n v="3554"/>
    <x v="4"/>
    <x v="2"/>
  </r>
  <r>
    <x v="27"/>
    <d v="2016-04-24T00:00:00"/>
    <n v="22988"/>
    <n v="17.950000762939499"/>
    <n v="17.950000762939499"/>
    <n v="0"/>
    <n v="13.1300001144409"/>
    <n v="1.54999995231628"/>
    <n v="3.2599999904632599"/>
    <n v="0"/>
    <n v="129"/>
    <n v="33"/>
    <n v="182"/>
    <n v="1096"/>
    <n v="3577"/>
    <x v="1"/>
    <x v="2"/>
  </r>
  <r>
    <x v="28"/>
    <d v="2016-04-30T00:00:00"/>
    <n v="0"/>
    <n v="0"/>
    <n v="0"/>
    <n v="0"/>
    <n v="0"/>
    <n v="0"/>
    <n v="0"/>
    <n v="0"/>
    <n v="0"/>
    <n v="0"/>
    <n v="0"/>
    <n v="1440"/>
    <n v="0"/>
    <x v="4"/>
    <x v="0"/>
  </r>
  <r>
    <x v="28"/>
    <d v="2016-04-15T00:00:00"/>
    <n v="2672"/>
    <n v="1.7699999809265099"/>
    <n v="1.7699999809265099"/>
    <n v="0"/>
    <n v="0"/>
    <n v="0"/>
    <n v="1.7599999904632599"/>
    <n v="0"/>
    <n v="0"/>
    <n v="0"/>
    <n v="105"/>
    <n v="1335"/>
    <n v="1632"/>
    <x v="2"/>
    <x v="0"/>
  </r>
  <r>
    <x v="28"/>
    <d v="2016-04-28T00:00:00"/>
    <n v="2718"/>
    <n v="1.79999995231628"/>
    <n v="1.79999995231628"/>
    <n v="0"/>
    <n v="0.67000001668930098"/>
    <n v="0.77999997138977095"/>
    <n v="0.34000000357627902"/>
    <n v="0"/>
    <n v="11"/>
    <n v="16"/>
    <n v="20"/>
    <n v="1393"/>
    <n v="1580"/>
    <x v="0"/>
    <x v="0"/>
  </r>
  <r>
    <x v="28"/>
    <d v="2016-04-22T00:00:00"/>
    <n v="2824"/>
    <n v="1.87000000476837"/>
    <n v="1.87000000476837"/>
    <n v="0"/>
    <n v="0"/>
    <n v="0"/>
    <n v="1.87000000476837"/>
    <n v="0"/>
    <n v="0"/>
    <n v="0"/>
    <n v="120"/>
    <n v="1320"/>
    <n v="1651"/>
    <x v="2"/>
    <x v="0"/>
  </r>
  <r>
    <x v="28"/>
    <d v="2016-04-19T00:00:00"/>
    <n v="4212"/>
    <n v="2.7799999713897701"/>
    <n v="2.7799999713897701"/>
    <n v="0"/>
    <n v="0"/>
    <n v="0"/>
    <n v="2.7799999713897701"/>
    <n v="0"/>
    <n v="0"/>
    <n v="0"/>
    <n v="164"/>
    <n v="1276"/>
    <n v="1763"/>
    <x v="6"/>
    <x v="0"/>
  </r>
  <r>
    <x v="28"/>
    <d v="2016-04-26T00:00:00"/>
    <n v="4562"/>
    <n v="3.03999996185303"/>
    <n v="3.03999996185303"/>
    <n v="0"/>
    <n v="1.1799999475479099"/>
    <n v="0.490000009536743"/>
    <n v="1.37000000476837"/>
    <n v="0"/>
    <n v="19"/>
    <n v="14"/>
    <n v="108"/>
    <n v="1299"/>
    <n v="1813"/>
    <x v="6"/>
    <x v="0"/>
  </r>
  <r>
    <x v="28"/>
    <d v="2016-04-18T00:00:00"/>
    <n v="5151"/>
    <n v="3.4800000190734899"/>
    <n v="3.4800000190734899"/>
    <n v="0"/>
    <n v="1.03999996185303"/>
    <n v="0.62999999523162797"/>
    <n v="1.79999995231628"/>
    <n v="0"/>
    <n v="16"/>
    <n v="16"/>
    <n v="130"/>
    <n v="1278"/>
    <n v="1829"/>
    <x v="5"/>
    <x v="3"/>
  </r>
  <r>
    <x v="28"/>
    <d v="2016-04-14T00:00:00"/>
    <n v="5234"/>
    <n v="3.46000003814697"/>
    <n v="3.46000003814697"/>
    <n v="0"/>
    <n v="1.9299999475479099"/>
    <n v="0.99000000953674305"/>
    <n v="0.54000002145767201"/>
    <n v="0"/>
    <n v="29"/>
    <n v="16"/>
    <n v="33"/>
    <n v="1362"/>
    <n v="1705"/>
    <x v="0"/>
    <x v="3"/>
  </r>
  <r>
    <x v="28"/>
    <d v="2016-04-29T00:00:00"/>
    <n v="6260"/>
    <n v="4.2600002288818404"/>
    <n v="4.2600002288818404"/>
    <n v="0"/>
    <n v="1.28999996185303"/>
    <n v="0.54000002145767201"/>
    <n v="2.4000000953674299"/>
    <n v="0"/>
    <n v="16"/>
    <n v="14"/>
    <n v="136"/>
    <n v="1257"/>
    <n v="1854"/>
    <x v="2"/>
    <x v="3"/>
  </r>
  <r>
    <x v="28"/>
    <d v="2016-04-20T00:00:00"/>
    <n v="6466"/>
    <n v="4.2699999809265101"/>
    <n v="4.2699999809265101"/>
    <n v="0"/>
    <n v="0.33000001311302202"/>
    <n v="0.81999999284744296"/>
    <n v="3.1099998950958301"/>
    <n v="9.9999997764825804E-3"/>
    <n v="5"/>
    <n v="18"/>
    <n v="216"/>
    <n v="1201"/>
    <n v="1931"/>
    <x v="3"/>
    <x v="3"/>
  </r>
  <r>
    <x v="28"/>
    <d v="2016-04-25T00:00:00"/>
    <n v="6829"/>
    <n v="4.5100002288818404"/>
    <n v="4.5100002288818404"/>
    <n v="0"/>
    <n v="0.36000001430511502"/>
    <n v="2.3900001049041699"/>
    <n v="1.7699999809265099"/>
    <n v="0"/>
    <n v="7"/>
    <n v="54"/>
    <n v="118"/>
    <n v="1261"/>
    <n v="1909"/>
    <x v="5"/>
    <x v="3"/>
  </r>
  <r>
    <x v="28"/>
    <d v="2016-04-13T00:00:00"/>
    <n v="8053"/>
    <n v="6.0999999046325701"/>
    <n v="6.0999999046325701"/>
    <n v="0"/>
    <n v="4.1700000762939498"/>
    <n v="0.62999999523162797"/>
    <n v="1.3099999427795399"/>
    <n v="0"/>
    <n v="35"/>
    <n v="11"/>
    <n v="96"/>
    <n v="1298"/>
    <n v="1935"/>
    <x v="3"/>
    <x v="1"/>
  </r>
  <r>
    <x v="28"/>
    <d v="2016-04-24T00:00:00"/>
    <n v="8905"/>
    <n v="7.1300001144409197"/>
    <n v="7.1300001144409197"/>
    <n v="0"/>
    <n v="5.5999999046325701"/>
    <n v="0.18999999761581399"/>
    <n v="1.3400000333786"/>
    <n v="0"/>
    <n v="41"/>
    <n v="4"/>
    <n v="82"/>
    <n v="1313"/>
    <n v="1976"/>
    <x v="1"/>
    <x v="1"/>
  </r>
  <r>
    <x v="28"/>
    <d v="2016-04-12T00:00:00"/>
    <n v="9033"/>
    <n v="7.1599998474121103"/>
    <n v="7.1599998474121103"/>
    <n v="0"/>
    <n v="5.4299998283386204"/>
    <n v="0.140000000596046"/>
    <n v="1.5900000333786"/>
    <n v="0"/>
    <n v="40"/>
    <n v="2"/>
    <n v="154"/>
    <n v="1244"/>
    <n v="2044"/>
    <x v="6"/>
    <x v="1"/>
  </r>
  <r>
    <x v="28"/>
    <d v="2016-04-16T00:00:00"/>
    <n v="9256"/>
    <n v="6.1399998664856001"/>
    <n v="6.1399998664856001"/>
    <n v="0"/>
    <n v="0.43000000715255698"/>
    <n v="3.2699999809265101"/>
    <n v="2.4500000476837198"/>
    <n v="0"/>
    <n v="6"/>
    <n v="51"/>
    <n v="115"/>
    <n v="1268"/>
    <n v="1880"/>
    <x v="4"/>
    <x v="1"/>
  </r>
  <r>
    <x v="28"/>
    <d v="2016-04-23T00:00:00"/>
    <n v="9282"/>
    <n v="6.2600002288818404"/>
    <n v="6.2600002288818404"/>
    <n v="0"/>
    <n v="2.0899999141693102"/>
    <n v="1.03999996185303"/>
    <n v="3.1300001144409202"/>
    <n v="0"/>
    <n v="30"/>
    <n v="26"/>
    <n v="191"/>
    <n v="1193"/>
    <n v="2132"/>
    <x v="4"/>
    <x v="1"/>
  </r>
  <r>
    <x v="28"/>
    <d v="2016-04-17T00:00:00"/>
    <n v="10204"/>
    <n v="7.9099998474121103"/>
    <n v="7.9099998474121103"/>
    <n v="0"/>
    <n v="5.4299998283386204"/>
    <n v="0.15000000596046401"/>
    <n v="2.3299999237060498"/>
    <n v="0"/>
    <n v="41"/>
    <n v="5"/>
    <n v="157"/>
    <n v="1237"/>
    <n v="2112"/>
    <x v="1"/>
    <x v="2"/>
  </r>
  <r>
    <x v="28"/>
    <d v="2016-04-27T00:00:00"/>
    <n v="10232"/>
    <n v="8.1800003051757795"/>
    <n v="8.1800003051757795"/>
    <n v="0"/>
    <n v="6.2399997711181596"/>
    <n v="0.230000004172325"/>
    <n v="1.70000004768372"/>
    <n v="0"/>
    <n v="45"/>
    <n v="5"/>
    <n v="104"/>
    <n v="1286"/>
    <n v="2008"/>
    <x v="3"/>
    <x v="2"/>
  </r>
  <r>
    <x v="28"/>
    <d v="2016-04-21T00:00:00"/>
    <n v="11268"/>
    <n v="8.5600004196166992"/>
    <n v="8.5600004196166992"/>
    <n v="0"/>
    <n v="5.8800001144409197"/>
    <n v="0.93000000715255704"/>
    <n v="1.75"/>
    <n v="0"/>
    <n v="49"/>
    <n v="20"/>
    <n v="172"/>
    <n v="1199"/>
    <n v="2218"/>
    <x v="0"/>
    <x v="2"/>
  </r>
  <r>
    <x v="29"/>
    <d v="2016-04-17T00:00:00"/>
    <n v="2132"/>
    <n v="1.6900000572204601"/>
    <n v="1.6900000572204601"/>
    <n v="0"/>
    <n v="0"/>
    <n v="0"/>
    <n v="1.6900000572204601"/>
    <n v="0"/>
    <n v="0"/>
    <n v="0"/>
    <n v="93"/>
    <n v="599"/>
    <n v="2572"/>
    <x v="1"/>
    <x v="0"/>
  </r>
  <r>
    <x v="29"/>
    <d v="2016-05-08T00:00:00"/>
    <n v="2943"/>
    <n v="2.3299999237060498"/>
    <n v="2.3299999237060498"/>
    <n v="0"/>
    <n v="0"/>
    <n v="0"/>
    <n v="2.3299999237060498"/>
    <n v="0"/>
    <n v="0"/>
    <n v="0"/>
    <n v="139"/>
    <n v="621"/>
    <n v="2685"/>
    <x v="1"/>
    <x v="0"/>
  </r>
  <r>
    <x v="29"/>
    <d v="2016-04-30T00:00:00"/>
    <n v="2946"/>
    <n v="2.3399999141693102"/>
    <n v="2.3399999141693102"/>
    <n v="0"/>
    <n v="0"/>
    <n v="0"/>
    <n v="2.3399999141693102"/>
    <n v="0"/>
    <n v="0"/>
    <n v="0"/>
    <n v="121"/>
    <n v="780"/>
    <n v="2660"/>
    <x v="4"/>
    <x v="0"/>
  </r>
  <r>
    <x v="29"/>
    <d v="2016-04-24T00:00:00"/>
    <n v="3703"/>
    <n v="2.9400000572204599"/>
    <n v="2.9400000572204599"/>
    <n v="0"/>
    <n v="0"/>
    <n v="0"/>
    <n v="2.9400000572204599"/>
    <n v="0"/>
    <n v="0"/>
    <n v="0"/>
    <n v="135"/>
    <n v="734"/>
    <n v="2741"/>
    <x v="1"/>
    <x v="0"/>
  </r>
  <r>
    <x v="29"/>
    <d v="2016-05-07T00:00:00"/>
    <n v="4468"/>
    <n v="3.53999996185303"/>
    <n v="3.53999996185303"/>
    <n v="0"/>
    <n v="0"/>
    <n v="0"/>
    <n v="3.53999996185303"/>
    <n v="0"/>
    <n v="0"/>
    <n v="0"/>
    <n v="158"/>
    <n v="851"/>
    <n v="2799"/>
    <x v="4"/>
    <x v="0"/>
  </r>
  <r>
    <x v="29"/>
    <d v="2016-05-12T00:00:00"/>
    <n v="4561"/>
    <n v="3.6199998855590798"/>
    <n v="3.6199998855590798"/>
    <n v="0"/>
    <n v="0.64999997615814198"/>
    <n v="0.270000010728836"/>
    <n v="2.6900000572204599"/>
    <n v="0"/>
    <n v="8"/>
    <n v="6"/>
    <n v="102"/>
    <n v="433"/>
    <n v="1976"/>
    <x v="0"/>
    <x v="0"/>
  </r>
  <r>
    <x v="29"/>
    <d v="2016-04-28T00:00:00"/>
    <n v="5417"/>
    <n v="4.3000001907348597"/>
    <n v="4.3000001907348597"/>
    <n v="0"/>
    <n v="0.89999997615814198"/>
    <n v="0.490000009536743"/>
    <n v="2.9100000858306898"/>
    <n v="0"/>
    <n v="11"/>
    <n v="10"/>
    <n v="139"/>
    <n v="711"/>
    <n v="2884"/>
    <x v="0"/>
    <x v="3"/>
  </r>
  <r>
    <x v="29"/>
    <d v="2016-04-23T00:00:00"/>
    <n v="5709"/>
    <n v="4.5300002098083496"/>
    <n v="4.5300002098083496"/>
    <n v="0"/>
    <n v="1.5199999809265099"/>
    <n v="0.519999980926514"/>
    <n v="2.4800000190734899"/>
    <n v="0"/>
    <n v="19"/>
    <n v="10"/>
    <n v="136"/>
    <n v="740"/>
    <n v="2908"/>
    <x v="4"/>
    <x v="3"/>
  </r>
  <r>
    <x v="29"/>
    <d v="2016-05-02T00:00:00"/>
    <n v="6064"/>
    <n v="4.8099999427795401"/>
    <n v="4.8099999427795401"/>
    <n v="2.0921471118927002"/>
    <n v="0.62999999523162797"/>
    <n v="0.17000000178813901"/>
    <n v="4.0100002288818404"/>
    <n v="0"/>
    <n v="63"/>
    <n v="4"/>
    <n v="142"/>
    <n v="802"/>
    <n v="3491"/>
    <x v="5"/>
    <x v="3"/>
  </r>
  <r>
    <x v="29"/>
    <d v="2016-04-29T00:00:00"/>
    <n v="6175"/>
    <n v="4.9000000953674299"/>
    <n v="4.9000000953674299"/>
    <n v="0"/>
    <n v="0.25"/>
    <n v="0.36000001430511502"/>
    <n v="4.2699999809265101"/>
    <n v="0"/>
    <n v="3"/>
    <n v="7"/>
    <n v="172"/>
    <n v="767"/>
    <n v="2982"/>
    <x v="2"/>
    <x v="3"/>
  </r>
  <r>
    <x v="29"/>
    <d v="2016-05-10T00:00:00"/>
    <n v="6582"/>
    <n v="5.2199997901916504"/>
    <n v="5.2199997901916504"/>
    <n v="2.2530810832977299"/>
    <n v="0.66000002622604403"/>
    <n v="0.63999998569488503"/>
    <n v="3.9200000762939502"/>
    <n v="0"/>
    <n v="63"/>
    <n v="13"/>
    <n v="152"/>
    <n v="840"/>
    <n v="3586"/>
    <x v="6"/>
    <x v="3"/>
  </r>
  <r>
    <x v="29"/>
    <d v="2016-05-06T00:00:00"/>
    <n v="7045"/>
    <n v="5.5900001525878897"/>
    <n v="5.5900001525878897"/>
    <n v="2.0921471118927002"/>
    <n v="1.54999995231628"/>
    <n v="0.25"/>
    <n v="3.7799999713897701"/>
    <n v="0"/>
    <n v="74"/>
    <n v="5"/>
    <n v="166"/>
    <n v="831"/>
    <n v="3644"/>
    <x v="2"/>
    <x v="3"/>
  </r>
  <r>
    <x v="29"/>
    <d v="2016-04-27T00:00:00"/>
    <n v="7359"/>
    <n v="5.8400001525878897"/>
    <n v="5.8400001525878897"/>
    <n v="0"/>
    <n v="0.33000001311302202"/>
    <n v="0.18000000715255701"/>
    <n v="5.3299999237060502"/>
    <n v="0"/>
    <n v="4"/>
    <n v="4"/>
    <n v="192"/>
    <n v="676"/>
    <n v="3061"/>
    <x v="3"/>
    <x v="3"/>
  </r>
  <r>
    <x v="29"/>
    <d v="2016-04-12T00:00:00"/>
    <n v="7626"/>
    <n v="6.0500001907348597"/>
    <n v="6.0500001907348597"/>
    <n v="2.2530810832977299"/>
    <n v="0.82999998331069902"/>
    <n v="0.70999997854232799"/>
    <n v="4.5"/>
    <n v="0"/>
    <n v="65"/>
    <n v="15"/>
    <n v="156"/>
    <n v="723"/>
    <n v="3635"/>
    <x v="6"/>
    <x v="1"/>
  </r>
  <r>
    <x v="29"/>
    <d v="2016-05-04T00:00:00"/>
    <n v="7875"/>
    <n v="6.2399997711181596"/>
    <n v="6.2399997711181596"/>
    <n v="0"/>
    <n v="1.5599999427795399"/>
    <n v="0.490000009536743"/>
    <n v="4.1999998092651403"/>
    <n v="0"/>
    <n v="19"/>
    <n v="10"/>
    <n v="167"/>
    <n v="680"/>
    <n v="3110"/>
    <x v="3"/>
    <x v="1"/>
  </r>
  <r>
    <x v="29"/>
    <d v="2016-05-09T00:00:00"/>
    <n v="8382"/>
    <n v="6.6500000953674299"/>
    <n v="6.6500000953674299"/>
    <n v="2.0921471118927002"/>
    <n v="1.2699999809265099"/>
    <n v="0.66000002622604403"/>
    <n v="4.7199997901916504"/>
    <n v="0"/>
    <n v="71"/>
    <n v="13"/>
    <n v="171"/>
    <n v="772"/>
    <n v="3721"/>
    <x v="5"/>
    <x v="1"/>
  </r>
  <r>
    <x v="29"/>
    <d v="2016-05-05T00:00:00"/>
    <n v="8567"/>
    <n v="6.78999996185303"/>
    <n v="6.78999996185303"/>
    <n v="2.2530810832977299"/>
    <n v="0.88999998569488503"/>
    <n v="0.15999999642372101"/>
    <n v="5.7399997711181596"/>
    <n v="0"/>
    <n v="66"/>
    <n v="3"/>
    <n v="214"/>
    <n v="764"/>
    <n v="3783"/>
    <x v="0"/>
    <x v="1"/>
  </r>
  <r>
    <x v="29"/>
    <d v="2016-05-03T00:00:00"/>
    <n v="8712"/>
    <n v="6.9099998474121103"/>
    <n v="6.9099998474121103"/>
    <n v="2.2530810832977299"/>
    <n v="1.3400000333786"/>
    <n v="1.0599999427795399"/>
    <n v="4.5"/>
    <n v="0"/>
    <n v="71"/>
    <n v="20"/>
    <n v="195"/>
    <n v="822"/>
    <n v="3784"/>
    <x v="6"/>
    <x v="1"/>
  </r>
  <r>
    <x v="29"/>
    <d v="2016-05-11T00:00:00"/>
    <n v="9143"/>
    <n v="7.25"/>
    <n v="7.25"/>
    <n v="2.0921471118927002"/>
    <n v="1.3899999856948899"/>
    <n v="0.58999997377395597"/>
    <n v="5.2699999809265101"/>
    <n v="0"/>
    <n v="72"/>
    <n v="10"/>
    <n v="184"/>
    <n v="763"/>
    <n v="3788"/>
    <x v="3"/>
    <x v="1"/>
  </r>
  <r>
    <x v="29"/>
    <d v="2016-04-20T00:00:00"/>
    <n v="9388"/>
    <n v="7.4400000572204599"/>
    <n v="7.4400000572204599"/>
    <n v="2.0921471118927002"/>
    <n v="2.2300000190734899"/>
    <n v="0.43999999761581399"/>
    <n v="4.7800002098083496"/>
    <n v="0"/>
    <n v="82"/>
    <n v="8"/>
    <n v="169"/>
    <n v="763"/>
    <n v="3787"/>
    <x v="3"/>
    <x v="1"/>
  </r>
  <r>
    <x v="29"/>
    <d v="2016-04-16T00:00:00"/>
    <n v="11207"/>
    <n v="8.8900003433227504"/>
    <n v="8.8900003433227504"/>
    <n v="0"/>
    <n v="5.3699998855590803"/>
    <n v="1.0700000524520901"/>
    <n v="2.4400000572204599"/>
    <n v="0"/>
    <n v="64"/>
    <n v="21"/>
    <n v="142"/>
    <n v="563"/>
    <n v="3363"/>
    <x v="4"/>
    <x v="2"/>
  </r>
  <r>
    <x v="29"/>
    <d v="2016-05-01T00:00:00"/>
    <n v="11419"/>
    <n v="9.0600004196166992"/>
    <n v="9.0600004196166992"/>
    <n v="0"/>
    <n v="6.0300002098083496"/>
    <n v="0.56000000238418601"/>
    <n v="2.4700000286102299"/>
    <n v="0"/>
    <n v="71"/>
    <n v="10"/>
    <n v="127"/>
    <n v="669"/>
    <n v="3369"/>
    <x v="1"/>
    <x v="2"/>
  </r>
  <r>
    <x v="29"/>
    <d v="2016-04-22T00:00:00"/>
    <n v="12200"/>
    <n v="9.6700000762939506"/>
    <n v="9.6700000762939506"/>
    <n v="2.0921471118927002"/>
    <n v="4.9099998474121103"/>
    <n v="0.58999997377395597"/>
    <n v="4.1799998283386204"/>
    <n v="0"/>
    <n v="113"/>
    <n v="12"/>
    <n v="159"/>
    <n v="769"/>
    <n v="4044"/>
    <x v="2"/>
    <x v="2"/>
  </r>
  <r>
    <x v="29"/>
    <d v="2016-04-13T00:00:00"/>
    <n v="12386"/>
    <n v="9.8199996948242205"/>
    <n v="9.8199996948242205"/>
    <n v="2.0921471118927002"/>
    <n v="4.96000003814697"/>
    <n v="0.64999997615814198"/>
    <n v="4.21000003814697"/>
    <n v="0"/>
    <n v="116"/>
    <n v="14"/>
    <n v="169"/>
    <n v="680"/>
    <n v="4079"/>
    <x v="3"/>
    <x v="2"/>
  </r>
  <r>
    <x v="29"/>
    <d v="2016-04-25T00:00:00"/>
    <n v="12405"/>
    <n v="9.8400001525878906"/>
    <n v="9.8400001525878906"/>
    <n v="2.0921471118927002"/>
    <n v="5.0500001907348597"/>
    <n v="0.87000000476837203"/>
    <n v="3.9200000762939502"/>
    <n v="0"/>
    <n v="117"/>
    <n v="16"/>
    <n v="141"/>
    <n v="692"/>
    <n v="4005"/>
    <x v="5"/>
    <x v="2"/>
  </r>
  <r>
    <x v="29"/>
    <d v="2016-04-19T00:00:00"/>
    <n v="13070"/>
    <n v="10.3599996566772"/>
    <n v="10.3599996566772"/>
    <n v="2.2530810832977299"/>
    <n v="5.3000001907348597"/>
    <n v="0.87999999523162797"/>
    <n v="4.1799998283386204"/>
    <n v="0"/>
    <n v="120"/>
    <n v="19"/>
    <n v="154"/>
    <n v="737"/>
    <n v="4092"/>
    <x v="6"/>
    <x v="2"/>
  </r>
  <r>
    <x v="29"/>
    <d v="2016-04-14T00:00:00"/>
    <n v="13318"/>
    <n v="10.560000419616699"/>
    <n v="10.560000419616699"/>
    <n v="2.2530810832977299"/>
    <n v="5.6199998855590803"/>
    <n v="1.0299999713897701"/>
    <n v="3.9100000858306898"/>
    <n v="0"/>
    <n v="123"/>
    <n v="21"/>
    <n v="174"/>
    <n v="699"/>
    <n v="4163"/>
    <x v="0"/>
    <x v="2"/>
  </r>
  <r>
    <x v="29"/>
    <d v="2016-04-18T00:00:00"/>
    <n v="13630"/>
    <n v="10.810000419616699"/>
    <n v="10.810000419616699"/>
    <n v="2.0921471118927002"/>
    <n v="5.0500001907348597"/>
    <n v="0.56000000238418601"/>
    <n v="5.1999998092651403"/>
    <n v="0"/>
    <n v="117"/>
    <n v="10"/>
    <n v="174"/>
    <n v="720"/>
    <n v="4157"/>
    <x v="5"/>
    <x v="2"/>
  </r>
  <r>
    <x v="29"/>
    <d v="2016-04-15T00:00:00"/>
    <n v="14461"/>
    <n v="11.4700002670288"/>
    <n v="11.4700002670288"/>
    <n v="0"/>
    <n v="4.9099998474121103"/>
    <n v="1.1499999761581401"/>
    <n v="5.4099998474121103"/>
    <n v="0"/>
    <n v="60"/>
    <n v="23"/>
    <n v="190"/>
    <n v="729"/>
    <n v="3666"/>
    <x v="2"/>
    <x v="2"/>
  </r>
  <r>
    <x v="29"/>
    <d v="2016-04-21T00:00:00"/>
    <n v="15148"/>
    <n v="12.0100002288818"/>
    <n v="12.0100002288818"/>
    <n v="2.2530810832977299"/>
    <n v="6.9000000953674299"/>
    <n v="0.81999999284744296"/>
    <n v="4.28999996185303"/>
    <n v="0"/>
    <n v="137"/>
    <n v="16"/>
    <n v="145"/>
    <n v="677"/>
    <n v="4236"/>
    <x v="0"/>
    <x v="2"/>
  </r>
  <r>
    <x v="29"/>
    <d v="2016-04-26T00:00:00"/>
    <n v="16208"/>
    <n v="12.8500003814697"/>
    <n v="12.8500003814697"/>
    <n v="0"/>
    <n v="7.5100002288818404"/>
    <n v="0.92000001668930098"/>
    <n v="4.4200000762939498"/>
    <n v="0"/>
    <n v="90"/>
    <n v="18"/>
    <n v="161"/>
    <n v="593"/>
    <n v="3763"/>
    <x v="6"/>
    <x v="2"/>
  </r>
  <r>
    <x v="30"/>
    <d v="2016-05-12T00:00:00"/>
    <n v="0"/>
    <n v="0"/>
    <n v="0"/>
    <n v="0"/>
    <n v="0"/>
    <n v="0"/>
    <n v="0"/>
    <n v="0"/>
    <n v="0"/>
    <n v="0"/>
    <n v="0"/>
    <n v="1440"/>
    <n v="0"/>
    <x v="0"/>
    <x v="0"/>
  </r>
  <r>
    <x v="30"/>
    <d v="2016-04-17T00:00:00"/>
    <n v="3008"/>
    <n v="2.3499999046325701"/>
    <n v="2.3499999046325701"/>
    <n v="0"/>
    <n v="0"/>
    <n v="0"/>
    <n v="0"/>
    <n v="0"/>
    <n v="0"/>
    <n v="0"/>
    <n v="0"/>
    <n v="1440"/>
    <n v="2439"/>
    <x v="1"/>
    <x v="0"/>
  </r>
  <r>
    <x v="30"/>
    <d v="2016-04-14T00:00:00"/>
    <n v="3135"/>
    <n v="2.4500000476837198"/>
    <n v="2.4500000476837198"/>
    <n v="0"/>
    <n v="0"/>
    <n v="0"/>
    <n v="2.4300000667571999"/>
    <n v="0"/>
    <n v="0"/>
    <n v="0"/>
    <n v="134"/>
    <n v="1306"/>
    <n v="2443"/>
    <x v="0"/>
    <x v="0"/>
  </r>
  <r>
    <x v="30"/>
    <d v="2016-04-15T00:00:00"/>
    <n v="3430"/>
    <n v="2.6800000667571999"/>
    <n v="2.6800000667571999"/>
    <n v="0"/>
    <n v="0"/>
    <n v="0"/>
    <n v="0.89999997615814198"/>
    <n v="0"/>
    <n v="0"/>
    <n v="0"/>
    <n v="65"/>
    <n v="1375"/>
    <n v="2505"/>
    <x v="2"/>
    <x v="0"/>
  </r>
  <r>
    <x v="30"/>
    <d v="2016-05-04T00:00:00"/>
    <n v="3588"/>
    <n v="2.7999999523162802"/>
    <n v="2.7999999523162802"/>
    <n v="0"/>
    <n v="0"/>
    <n v="0"/>
    <n v="0"/>
    <n v="0"/>
    <n v="0"/>
    <n v="0"/>
    <n v="0"/>
    <n v="1440"/>
    <n v="2516"/>
    <x v="3"/>
    <x v="0"/>
  </r>
  <r>
    <x v="30"/>
    <d v="2016-04-18T00:00:00"/>
    <n v="3864"/>
    <n v="3.0099999904632599"/>
    <n v="3.0099999904632599"/>
    <n v="0"/>
    <n v="0.31000000238418601"/>
    <n v="1.0599999427795399"/>
    <n v="1.3500000238418599"/>
    <n v="0"/>
    <n v="4"/>
    <n v="22"/>
    <n v="105"/>
    <n v="1309"/>
    <n v="2536"/>
    <x v="5"/>
    <x v="0"/>
  </r>
  <r>
    <x v="30"/>
    <d v="2016-04-25T00:00:00"/>
    <n v="4503"/>
    <n v="3.5099999904632599"/>
    <n v="3.5099999904632599"/>
    <n v="0"/>
    <n v="1.4700000286102299"/>
    <n v="0.239999994635582"/>
    <n v="1.8099999427795399"/>
    <n v="0"/>
    <n v="18"/>
    <n v="6"/>
    <n v="122"/>
    <n v="1294"/>
    <n v="2547"/>
    <x v="5"/>
    <x v="0"/>
  </r>
  <r>
    <x v="30"/>
    <d v="2016-05-01T00:00:00"/>
    <n v="4512"/>
    <n v="3.5199999809265101"/>
    <n v="3.5199999809265101"/>
    <n v="0"/>
    <n v="0.77999997138977095"/>
    <n v="0.119999997317791"/>
    <n v="2.03999996185303"/>
    <n v="0"/>
    <n v="10"/>
    <n v="2"/>
    <n v="117"/>
    <n v="1311"/>
    <n v="2596"/>
    <x v="1"/>
    <x v="0"/>
  </r>
  <r>
    <x v="30"/>
    <d v="2016-04-12T00:00:00"/>
    <n v="5014"/>
    <n v="3.9100000858306898"/>
    <n v="3.9100000858306898"/>
    <n v="0"/>
    <n v="0"/>
    <n v="0.33000001311302202"/>
    <n v="3.5799999237060498"/>
    <n v="0"/>
    <n v="0"/>
    <n v="7"/>
    <n v="196"/>
    <n v="1237"/>
    <n v="2650"/>
    <x v="6"/>
    <x v="3"/>
  </r>
  <r>
    <x v="30"/>
    <d v="2016-04-20T00:00:00"/>
    <n v="5273"/>
    <n v="4.1100001335143999"/>
    <n v="4.1100001335143999"/>
    <n v="0"/>
    <n v="0"/>
    <n v="1.03999996185303"/>
    <n v="3.0699999332428001"/>
    <n v="0"/>
    <n v="0"/>
    <n v="27"/>
    <n v="167"/>
    <n v="1246"/>
    <n v="2647"/>
    <x v="3"/>
    <x v="3"/>
  </r>
  <r>
    <x v="30"/>
    <d v="2016-04-16T00:00:00"/>
    <n v="5319"/>
    <n v="4.1500000953674299"/>
    <n v="4.1500000953674299"/>
    <n v="0"/>
    <n v="0"/>
    <n v="0"/>
    <n v="0"/>
    <n v="0"/>
    <n v="0"/>
    <n v="0"/>
    <n v="0"/>
    <n v="1440"/>
    <n v="2693"/>
    <x v="4"/>
    <x v="3"/>
  </r>
  <r>
    <x v="30"/>
    <d v="2016-04-13T00:00:00"/>
    <n v="5571"/>
    <n v="4.3499999046325701"/>
    <n v="4.3499999046325701"/>
    <n v="0"/>
    <n v="0.15000000596046401"/>
    <n v="0.97000002861022905"/>
    <n v="3.2300000190734899"/>
    <n v="0"/>
    <n v="2"/>
    <n v="23"/>
    <n v="163"/>
    <n v="1252"/>
    <n v="2654"/>
    <x v="3"/>
    <x v="3"/>
  </r>
  <r>
    <x v="30"/>
    <d v="2016-04-19T00:00:00"/>
    <n v="5697"/>
    <n v="4.4400000572204599"/>
    <n v="4.4400000572204599"/>
    <n v="0"/>
    <n v="0.52999997138977095"/>
    <n v="0.479999989271164"/>
    <n v="3.4400000572204599"/>
    <n v="0"/>
    <n v="7"/>
    <n v="10"/>
    <n v="166"/>
    <n v="1257"/>
    <n v="2668"/>
    <x v="6"/>
    <x v="3"/>
  </r>
  <r>
    <x v="30"/>
    <d v="2016-05-06T00:00:00"/>
    <n v="5843"/>
    <n v="4.5599999427795401"/>
    <n v="4.5599999427795401"/>
    <n v="0"/>
    <n v="0.140000000596046"/>
    <n v="1.1900000572204601"/>
    <n v="3.2300000190734899"/>
    <n v="0"/>
    <n v="2"/>
    <n v="22"/>
    <n v="166"/>
    <n v="1250"/>
    <n v="2683"/>
    <x v="2"/>
    <x v="3"/>
  </r>
  <r>
    <x v="30"/>
    <d v="2016-05-07T00:00:00"/>
    <n v="6117"/>
    <n v="4.7699999809265101"/>
    <n v="4.7699999809265101"/>
    <n v="0"/>
    <n v="0"/>
    <n v="0"/>
    <n v="4.7699999809265101"/>
    <n v="0"/>
    <n v="0"/>
    <n v="0"/>
    <n v="250"/>
    <n v="1190"/>
    <n v="2810"/>
    <x v="4"/>
    <x v="3"/>
  </r>
  <r>
    <x v="30"/>
    <d v="2016-04-28T00:00:00"/>
    <n v="6174"/>
    <n v="4.8200001716613796"/>
    <n v="4.8200001716613796"/>
    <n v="0"/>
    <n v="0"/>
    <n v="1.20000004768372"/>
    <n v="3.6099998950958301"/>
    <n v="0"/>
    <n v="0"/>
    <n v="28"/>
    <n v="203"/>
    <n v="1209"/>
    <n v="2757"/>
    <x v="0"/>
    <x v="3"/>
  </r>
  <r>
    <x v="30"/>
    <d v="2016-05-10T00:00:00"/>
    <n v="8240"/>
    <n v="6.4299998283386204"/>
    <n v="6.4299998283386204"/>
    <n v="0"/>
    <n v="0.68999999761581399"/>
    <n v="2.0099999904632599"/>
    <n v="3.7200000286102299"/>
    <n v="0"/>
    <n v="9"/>
    <n v="43"/>
    <n v="162"/>
    <n v="1226"/>
    <n v="2846"/>
    <x v="6"/>
    <x v="1"/>
  </r>
  <r>
    <x v="30"/>
    <d v="2016-04-24T00:00:00"/>
    <n v="8286"/>
    <n v="6.46000003814697"/>
    <n v="6.46000003814697"/>
    <n v="0"/>
    <n v="0.15000000596046401"/>
    <n v="2.0499999523162802"/>
    <n v="4.2699999809265101"/>
    <n v="0"/>
    <n v="2"/>
    <n v="44"/>
    <n v="206"/>
    <n v="1188"/>
    <n v="2889"/>
    <x v="1"/>
    <x v="1"/>
  </r>
  <r>
    <x v="30"/>
    <d v="2016-05-02T00:00:00"/>
    <n v="8469"/>
    <n v="6.6100001335143999"/>
    <n v="6.6100001335143999"/>
    <n v="0"/>
    <n v="0"/>
    <n v="0"/>
    <n v="0"/>
    <n v="0"/>
    <n v="0"/>
    <n v="0"/>
    <n v="0"/>
    <n v="1440"/>
    <n v="2894"/>
    <x v="5"/>
    <x v="1"/>
  </r>
  <r>
    <x v="30"/>
    <d v="2016-04-21T00:00:00"/>
    <n v="8538"/>
    <n v="6.6599998474121103"/>
    <n v="6.6599998474121103"/>
    <n v="0"/>
    <n v="2.6300001144409202"/>
    <n v="1.0199999809265099"/>
    <n v="3.0099999904632599"/>
    <n v="0"/>
    <n v="35"/>
    <n v="18"/>
    <n v="158"/>
    <n v="1229"/>
    <n v="2883"/>
    <x v="0"/>
    <x v="1"/>
  </r>
  <r>
    <x v="30"/>
    <d v="2016-04-22T00:00:00"/>
    <n v="8687"/>
    <n v="6.7800002098083496"/>
    <n v="6.7800002098083496"/>
    <n v="0"/>
    <n v="0.28999999165535001"/>
    <n v="2.4100000858306898"/>
    <n v="4.0799999237060502"/>
    <n v="0"/>
    <n v="4"/>
    <n v="54"/>
    <n v="212"/>
    <n v="1170"/>
    <n v="2944"/>
    <x v="2"/>
    <x v="1"/>
  </r>
  <r>
    <x v="30"/>
    <d v="2016-05-11T00:00:00"/>
    <n v="8701"/>
    <n v="6.78999996185303"/>
    <n v="6.78999996185303"/>
    <n v="0"/>
    <n v="0.37000000476837203"/>
    <n v="3.2400000095367401"/>
    <n v="3.1700000762939502"/>
    <n v="0"/>
    <n v="5"/>
    <n v="71"/>
    <n v="177"/>
    <n v="1106"/>
    <n v="2804"/>
    <x v="3"/>
    <x v="1"/>
  </r>
  <r>
    <x v="30"/>
    <d v="2016-05-08T00:00:00"/>
    <n v="9217"/>
    <n v="7.1900000572204599"/>
    <n v="7.1900000572204599"/>
    <n v="0"/>
    <n v="0.21999999880790699"/>
    <n v="3.3099999427795401"/>
    <n v="3.6600000858306898"/>
    <n v="0"/>
    <n v="3"/>
    <n v="72"/>
    <n v="182"/>
    <n v="1183"/>
    <n v="2940"/>
    <x v="1"/>
    <x v="1"/>
  </r>
  <r>
    <x v="30"/>
    <d v="2016-04-23T00:00:00"/>
    <n v="9423"/>
    <n v="7.3499999046325701"/>
    <n v="7.3499999046325701"/>
    <n v="0"/>
    <n v="0.52999997138977095"/>
    <n v="2.0299999713897701"/>
    <n v="4.75"/>
    <n v="0"/>
    <n v="7"/>
    <n v="44"/>
    <n v="238"/>
    <n v="1151"/>
    <n v="3012"/>
    <x v="4"/>
    <x v="1"/>
  </r>
  <r>
    <x v="30"/>
    <d v="2016-05-09T00:00:00"/>
    <n v="9877"/>
    <n v="7.6999998092651403"/>
    <n v="7.6999998092651403"/>
    <n v="0"/>
    <n v="5.7600002288818404"/>
    <n v="0.17000000178813901"/>
    <n v="1.7300000190734901"/>
    <n v="0"/>
    <n v="66"/>
    <n v="4"/>
    <n v="110"/>
    <n v="1260"/>
    <n v="2947"/>
    <x v="5"/>
    <x v="1"/>
  </r>
  <r>
    <x v="30"/>
    <d v="2016-04-30T00:00:00"/>
    <n v="10085"/>
    <n v="7.8699998855590803"/>
    <n v="7.8699998855590803"/>
    <n v="0"/>
    <n v="0.15000000596046401"/>
    <n v="1.2799999713897701"/>
    <n v="6.4299998283386204"/>
    <n v="0"/>
    <n v="2"/>
    <n v="28"/>
    <n v="317"/>
    <n v="1093"/>
    <n v="3164"/>
    <x v="4"/>
    <x v="2"/>
  </r>
  <r>
    <x v="30"/>
    <d v="2016-04-26T00:00:00"/>
    <n v="10499"/>
    <n v="8.1899995803833008"/>
    <n v="8.1899995803833008"/>
    <n v="0"/>
    <n v="7.0000000298023196E-2"/>
    <n v="4.2199997901916504"/>
    <n v="3.8900001049041699"/>
    <n v="0"/>
    <n v="1"/>
    <n v="91"/>
    <n v="214"/>
    <n v="1134"/>
    <n v="3093"/>
    <x v="6"/>
    <x v="2"/>
  </r>
  <r>
    <x v="30"/>
    <d v="2016-05-03T00:00:00"/>
    <n v="12015"/>
    <n v="9.3699998855590803"/>
    <n v="9.3699998855590803"/>
    <n v="0"/>
    <n v="0"/>
    <n v="0"/>
    <n v="0"/>
    <n v="0"/>
    <n v="0"/>
    <n v="0"/>
    <n v="0"/>
    <n v="1440"/>
    <n v="3212"/>
    <x v="6"/>
    <x v="2"/>
  </r>
  <r>
    <x v="30"/>
    <d v="2016-05-05T00:00:00"/>
    <n v="12427"/>
    <n v="9.6899995803833008"/>
    <n v="9.6899995803833008"/>
    <n v="0"/>
    <n v="0"/>
    <n v="0"/>
    <n v="1.1799999475479099"/>
    <n v="0"/>
    <n v="0"/>
    <n v="0"/>
    <n v="70"/>
    <n v="1370"/>
    <n v="3266"/>
    <x v="0"/>
    <x v="2"/>
  </r>
  <r>
    <x v="30"/>
    <d v="2016-04-27T00:00:00"/>
    <n v="12474"/>
    <n v="9.7299995422363299"/>
    <n v="9.7299995422363299"/>
    <n v="0"/>
    <n v="6.5999999046325701"/>
    <n v="0.270000010728836"/>
    <n v="2.8699998855590798"/>
    <n v="0"/>
    <n v="77"/>
    <n v="5"/>
    <n v="129"/>
    <n v="1229"/>
    <n v="3142"/>
    <x v="3"/>
    <x v="2"/>
  </r>
  <r>
    <x v="30"/>
    <d v="2016-04-29T00:00:00"/>
    <n v="15168"/>
    <n v="11.829999923706101"/>
    <n v="11.829999923706101"/>
    <n v="0"/>
    <n v="3.9000000953674299"/>
    <n v="3"/>
    <n v="4.9200000762939498"/>
    <n v="0"/>
    <n v="46"/>
    <n v="67"/>
    <n v="258"/>
    <n v="1069"/>
    <n v="3513"/>
    <x v="2"/>
    <x v="2"/>
  </r>
  <r>
    <x v="31"/>
    <d v="2016-04-17T00:00:00"/>
    <n v="0"/>
    <n v="0"/>
    <n v="0"/>
    <n v="0"/>
    <n v="0"/>
    <n v="0"/>
    <n v="0"/>
    <n v="0"/>
    <n v="0"/>
    <n v="0"/>
    <n v="0"/>
    <n v="1440"/>
    <n v="1688"/>
    <x v="1"/>
    <x v="0"/>
  </r>
  <r>
    <x v="31"/>
    <d v="2016-04-18T00:00:00"/>
    <n v="0"/>
    <n v="0"/>
    <n v="0"/>
    <n v="0"/>
    <n v="0"/>
    <n v="0"/>
    <n v="0"/>
    <n v="0"/>
    <n v="0"/>
    <n v="0"/>
    <n v="0"/>
    <n v="1440"/>
    <n v="1688"/>
    <x v="5"/>
    <x v="0"/>
  </r>
  <r>
    <x v="31"/>
    <d v="2016-04-19T00:00:00"/>
    <n v="0"/>
    <n v="0"/>
    <n v="0"/>
    <n v="0"/>
    <n v="0"/>
    <n v="0"/>
    <n v="0"/>
    <n v="0"/>
    <n v="0"/>
    <n v="0"/>
    <n v="0"/>
    <n v="1440"/>
    <n v="1688"/>
    <x v="6"/>
    <x v="0"/>
  </r>
  <r>
    <x v="31"/>
    <d v="2016-04-25T00:00:00"/>
    <n v="0"/>
    <n v="0"/>
    <n v="0"/>
    <n v="0"/>
    <n v="0"/>
    <n v="0"/>
    <n v="0"/>
    <n v="0"/>
    <n v="0"/>
    <n v="0"/>
    <n v="0"/>
    <n v="1440"/>
    <n v="1688"/>
    <x v="5"/>
    <x v="0"/>
  </r>
  <r>
    <x v="31"/>
    <d v="2016-05-05T00:00:00"/>
    <n v="0"/>
    <n v="0"/>
    <n v="0"/>
    <n v="0"/>
    <n v="0"/>
    <n v="0"/>
    <n v="0"/>
    <n v="0"/>
    <n v="0"/>
    <n v="0"/>
    <n v="0"/>
    <n v="1440"/>
    <n v="1688"/>
    <x v="0"/>
    <x v="0"/>
  </r>
  <r>
    <x v="31"/>
    <d v="2016-05-06T00:00:00"/>
    <n v="0"/>
    <n v="0"/>
    <n v="0"/>
    <n v="0"/>
    <n v="0"/>
    <n v="0"/>
    <n v="0"/>
    <n v="0"/>
    <n v="0"/>
    <n v="0"/>
    <n v="0"/>
    <n v="1440"/>
    <n v="1688"/>
    <x v="2"/>
    <x v="0"/>
  </r>
  <r>
    <x v="31"/>
    <d v="2016-05-07T00:00:00"/>
    <n v="0"/>
    <n v="0"/>
    <n v="0"/>
    <n v="0"/>
    <n v="0"/>
    <n v="0"/>
    <n v="0"/>
    <n v="0"/>
    <n v="0"/>
    <n v="0"/>
    <n v="0"/>
    <n v="1440"/>
    <n v="1688"/>
    <x v="4"/>
    <x v="0"/>
  </r>
  <r>
    <x v="31"/>
    <d v="2016-05-08T00:00:00"/>
    <n v="0"/>
    <n v="0"/>
    <n v="0"/>
    <n v="0"/>
    <n v="0"/>
    <n v="0"/>
    <n v="0"/>
    <n v="0"/>
    <n v="0"/>
    <n v="0"/>
    <n v="0"/>
    <n v="1440"/>
    <n v="1688"/>
    <x v="1"/>
    <x v="0"/>
  </r>
  <r>
    <x v="31"/>
    <d v="2016-05-09T00:00:00"/>
    <n v="0"/>
    <n v="0"/>
    <n v="0"/>
    <n v="0"/>
    <n v="0"/>
    <n v="0"/>
    <n v="0"/>
    <n v="0"/>
    <n v="0"/>
    <n v="0"/>
    <n v="0"/>
    <n v="1440"/>
    <n v="1688"/>
    <x v="5"/>
    <x v="0"/>
  </r>
  <r>
    <x v="31"/>
    <d v="2016-05-10T00:00:00"/>
    <n v="0"/>
    <n v="0"/>
    <n v="0"/>
    <n v="0"/>
    <n v="0"/>
    <n v="0"/>
    <n v="0"/>
    <n v="0"/>
    <n v="0"/>
    <n v="0"/>
    <n v="0"/>
    <n v="48"/>
    <n v="57"/>
    <x v="6"/>
    <x v="0"/>
  </r>
  <r>
    <x v="31"/>
    <d v="2016-04-21T00:00:00"/>
    <n v="144"/>
    <n v="9.00000035762787E-2"/>
    <n v="9.00000035762787E-2"/>
    <n v="0"/>
    <n v="0"/>
    <n v="0"/>
    <n v="9.00000035762787E-2"/>
    <n v="0"/>
    <n v="0"/>
    <n v="0"/>
    <n v="9"/>
    <n v="1431"/>
    <n v="1720"/>
    <x v="0"/>
    <x v="0"/>
  </r>
  <r>
    <x v="31"/>
    <d v="2016-04-16T00:00:00"/>
    <n v="244"/>
    <n v="0.15999999642372101"/>
    <n v="0.15999999642372101"/>
    <n v="0"/>
    <n v="0"/>
    <n v="0"/>
    <n v="0.15999999642372101"/>
    <n v="0"/>
    <n v="0"/>
    <n v="0"/>
    <n v="12"/>
    <n v="1428"/>
    <n v="1721"/>
    <x v="4"/>
    <x v="0"/>
  </r>
  <r>
    <x v="31"/>
    <d v="2016-04-24T00:00:00"/>
    <n v="400"/>
    <n v="0.259999990463257"/>
    <n v="0.259999990463257"/>
    <n v="0"/>
    <n v="3.9999999105930301E-2"/>
    <n v="5.0000000745058101E-2"/>
    <n v="0.15999999642372101"/>
    <n v="0"/>
    <n v="3"/>
    <n v="8"/>
    <n v="19"/>
    <n v="1410"/>
    <n v="1799"/>
    <x v="1"/>
    <x v="0"/>
  </r>
  <r>
    <x v="31"/>
    <d v="2016-04-14T00:00:00"/>
    <n v="1219"/>
    <n v="0.77999997138977095"/>
    <n v="0.77999997138977095"/>
    <n v="0"/>
    <n v="0"/>
    <n v="0"/>
    <n v="0.77999997138977095"/>
    <n v="0"/>
    <n v="0"/>
    <n v="0"/>
    <n v="84"/>
    <n v="853"/>
    <n v="1963"/>
    <x v="0"/>
    <x v="0"/>
  </r>
  <r>
    <x v="31"/>
    <d v="2016-04-13T00:00:00"/>
    <n v="1320"/>
    <n v="0.83999997377395597"/>
    <n v="0.83999997377395597"/>
    <n v="0"/>
    <n v="0"/>
    <n v="0"/>
    <n v="0.83999997377395597"/>
    <n v="0"/>
    <n v="0"/>
    <n v="0"/>
    <n v="82"/>
    <n v="806"/>
    <n v="1934"/>
    <x v="3"/>
    <x v="0"/>
  </r>
  <r>
    <x v="31"/>
    <d v="2016-04-26T00:00:00"/>
    <n v="1321"/>
    <n v="0.85000002384185802"/>
    <n v="0.85000002384185802"/>
    <n v="0"/>
    <n v="0"/>
    <n v="0"/>
    <n v="0.85000002384185802"/>
    <n v="0"/>
    <n v="0"/>
    <n v="0"/>
    <n v="80"/>
    <n v="1360"/>
    <n v="1928"/>
    <x v="6"/>
    <x v="0"/>
  </r>
  <r>
    <x v="31"/>
    <d v="2016-05-01T00:00:00"/>
    <n v="1619"/>
    <n v="1.03999996185303"/>
    <n v="1.03999996185303"/>
    <n v="0"/>
    <n v="0"/>
    <n v="0"/>
    <n v="1.03999996185303"/>
    <n v="0"/>
    <n v="0"/>
    <n v="0"/>
    <n v="79"/>
    <n v="834"/>
    <n v="1962"/>
    <x v="1"/>
    <x v="0"/>
  </r>
  <r>
    <x v="31"/>
    <d v="2016-04-27T00:00:00"/>
    <n v="1758"/>
    <n v="1.12999999523163"/>
    <n v="1.12999999523163"/>
    <n v="0"/>
    <n v="0"/>
    <n v="0"/>
    <n v="1.12999999523163"/>
    <n v="0"/>
    <n v="0"/>
    <n v="0"/>
    <n v="112"/>
    <n v="900"/>
    <n v="2067"/>
    <x v="3"/>
    <x v="0"/>
  </r>
  <r>
    <x v="31"/>
    <d v="2016-05-02T00:00:00"/>
    <n v="1831"/>
    <n v="1.16999995708466"/>
    <n v="1.16999995708466"/>
    <n v="0"/>
    <n v="0"/>
    <n v="0"/>
    <n v="1.16999995708466"/>
    <n v="0"/>
    <n v="0"/>
    <n v="0"/>
    <n v="101"/>
    <n v="916"/>
    <n v="2015"/>
    <x v="5"/>
    <x v="0"/>
  </r>
  <r>
    <x v="31"/>
    <d v="2016-05-04T00:00:00"/>
    <n v="2283"/>
    <n v="1.46000003814697"/>
    <n v="1.46000003814697"/>
    <n v="0"/>
    <n v="0"/>
    <n v="0"/>
    <n v="1.46000003814697"/>
    <n v="0"/>
    <n v="0"/>
    <n v="0"/>
    <n v="129"/>
    <n v="848"/>
    <n v="2067"/>
    <x v="3"/>
    <x v="0"/>
  </r>
  <r>
    <x v="31"/>
    <d v="2016-05-03T00:00:00"/>
    <n v="2421"/>
    <n v="1.54999995231628"/>
    <n v="1.54999995231628"/>
    <n v="0"/>
    <n v="0"/>
    <n v="0"/>
    <n v="1.54999995231628"/>
    <n v="0"/>
    <n v="0"/>
    <n v="0"/>
    <n v="156"/>
    <n v="739"/>
    <n v="2297"/>
    <x v="6"/>
    <x v="0"/>
  </r>
  <r>
    <x v="31"/>
    <d v="2016-04-15T00:00:00"/>
    <n v="2483"/>
    <n v="1.5900000333786"/>
    <n v="1.5900000333786"/>
    <n v="0"/>
    <n v="0"/>
    <n v="0"/>
    <n v="1.5900000333786"/>
    <n v="0"/>
    <n v="0"/>
    <n v="0"/>
    <n v="126"/>
    <n v="937"/>
    <n v="2009"/>
    <x v="2"/>
    <x v="0"/>
  </r>
  <r>
    <x v="31"/>
    <d v="2016-04-12T00:00:00"/>
    <n v="2564"/>
    <n v="1.6399999856948899"/>
    <n v="1.6399999856948899"/>
    <n v="0"/>
    <n v="0"/>
    <n v="0"/>
    <n v="1.6399999856948899"/>
    <n v="0"/>
    <n v="0"/>
    <n v="0"/>
    <n v="116"/>
    <n v="831"/>
    <n v="2044"/>
    <x v="6"/>
    <x v="0"/>
  </r>
  <r>
    <x v="31"/>
    <d v="2016-04-20T00:00:00"/>
    <n v="3147"/>
    <n v="2.0099999904632599"/>
    <n v="2.0099999904632599"/>
    <n v="0"/>
    <n v="0"/>
    <n v="0.28000000119209301"/>
    <n v="1.7400000095367401"/>
    <n v="0"/>
    <n v="0"/>
    <n v="10"/>
    <n v="139"/>
    <n v="744"/>
    <n v="2188"/>
    <x v="3"/>
    <x v="0"/>
  </r>
  <r>
    <x v="31"/>
    <d v="2016-04-22T00:00:00"/>
    <n v="4068"/>
    <n v="2.5999999046325701"/>
    <n v="2.5999999046325701"/>
    <n v="0"/>
    <n v="5.0000000745058101E-2"/>
    <n v="0.28000000119209301"/>
    <n v="2.2699999809265101"/>
    <n v="0"/>
    <n v="1"/>
    <n v="20"/>
    <n v="195"/>
    <n v="817"/>
    <n v="2419"/>
    <x v="2"/>
    <x v="0"/>
  </r>
  <r>
    <x v="31"/>
    <d v="2016-04-23T00:00:00"/>
    <n v="5245"/>
    <n v="3.3599998950958301"/>
    <n v="3.3599998950958301"/>
    <n v="0"/>
    <n v="0.15999999642372101"/>
    <n v="0.43999999761581399"/>
    <n v="2.75"/>
    <n v="0"/>
    <n v="8"/>
    <n v="45"/>
    <n v="232"/>
    <n v="795"/>
    <n v="2748"/>
    <x v="4"/>
    <x v="3"/>
  </r>
  <r>
    <x v="31"/>
    <d v="2016-04-28T00:00:00"/>
    <n v="6157"/>
    <n v="3.9400000572204599"/>
    <n v="3.9400000572204599"/>
    <n v="0"/>
    <n v="0"/>
    <n v="0"/>
    <n v="3.9400000572204599"/>
    <n v="0"/>
    <n v="0"/>
    <n v="0"/>
    <n v="310"/>
    <n v="714"/>
    <n v="2780"/>
    <x v="0"/>
    <x v="3"/>
  </r>
  <r>
    <x v="31"/>
    <d v="2016-04-30T00:00:00"/>
    <n v="7174"/>
    <n v="4.5900001525878897"/>
    <n v="4.5900001525878897"/>
    <n v="0"/>
    <n v="0.33000001311302202"/>
    <n v="0.36000001430511502"/>
    <n v="3.9100000858306898"/>
    <n v="0"/>
    <n v="10"/>
    <n v="20"/>
    <n v="301"/>
    <n v="749"/>
    <n v="2896"/>
    <x v="4"/>
    <x v="3"/>
  </r>
  <r>
    <x v="31"/>
    <d v="2016-04-29T00:00:00"/>
    <n v="8360"/>
    <n v="5.3499999046325701"/>
    <n v="5.3499999046325701"/>
    <n v="0"/>
    <n v="0.140000000596046"/>
    <n v="0.28000000119209301"/>
    <n v="4.9299998283386204"/>
    <n v="0"/>
    <n v="6"/>
    <n v="14"/>
    <n v="380"/>
    <n v="634"/>
    <n v="3101"/>
    <x v="2"/>
    <x v="1"/>
  </r>
  <r>
    <x v="32"/>
    <d v="2016-05-02T00:00:00"/>
    <n v="4790"/>
    <n v="3.6400001049041699"/>
    <n v="3.6400001049041699"/>
    <n v="0"/>
    <n v="0"/>
    <n v="0"/>
    <n v="3.5599999427795401"/>
    <n v="0"/>
    <n v="0"/>
    <n v="0"/>
    <n v="105"/>
    <n v="1335"/>
    <n v="2189"/>
    <x v="5"/>
    <x v="0"/>
  </r>
  <r>
    <x v="32"/>
    <d v="2016-05-12T00:00:00"/>
    <n v="8064"/>
    <n v="6.1199998855590803"/>
    <n v="6.1199998855590803"/>
    <n v="0"/>
    <n v="1.8200000524520901"/>
    <n v="3.9999999105930301E-2"/>
    <n v="4.25"/>
    <n v="0"/>
    <n v="23"/>
    <n v="1"/>
    <n v="137"/>
    <n v="770"/>
    <n v="1849"/>
    <x v="0"/>
    <x v="1"/>
  </r>
  <r>
    <x v="32"/>
    <d v="2016-04-29T00:00:00"/>
    <n v="9733"/>
    <n v="7.3899998664856001"/>
    <n v="7.3899998664856001"/>
    <n v="0"/>
    <n v="1.37999999523163"/>
    <n v="0.17000000178813901"/>
    <n v="5.78999996185303"/>
    <n v="0"/>
    <n v="18"/>
    <n v="5"/>
    <n v="210"/>
    <n v="1207"/>
    <n v="2698"/>
    <x v="2"/>
    <x v="1"/>
  </r>
  <r>
    <x v="32"/>
    <d v="2016-05-08T00:00:00"/>
    <n v="10686"/>
    <n v="8.1099996566772496"/>
    <n v="8.1099996566772496"/>
    <n v="0"/>
    <n v="1.08000004291534"/>
    <n v="0.20000000298023199"/>
    <n v="6.8000001907348597"/>
    <n v="0"/>
    <n v="17"/>
    <n v="4"/>
    <n v="245"/>
    <n v="1174"/>
    <n v="2847"/>
    <x v="1"/>
    <x v="2"/>
  </r>
  <r>
    <x v="32"/>
    <d v="2016-05-10T00:00:00"/>
    <n v="10733"/>
    <n v="8.1499996185302699"/>
    <n v="8.1499996185302699"/>
    <n v="0"/>
    <n v="1.3500000238418599"/>
    <n v="0.46000000834464999"/>
    <n v="6.2800002098083496"/>
    <n v="0"/>
    <n v="18"/>
    <n v="11"/>
    <n v="224"/>
    <n v="1187"/>
    <n v="2832"/>
    <x v="6"/>
    <x v="2"/>
  </r>
  <r>
    <x v="32"/>
    <d v="2016-05-03T00:00:00"/>
    <n v="10818"/>
    <n v="8.2100000381469709"/>
    <n v="8.2100000381469709"/>
    <n v="0"/>
    <n v="1.3899999856948899"/>
    <n v="0.10000000149011599"/>
    <n v="6.6700000762939498"/>
    <n v="9.9999997764825804E-3"/>
    <n v="19"/>
    <n v="3"/>
    <n v="229"/>
    <n v="1189"/>
    <n v="2817"/>
    <x v="6"/>
    <x v="2"/>
  </r>
  <r>
    <x v="32"/>
    <d v="2016-05-01T00:00:00"/>
    <n v="10930"/>
    <n v="8.3199996948242205"/>
    <n v="8.3199996948242205"/>
    <n v="0"/>
    <n v="3.1300001144409202"/>
    <n v="0.56999999284744296"/>
    <n v="4.5700001716613796"/>
    <n v="0"/>
    <n v="36"/>
    <n v="12"/>
    <n v="166"/>
    <n v="1226"/>
    <n v="2786"/>
    <x v="1"/>
    <x v="2"/>
  </r>
  <r>
    <x v="32"/>
    <d v="2016-04-26T00:00:00"/>
    <n v="11101"/>
    <n v="8.4300003051757795"/>
    <n v="8.4300003051757795"/>
    <n v="0"/>
    <n v="1.7599999904632599"/>
    <n v="0.129999995231628"/>
    <n v="6.5"/>
    <n v="0"/>
    <n v="22"/>
    <n v="3"/>
    <n v="258"/>
    <n v="1157"/>
    <n v="2860"/>
    <x v="6"/>
    <x v="2"/>
  </r>
  <r>
    <x v="32"/>
    <d v="2016-04-23T00:00:00"/>
    <n v="11200"/>
    <n v="7.4299998283386204"/>
    <n v="7.4299998283386204"/>
    <n v="0"/>
    <n v="0"/>
    <n v="0"/>
    <n v="7.4000000953674299"/>
    <n v="9.9999997764825804E-3"/>
    <n v="102"/>
    <n v="6"/>
    <n v="300"/>
    <n v="1032"/>
    <n v="3891"/>
    <x v="4"/>
    <x v="2"/>
  </r>
  <r>
    <x v="32"/>
    <d v="2016-04-18T00:00:00"/>
    <n v="11423"/>
    <n v="8.6700000762939506"/>
    <n v="8.6700000762939506"/>
    <n v="0"/>
    <n v="2.4400000572204599"/>
    <n v="0.270000010728836"/>
    <n v="5.9400000572204599"/>
    <n v="0"/>
    <n v="29"/>
    <n v="5"/>
    <n v="191"/>
    <n v="1215"/>
    <n v="2761"/>
    <x v="5"/>
    <x v="2"/>
  </r>
  <r>
    <x v="32"/>
    <d v="2016-05-07T00:00:00"/>
    <n v="12332"/>
    <n v="8.1300001144409197"/>
    <n v="8.1300001144409197"/>
    <n v="0"/>
    <n v="7.9999998211860698E-2"/>
    <n v="0.95999997854232799"/>
    <n v="6.9899997711181596"/>
    <n v="0"/>
    <n v="105"/>
    <n v="28"/>
    <n v="271"/>
    <n v="1036"/>
    <n v="4142"/>
    <x v="4"/>
    <x v="2"/>
  </r>
  <r>
    <x v="32"/>
    <d v="2016-04-25T00:00:00"/>
    <n v="12986"/>
    <n v="8.7399997711181605"/>
    <n v="8.7399997711181605"/>
    <n v="0"/>
    <n v="2.3699998855590798"/>
    <n v="7.0000000298023196E-2"/>
    <n v="6.2699999809265101"/>
    <n v="9.9999997764825804E-3"/>
    <n v="113"/>
    <n v="8"/>
    <n v="218"/>
    <n v="1101"/>
    <n v="3802"/>
    <x v="5"/>
    <x v="2"/>
  </r>
  <r>
    <x v="32"/>
    <d v="2016-04-15T00:00:00"/>
    <n v="13422"/>
    <n v="7.1700000762939498"/>
    <n v="7.1700000762939498"/>
    <n v="0"/>
    <n v="5.0000000745058101E-2"/>
    <n v="5.0000000745058101E-2"/>
    <n v="7.0100002288818404"/>
    <n v="9.9999997764825804E-3"/>
    <n v="106"/>
    <n v="1"/>
    <n v="281"/>
    <n v="1052"/>
    <n v="3934"/>
    <x v="2"/>
    <x v="2"/>
  </r>
  <r>
    <x v="32"/>
    <d v="2016-05-05T00:00:00"/>
    <n v="14055"/>
    <n v="10.670000076293899"/>
    <n v="10.670000076293899"/>
    <n v="0"/>
    <n v="5.46000003814697"/>
    <n v="0.81999999284744296"/>
    <n v="4.3699998855590803"/>
    <n v="0"/>
    <n v="67"/>
    <n v="15"/>
    <n v="188"/>
    <n v="1170"/>
    <n v="3052"/>
    <x v="0"/>
    <x v="2"/>
  </r>
  <r>
    <x v="32"/>
    <d v="2016-04-28T00:00:00"/>
    <n v="14890"/>
    <n v="11.300000190734901"/>
    <n v="11.300000190734901"/>
    <n v="0"/>
    <n v="4.9299998283386204"/>
    <n v="0.37999999523162797"/>
    <n v="5.9699997901916504"/>
    <n v="0"/>
    <n v="58"/>
    <n v="8"/>
    <n v="231"/>
    <n v="1143"/>
    <n v="3060"/>
    <x v="0"/>
    <x v="2"/>
  </r>
  <r>
    <x v="32"/>
    <d v="2016-04-17T00:00:00"/>
    <n v="15118"/>
    <n v="8.8699998855590803"/>
    <n v="8.8699998855590803"/>
    <n v="0"/>
    <n v="0"/>
    <n v="7.0000000298023196E-2"/>
    <n v="8.7899999618530291"/>
    <n v="0"/>
    <n v="58"/>
    <n v="15"/>
    <n v="307"/>
    <n v="1060"/>
    <n v="3545"/>
    <x v="1"/>
    <x v="2"/>
  </r>
  <r>
    <x v="32"/>
    <d v="2016-04-13T00:00:00"/>
    <n v="15337"/>
    <n v="9.5799999237060494"/>
    <n v="9.5799999237060494"/>
    <n v="0"/>
    <n v="3.5499999523162802"/>
    <n v="0.37999999523162797"/>
    <n v="5.6399998664856001"/>
    <n v="0"/>
    <n v="108"/>
    <n v="18"/>
    <n v="216"/>
    <n v="1098"/>
    <n v="3566"/>
    <x v="3"/>
    <x v="2"/>
  </r>
  <r>
    <x v="32"/>
    <d v="2016-04-24T00:00:00"/>
    <n v="16674"/>
    <n v="15.7399997711182"/>
    <n v="15.7399997711182"/>
    <n v="0"/>
    <n v="11.0100002288818"/>
    <n v="9.9999997764825804E-3"/>
    <n v="4.6900000572204599"/>
    <n v="0"/>
    <n v="64"/>
    <n v="1"/>
    <n v="227"/>
    <n v="1148"/>
    <n v="3455"/>
    <x v="1"/>
    <x v="2"/>
  </r>
  <r>
    <x v="32"/>
    <d v="2016-05-04T00:00:00"/>
    <n v="18193"/>
    <n v="16.299999237060501"/>
    <n v="16.299999237060501"/>
    <n v="0"/>
    <n v="10.420000076293899"/>
    <n v="0.31000000238418601"/>
    <n v="5.5300002098083496"/>
    <n v="0"/>
    <n v="66"/>
    <n v="8"/>
    <n v="212"/>
    <n v="1154"/>
    <n v="3477"/>
    <x v="3"/>
    <x v="2"/>
  </r>
  <r>
    <x v="32"/>
    <d v="2016-04-22T00:00:00"/>
    <n v="18258"/>
    <n v="16.309999465942401"/>
    <n v="16.309999465942401"/>
    <n v="0"/>
    <n v="10.2299995422363"/>
    <n v="2.9999999329447701E-2"/>
    <n v="5.9699997901916504"/>
    <n v="5.0000000745058101E-2"/>
    <n v="61"/>
    <n v="2"/>
    <n v="236"/>
    <n v="1141"/>
    <n v="3427"/>
    <x v="2"/>
    <x v="2"/>
  </r>
  <r>
    <x v="32"/>
    <d v="2016-04-19T00:00:00"/>
    <n v="18785"/>
    <n v="17.399999618530298"/>
    <n v="17.399999618530298"/>
    <n v="0"/>
    <n v="12.1499996185303"/>
    <n v="0.18000000715255701"/>
    <n v="5.0300002098083496"/>
    <n v="0"/>
    <n v="82"/>
    <n v="13"/>
    <n v="214"/>
    <n v="1131"/>
    <n v="3676"/>
    <x v="6"/>
    <x v="2"/>
  </r>
  <r>
    <x v="32"/>
    <d v="2016-04-21T00:00:00"/>
    <n v="19377"/>
    <n v="17.620000839233398"/>
    <n v="17.620000839233398"/>
    <n v="0"/>
    <n v="12.289999961853001"/>
    <n v="0.41999998688697798"/>
    <n v="4.8899998664856001"/>
    <n v="0"/>
    <n v="82"/>
    <n v="13"/>
    <n v="226"/>
    <n v="1119"/>
    <n v="3659"/>
    <x v="0"/>
    <x v="2"/>
  </r>
  <r>
    <x v="32"/>
    <d v="2016-04-20T00:00:00"/>
    <n v="19948"/>
    <n v="18.110000610351602"/>
    <n v="18.110000610351602"/>
    <n v="0"/>
    <n v="11.0200004577637"/>
    <n v="0.68999999761581399"/>
    <n v="6.3400001525878897"/>
    <n v="0"/>
    <n v="73"/>
    <n v="19"/>
    <n v="225"/>
    <n v="1123"/>
    <n v="3679"/>
    <x v="3"/>
    <x v="2"/>
  </r>
  <r>
    <x v="32"/>
    <d v="2016-05-09T00:00:00"/>
    <n v="20226"/>
    <n v="18.25"/>
    <n v="18.25"/>
    <n v="0"/>
    <n v="11.1000003814697"/>
    <n v="0.80000001192092896"/>
    <n v="6.2399997711181596"/>
    <n v="5.0000000745058101E-2"/>
    <n v="73"/>
    <n v="19"/>
    <n v="217"/>
    <n v="1131"/>
    <n v="3710"/>
    <x v="5"/>
    <x v="2"/>
  </r>
  <r>
    <x v="32"/>
    <d v="2016-04-14T00:00:00"/>
    <n v="21129"/>
    <n v="18.9799995422363"/>
    <n v="18.9799995422363"/>
    <n v="0"/>
    <n v="10.550000190734901"/>
    <n v="0.58999997377395597"/>
    <n v="7.75"/>
    <n v="1.9999999552965199E-2"/>
    <n v="68"/>
    <n v="13"/>
    <n v="298"/>
    <n v="1061"/>
    <n v="3793"/>
    <x v="0"/>
    <x v="2"/>
  </r>
  <r>
    <x v="32"/>
    <d v="2016-05-11T00:00:00"/>
    <n v="21420"/>
    <n v="19.559999465942401"/>
    <n v="19.559999465942401"/>
    <n v="0"/>
    <n v="13.2200002670288"/>
    <n v="0.40999999642372098"/>
    <n v="5.8899998664856001"/>
    <n v="0"/>
    <n v="88"/>
    <n v="12"/>
    <n v="213"/>
    <n v="1127"/>
    <n v="3832"/>
    <x v="3"/>
    <x v="2"/>
  </r>
  <r>
    <x v="32"/>
    <d v="2016-05-06T00:00:00"/>
    <n v="21727"/>
    <n v="19.340000152587901"/>
    <n v="19.340000152587901"/>
    <n v="0"/>
    <n v="12.789999961853001"/>
    <n v="0.28999999165535001"/>
    <n v="6.1599998474121103"/>
    <n v="0"/>
    <n v="96"/>
    <n v="17"/>
    <n v="232"/>
    <n v="1095"/>
    <n v="4015"/>
    <x v="2"/>
    <x v="2"/>
  </r>
  <r>
    <x v="32"/>
    <d v="2016-04-12T00:00:00"/>
    <n v="23186"/>
    <n v="20.399999618530298"/>
    <n v="20.399999618530298"/>
    <n v="0"/>
    <n v="12.2200002670288"/>
    <n v="0.34000000357627902"/>
    <n v="7.8200001716613796"/>
    <n v="0"/>
    <n v="85"/>
    <n v="7"/>
    <n v="312"/>
    <n v="1036"/>
    <n v="3921"/>
    <x v="6"/>
    <x v="2"/>
  </r>
  <r>
    <x v="32"/>
    <d v="2016-04-27T00:00:00"/>
    <n v="23629"/>
    <n v="20.649999618530298"/>
    <n v="20.649999618530298"/>
    <n v="0"/>
    <n v="13.069999694824199"/>
    <n v="0.43999999761581399"/>
    <n v="7.0999999046325701"/>
    <n v="0"/>
    <n v="93"/>
    <n v="8"/>
    <n v="235"/>
    <n v="1104"/>
    <n v="3808"/>
    <x v="3"/>
    <x v="2"/>
  </r>
  <r>
    <x v="32"/>
    <d v="2016-04-30T00:00:00"/>
    <n v="27745"/>
    <n v="26.719999313354499"/>
    <n v="26.719999313354499"/>
    <n v="0"/>
    <n v="21.659999847412099"/>
    <n v="7.9999998211860698E-2"/>
    <n v="4.9299998283386204"/>
    <n v="0"/>
    <n v="124"/>
    <n v="4"/>
    <n v="223"/>
    <n v="1089"/>
    <n v="4398"/>
    <x v="4"/>
    <x v="2"/>
  </r>
  <r>
    <x v="32"/>
    <d v="2016-04-16T00:00:00"/>
    <n v="29326"/>
    <n v="25.290000915527301"/>
    <n v="25.290000915527301"/>
    <n v="0"/>
    <n v="13.2399997711182"/>
    <n v="1.21000003814697"/>
    <n v="10.710000038146999"/>
    <n v="0"/>
    <n v="94"/>
    <n v="29"/>
    <n v="429"/>
    <n v="888"/>
    <n v="4547"/>
    <x v="4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Activity_Level_Pivot" cacheId="1" applyNumberFormats="0" applyBorderFormats="0" applyFontFormats="0" applyPatternFormats="0" applyAlignmentFormats="0" applyWidthHeightFormats="1" dataCaption="Τιμές" updatedVersion="3" minRefreshableVersion="3" showCalcMbrs="0" useAutoFormatting="1" rowGrandTotals="0" colGrandTotals="0" itemPrintTitles="1" createdVersion="3" indent="0" outline="1" outlineData="1" multipleFieldFilters="0" chartFormat="4" rowHeaderCaption="Activity Level">
  <location ref="A3:B7" firstHeaderRow="1" firstDataRow="1" firstDataCol="1"/>
  <pivotFields count="17">
    <pivotField showAll="0"/>
    <pivotField numFmtId="14" showAll="0"/>
    <pivotField dataField="1" numFmtId="1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1" showAll="0"/>
    <pivotField numFmtId="1" showAll="0"/>
    <pivotField numFmtId="1" showAll="0"/>
    <pivotField numFmtId="1" showAll="0"/>
    <pivotField numFmtId="1" showAll="0"/>
    <pivotField showAll="0"/>
    <pivotField axis="axisRow" showAll="0" sortType="ascending">
      <items count="5">
        <item x="1"/>
        <item x="3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6"/>
  </rowFields>
  <rowItems count="4">
    <i>
      <x v="2"/>
    </i>
    <i>
      <x v="1"/>
    </i>
    <i>
      <x/>
    </i>
    <i>
      <x v="3"/>
    </i>
  </rowItems>
  <colItems count="1">
    <i/>
  </colItems>
  <dataFields count="1">
    <dataField name="Average of Total Steps" fld="2" subtotal="average" baseField="0" baseItem="0" numFmtId="1"/>
  </dataFields>
  <formats count="2">
    <format dxfId="6">
      <pivotArea collapsedLevelsAreSubtotals="1" fieldPosition="0">
        <references count="1">
          <reference field="16" count="1">
            <x v="0"/>
          </reference>
        </references>
      </pivotArea>
    </format>
    <format dxfId="5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Day_Of_Week_Pivot" cacheId="1" applyNumberFormats="0" applyBorderFormats="0" applyFontFormats="0" applyPatternFormats="0" applyAlignmentFormats="0" applyWidthHeightFormats="1" dataCaption="Τιμές" updatedVersion="3" minRefreshableVersion="3" showCalcMbrs="0" useAutoFormatting="1" rowGrandTotals="0" colGrandTotals="0" itemPrintTitles="1" createdVersion="3" indent="0" outline="1" outlineData="1" multipleFieldFilters="0" chartFormat="1" rowHeaderCaption="Day of Week">
  <location ref="A3:B10" firstHeaderRow="1" firstDataRow="1" firstDataCol="1"/>
  <pivotFields count="17">
    <pivotField showAll="0"/>
    <pivotField numFmtId="14" showAll="0"/>
    <pivotField dataField="1" numFmtId="1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1" showAll="0"/>
    <pivotField numFmtId="1" showAll="0"/>
    <pivotField numFmtId="1" showAll="0"/>
    <pivotField numFmtId="1" showAll="0"/>
    <pivotField numFmtId="1" showAll="0"/>
    <pivotField axis="axisRow" showAll="0" sortType="ascending">
      <items count="8">
        <item x="1"/>
        <item x="5"/>
        <item x="6"/>
        <item x="3"/>
        <item x="0"/>
        <item x="2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5"/>
  </rowFields>
  <rowItems count="7">
    <i>
      <x/>
    </i>
    <i>
      <x v="4"/>
    </i>
    <i>
      <x v="5"/>
    </i>
    <i>
      <x v="3"/>
    </i>
    <i>
      <x v="1"/>
    </i>
    <i>
      <x v="2"/>
    </i>
    <i>
      <x v="6"/>
    </i>
  </rowItems>
  <colItems count="1">
    <i/>
  </colItems>
  <dataFields count="1">
    <dataField name="Average of Total Steps" fld="2" subtotal="average" baseField="0" baseItem="0" numFmtId="1"/>
  </dataFields>
  <formats count="2">
    <format dxfId="4">
      <pivotArea collapsedLevelsAreSubtotals="1" fieldPosition="0">
        <references count="1">
          <reference field="15" count="1">
            <x v="0"/>
          </reference>
        </references>
      </pivotArea>
    </format>
    <format dxfId="3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User_Consistency_Analysis_Pivot" cacheId="1" applyNumberFormats="0" applyBorderFormats="0" applyFontFormats="0" applyPatternFormats="0" applyAlignmentFormats="0" applyWidthHeightFormats="1" dataCaption="Values" updatedVersion="3" minRefreshableVersion="3" showCalcMbrs="0" useAutoFormatting="1" rowGrandTotals="0" colGrandTotals="0" itemPrintTitles="1" createdVersion="3" indent="0" outline="1" outlineData="1" multipleFieldFilters="0" rowHeaderCaption="ID">
  <location ref="A3:C37" firstHeaderRow="1" firstDataRow="2" firstDataCol="1"/>
  <pivotFields count="17">
    <pivotField axis="axisRow" showAl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numFmtId="14" showAll="0"/>
    <pivotField dataField="1" numFmtId="1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2" showAll="0"/>
    <pivotField numFmtId="1" showAll="0"/>
    <pivotField numFmtId="1" showAll="0"/>
    <pivotField numFmtId="1" showAll="0"/>
    <pivotField numFmtId="1" showAll="0"/>
    <pivotField numFmtId="1" showAll="0"/>
    <pivotField showAll="0"/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</rowItems>
  <colFields count="1">
    <field x="-2"/>
  </colFields>
  <colItems count="2">
    <i>
      <x/>
    </i>
    <i i="1">
      <x v="1"/>
    </i>
  </colItems>
  <dataFields count="2">
    <dataField name="Average Steps" fld="2" subtotal="average" baseField="0" baseItem="0" numFmtId="2"/>
    <dataField name="Max Steps" fld="2" subtotal="max" baseField="0" baseItem="0"/>
  </dataFields>
  <formats count="3">
    <format dxfId="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">
      <pivotArea field="-2" type="button" dataOnly="0" labelOnly="1" outline="0" axis="axisCol" fieldPosition="0"/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Sleep_Duration_Analysis_Pivot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1">
  <location ref="A3:B5" firstHeaderRow="1" firstDataRow="2" firstDataCol="0"/>
  <pivotFields count="5">
    <pivotField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umFmtId="14" showAll="0">
      <items count="32">
        <item x="0"/>
        <item x="1"/>
        <item x="25"/>
        <item x="2"/>
        <item x="3"/>
        <item x="4"/>
        <item x="30"/>
        <item x="5"/>
        <item x="6"/>
        <item x="7"/>
        <item x="26"/>
        <item x="8"/>
        <item x="9"/>
        <item x="10"/>
        <item x="11"/>
        <item x="27"/>
        <item x="12"/>
        <item x="13"/>
        <item x="14"/>
        <item x="15"/>
        <item x="16"/>
        <item x="17"/>
        <item x="28"/>
        <item x="18"/>
        <item x="19"/>
        <item x="20"/>
        <item x="21"/>
        <item x="22"/>
        <item x="23"/>
        <item x="24"/>
        <item x="29"/>
        <item t="default"/>
      </items>
    </pivotField>
    <pivotField numFmtId="1" showAll="0">
      <items count="4">
        <item x="0"/>
        <item x="1"/>
        <item x="2"/>
        <item t="default"/>
      </items>
    </pivotField>
    <pivotField dataField="1" numFmtId="1" showAll="0"/>
    <pivotField dataField="1" numFmtId="1" showAll="0">
      <items count="243">
        <item x="215"/>
        <item x="100"/>
        <item x="55"/>
        <item x="225"/>
        <item x="91"/>
        <item x="191"/>
        <item x="214"/>
        <item x="118"/>
        <item x="114"/>
        <item x="131"/>
        <item x="138"/>
        <item x="147"/>
        <item x="24"/>
        <item x="149"/>
        <item x="150"/>
        <item x="146"/>
        <item x="25"/>
        <item x="27"/>
        <item x="32"/>
        <item x="148"/>
        <item x="94"/>
        <item x="153"/>
        <item x="202"/>
        <item x="18"/>
        <item x="11"/>
        <item x="17"/>
        <item x="74"/>
        <item x="23"/>
        <item x="106"/>
        <item x="16"/>
        <item x="155"/>
        <item x="31"/>
        <item x="5"/>
        <item x="111"/>
        <item x="10"/>
        <item x="92"/>
        <item x="221"/>
        <item x="211"/>
        <item x="86"/>
        <item x="224"/>
        <item x="115"/>
        <item x="21"/>
        <item x="135"/>
        <item x="0"/>
        <item x="19"/>
        <item x="193"/>
        <item x="139"/>
        <item x="13"/>
        <item x="234"/>
        <item x="226"/>
        <item x="240"/>
        <item x="141"/>
        <item x="7"/>
        <item x="165"/>
        <item x="3"/>
        <item x="80"/>
        <item x="77"/>
        <item x="162"/>
        <item x="137"/>
        <item x="126"/>
        <item x="122"/>
        <item x="6"/>
        <item x="130"/>
        <item x="53"/>
        <item x="83"/>
        <item x="8"/>
        <item x="232"/>
        <item x="62"/>
        <item x="204"/>
        <item x="136"/>
        <item x="12"/>
        <item x="73"/>
        <item x="15"/>
        <item x="70"/>
        <item x="189"/>
        <item x="236"/>
        <item x="96"/>
        <item x="22"/>
        <item x="128"/>
        <item x="1"/>
        <item x="95"/>
        <item x="169"/>
        <item x="171"/>
        <item x="218"/>
        <item x="182"/>
        <item x="123"/>
        <item x="152"/>
        <item x="196"/>
        <item x="134"/>
        <item x="168"/>
        <item x="228"/>
        <item x="29"/>
        <item x="81"/>
        <item x="132"/>
        <item x="14"/>
        <item x="145"/>
        <item x="163"/>
        <item x="160"/>
        <item x="120"/>
        <item x="164"/>
        <item x="188"/>
        <item x="158"/>
        <item x="208"/>
        <item x="143"/>
        <item x="186"/>
        <item x="180"/>
        <item x="151"/>
        <item x="203"/>
        <item x="2"/>
        <item x="88"/>
        <item x="183"/>
        <item x="207"/>
        <item x="161"/>
        <item x="112"/>
        <item x="9"/>
        <item x="66"/>
        <item x="116"/>
        <item x="89"/>
        <item x="175"/>
        <item x="210"/>
        <item x="69"/>
        <item x="127"/>
        <item x="117"/>
        <item x="63"/>
        <item x="61"/>
        <item x="133"/>
        <item x="222"/>
        <item x="166"/>
        <item x="185"/>
        <item x="79"/>
        <item x="157"/>
        <item x="68"/>
        <item x="177"/>
        <item x="64"/>
        <item x="67"/>
        <item x="159"/>
        <item x="76"/>
        <item x="233"/>
        <item x="82"/>
        <item x="220"/>
        <item x="87"/>
        <item x="213"/>
        <item x="209"/>
        <item x="217"/>
        <item x="60"/>
        <item x="49"/>
        <item x="179"/>
        <item x="156"/>
        <item x="167"/>
        <item x="56"/>
        <item x="65"/>
        <item x="98"/>
        <item x="129"/>
        <item x="223"/>
        <item x="97"/>
        <item x="124"/>
        <item x="125"/>
        <item x="181"/>
        <item x="38"/>
        <item x="30"/>
        <item x="85"/>
        <item x="103"/>
        <item x="194"/>
        <item x="238"/>
        <item x="57"/>
        <item x="104"/>
        <item x="200"/>
        <item x="40"/>
        <item x="75"/>
        <item x="142"/>
        <item x="41"/>
        <item x="105"/>
        <item x="109"/>
        <item x="51"/>
        <item x="72"/>
        <item x="216"/>
        <item x="78"/>
        <item x="241"/>
        <item x="107"/>
        <item x="45"/>
        <item x="144"/>
        <item x="206"/>
        <item x="93"/>
        <item x="195"/>
        <item x="39"/>
        <item x="90"/>
        <item x="140"/>
        <item x="47"/>
        <item x="42"/>
        <item x="33"/>
        <item x="239"/>
        <item x="50"/>
        <item x="101"/>
        <item x="99"/>
        <item x="237"/>
        <item x="54"/>
        <item x="43"/>
        <item x="231"/>
        <item x="52"/>
        <item x="59"/>
        <item x="110"/>
        <item x="48"/>
        <item x="192"/>
        <item x="34"/>
        <item x="71"/>
        <item x="37"/>
        <item x="35"/>
        <item x="212"/>
        <item x="36"/>
        <item x="198"/>
        <item x="184"/>
        <item x="229"/>
        <item x="44"/>
        <item x="119"/>
        <item x="121"/>
        <item x="230"/>
        <item x="58"/>
        <item x="201"/>
        <item x="235"/>
        <item x="46"/>
        <item x="178"/>
        <item x="20"/>
        <item x="154"/>
        <item x="187"/>
        <item x="84"/>
        <item x="190"/>
        <item x="197"/>
        <item x="108"/>
        <item x="174"/>
        <item x="113"/>
        <item x="172"/>
        <item x="205"/>
        <item x="170"/>
        <item x="227"/>
        <item x="199"/>
        <item x="219"/>
        <item x="4"/>
        <item x="102"/>
        <item x="173"/>
        <item x="28"/>
        <item x="176"/>
        <item x="26"/>
        <item t="default"/>
      </items>
    </pivotField>
  </pivotFields>
  <rowItems count="1">
    <i/>
  </rowItems>
  <colFields count="1">
    <field x="-2"/>
  </colFields>
  <colItems count="2">
    <i>
      <x/>
    </i>
    <i i="1">
      <x v="1"/>
    </i>
  </colItems>
  <dataFields count="2">
    <dataField name="Average of Total Minutes Asleep" fld="3" subtotal="average" baseField="0" baseItem="0" numFmtId="1"/>
    <dataField name="Average of Total Time In Bed" fld="4" subtotal="average" baseField="0" baseItem="0" numFmtId="1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queryTables/queryTable1.xml><?xml version="1.0" encoding="utf-8"?>
<queryTable xmlns="http://schemas.openxmlformats.org/spreadsheetml/2006/main" name="dailyActivity_merged" connectionId="2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name="sleepDay_merged" connectionId="3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name="dailyActivity_merged" connectionId="1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name="sleepDay_merged" connectionId="4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941"/>
  <sheetViews>
    <sheetView workbookViewId="0"/>
  </sheetViews>
  <sheetFormatPr defaultRowHeight="15"/>
  <cols>
    <col min="1" max="1" width="11" bestFit="1" customWidth="1"/>
    <col min="2" max="2" width="11.85546875" bestFit="1" customWidth="1"/>
    <col min="3" max="3" width="10.28515625" bestFit="1" customWidth="1"/>
    <col min="4" max="4" width="13.140625" bestFit="1" customWidth="1"/>
    <col min="5" max="5" width="15.140625" bestFit="1" customWidth="1"/>
    <col min="6" max="6" width="23.5703125" bestFit="1" customWidth="1"/>
    <col min="7" max="7" width="18.5703125" bestFit="1" customWidth="1"/>
    <col min="8" max="8" width="24.85546875" bestFit="1" customWidth="1"/>
    <col min="9" max="9" width="18.7109375" bestFit="1" customWidth="1"/>
    <col min="10" max="10" width="23.5703125" bestFit="1" customWidth="1"/>
    <col min="11" max="11" width="18.28515625" bestFit="1" customWidth="1"/>
    <col min="12" max="12" width="19" bestFit="1" customWidth="1"/>
    <col min="13" max="13" width="20" bestFit="1" customWidth="1"/>
    <col min="14" max="14" width="17.5703125" bestFit="1" customWidth="1"/>
    <col min="15" max="15" width="8.140625" bestFit="1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1503960366</v>
      </c>
      <c r="B2" s="1">
        <v>42472</v>
      </c>
      <c r="C2">
        <v>13162</v>
      </c>
      <c r="D2">
        <v>8.5</v>
      </c>
      <c r="E2">
        <v>8.5</v>
      </c>
      <c r="F2">
        <v>0</v>
      </c>
      <c r="G2">
        <v>1.87999999523163</v>
      </c>
      <c r="H2">
        <v>0.55000001192092896</v>
      </c>
      <c r="I2">
        <v>6.0599999427795401</v>
      </c>
      <c r="J2">
        <v>0</v>
      </c>
      <c r="K2">
        <v>25</v>
      </c>
      <c r="L2">
        <v>13</v>
      </c>
      <c r="M2">
        <v>328</v>
      </c>
      <c r="N2">
        <v>728</v>
      </c>
      <c r="O2">
        <v>1985</v>
      </c>
    </row>
    <row r="3" spans="1:15">
      <c r="A3">
        <v>1503960366</v>
      </c>
      <c r="B3" s="1">
        <v>42473</v>
      </c>
      <c r="C3">
        <v>10735</v>
      </c>
      <c r="D3">
        <v>6.9699997901916504</v>
      </c>
      <c r="E3">
        <v>6.9699997901916504</v>
      </c>
      <c r="F3">
        <v>0</v>
      </c>
      <c r="G3">
        <v>1.5700000524520901</v>
      </c>
      <c r="H3">
        <v>0.68999999761581399</v>
      </c>
      <c r="I3">
        <v>4.71000003814697</v>
      </c>
      <c r="J3">
        <v>0</v>
      </c>
      <c r="K3">
        <v>21</v>
      </c>
      <c r="L3">
        <v>19</v>
      </c>
      <c r="M3">
        <v>217</v>
      </c>
      <c r="N3">
        <v>776</v>
      </c>
      <c r="O3">
        <v>1797</v>
      </c>
    </row>
    <row r="4" spans="1:15">
      <c r="A4">
        <v>1503960366</v>
      </c>
      <c r="B4" s="1">
        <v>42474</v>
      </c>
      <c r="C4">
        <v>10460</v>
      </c>
      <c r="D4">
        <v>6.7399997711181596</v>
      </c>
      <c r="E4">
        <v>6.7399997711181596</v>
      </c>
      <c r="F4">
        <v>0</v>
      </c>
      <c r="G4">
        <v>2.4400000572204599</v>
      </c>
      <c r="H4">
        <v>0.40000000596046398</v>
      </c>
      <c r="I4">
        <v>3.9100000858306898</v>
      </c>
      <c r="J4">
        <v>0</v>
      </c>
      <c r="K4">
        <v>30</v>
      </c>
      <c r="L4">
        <v>11</v>
      </c>
      <c r="M4">
        <v>181</v>
      </c>
      <c r="N4">
        <v>1218</v>
      </c>
      <c r="O4">
        <v>1776</v>
      </c>
    </row>
    <row r="5" spans="1:15">
      <c r="A5">
        <v>1503960366</v>
      </c>
      <c r="B5" s="1">
        <v>42475</v>
      </c>
      <c r="C5">
        <v>9762</v>
      </c>
      <c r="D5">
        <v>6.2800002098083496</v>
      </c>
      <c r="E5">
        <v>6.2800002098083496</v>
      </c>
      <c r="F5">
        <v>0</v>
      </c>
      <c r="G5">
        <v>2.1400001049041699</v>
      </c>
      <c r="H5">
        <v>1.2599999904632599</v>
      </c>
      <c r="I5">
        <v>2.8299999237060498</v>
      </c>
      <c r="J5">
        <v>0</v>
      </c>
      <c r="K5">
        <v>29</v>
      </c>
      <c r="L5">
        <v>34</v>
      </c>
      <c r="M5">
        <v>209</v>
      </c>
      <c r="N5">
        <v>726</v>
      </c>
      <c r="O5">
        <v>1745</v>
      </c>
    </row>
    <row r="6" spans="1:15">
      <c r="A6">
        <v>1503960366</v>
      </c>
      <c r="B6" s="1">
        <v>42476</v>
      </c>
      <c r="C6">
        <v>12669</v>
      </c>
      <c r="D6">
        <v>8.1599998474121094</v>
      </c>
      <c r="E6">
        <v>8.1599998474121094</v>
      </c>
      <c r="F6">
        <v>0</v>
      </c>
      <c r="G6">
        <v>2.71000003814697</v>
      </c>
      <c r="H6">
        <v>0.40999999642372098</v>
      </c>
      <c r="I6">
        <v>5.03999996185303</v>
      </c>
      <c r="J6">
        <v>0</v>
      </c>
      <c r="K6">
        <v>36</v>
      </c>
      <c r="L6">
        <v>10</v>
      </c>
      <c r="M6">
        <v>221</v>
      </c>
      <c r="N6">
        <v>773</v>
      </c>
      <c r="O6">
        <v>1863</v>
      </c>
    </row>
    <row r="7" spans="1:15">
      <c r="A7">
        <v>1503960366</v>
      </c>
      <c r="B7" s="1">
        <v>42477</v>
      </c>
      <c r="C7">
        <v>9705</v>
      </c>
      <c r="D7">
        <v>6.4800000190734899</v>
      </c>
      <c r="E7">
        <v>6.4800000190734899</v>
      </c>
      <c r="F7">
        <v>0</v>
      </c>
      <c r="G7">
        <v>3.1900000572204599</v>
      </c>
      <c r="H7">
        <v>0.77999997138977095</v>
      </c>
      <c r="I7">
        <v>2.5099999904632599</v>
      </c>
      <c r="J7">
        <v>0</v>
      </c>
      <c r="K7">
        <v>38</v>
      </c>
      <c r="L7">
        <v>20</v>
      </c>
      <c r="M7">
        <v>164</v>
      </c>
      <c r="N7">
        <v>539</v>
      </c>
      <c r="O7">
        <v>1728</v>
      </c>
    </row>
    <row r="8" spans="1:15">
      <c r="A8">
        <v>1503960366</v>
      </c>
      <c r="B8" s="1">
        <v>42478</v>
      </c>
      <c r="C8">
        <v>13019</v>
      </c>
      <c r="D8">
        <v>8.5900001525878906</v>
      </c>
      <c r="E8">
        <v>8.5900001525878906</v>
      </c>
      <c r="F8">
        <v>0</v>
      </c>
      <c r="G8">
        <v>3.25</v>
      </c>
      <c r="H8">
        <v>0.63999998569488503</v>
      </c>
      <c r="I8">
        <v>4.71000003814697</v>
      </c>
      <c r="J8">
        <v>0</v>
      </c>
      <c r="K8">
        <v>42</v>
      </c>
      <c r="L8">
        <v>16</v>
      </c>
      <c r="M8">
        <v>233</v>
      </c>
      <c r="N8">
        <v>1149</v>
      </c>
      <c r="O8">
        <v>1921</v>
      </c>
    </row>
    <row r="9" spans="1:15">
      <c r="A9">
        <v>1503960366</v>
      </c>
      <c r="B9" s="1">
        <v>42479</v>
      </c>
      <c r="C9">
        <v>15506</v>
      </c>
      <c r="D9">
        <v>9.8800001144409197</v>
      </c>
      <c r="E9">
        <v>9.8800001144409197</v>
      </c>
      <c r="F9">
        <v>0</v>
      </c>
      <c r="G9">
        <v>3.5299999713897701</v>
      </c>
      <c r="H9">
        <v>1.3200000524520901</v>
      </c>
      <c r="I9">
        <v>5.0300002098083496</v>
      </c>
      <c r="J9">
        <v>0</v>
      </c>
      <c r="K9">
        <v>50</v>
      </c>
      <c r="L9">
        <v>31</v>
      </c>
      <c r="M9">
        <v>264</v>
      </c>
      <c r="N9">
        <v>775</v>
      </c>
      <c r="O9">
        <v>2035</v>
      </c>
    </row>
    <row r="10" spans="1:15">
      <c r="A10">
        <v>1503960366</v>
      </c>
      <c r="B10" s="1">
        <v>42480</v>
      </c>
      <c r="C10">
        <v>10544</v>
      </c>
      <c r="D10">
        <v>6.6799998283386204</v>
      </c>
      <c r="E10">
        <v>6.6799998283386204</v>
      </c>
      <c r="F10">
        <v>0</v>
      </c>
      <c r="G10">
        <v>1.96000003814697</v>
      </c>
      <c r="H10">
        <v>0.479999989271164</v>
      </c>
      <c r="I10">
        <v>4.2399997711181596</v>
      </c>
      <c r="J10">
        <v>0</v>
      </c>
      <c r="K10">
        <v>28</v>
      </c>
      <c r="L10">
        <v>12</v>
      </c>
      <c r="M10">
        <v>205</v>
      </c>
      <c r="N10">
        <v>818</v>
      </c>
      <c r="O10">
        <v>1786</v>
      </c>
    </row>
    <row r="11" spans="1:15">
      <c r="A11">
        <v>1503960366</v>
      </c>
      <c r="B11" s="1">
        <v>42481</v>
      </c>
      <c r="C11">
        <v>9819</v>
      </c>
      <c r="D11">
        <v>6.3400001525878897</v>
      </c>
      <c r="E11">
        <v>6.3400001525878897</v>
      </c>
      <c r="F11">
        <v>0</v>
      </c>
      <c r="G11">
        <v>1.3400000333786</v>
      </c>
      <c r="H11">
        <v>0.34999999403953602</v>
      </c>
      <c r="I11">
        <v>4.6500000953674299</v>
      </c>
      <c r="J11">
        <v>0</v>
      </c>
      <c r="K11">
        <v>19</v>
      </c>
      <c r="L11">
        <v>8</v>
      </c>
      <c r="M11">
        <v>211</v>
      </c>
      <c r="N11">
        <v>838</v>
      </c>
      <c r="O11">
        <v>1775</v>
      </c>
    </row>
    <row r="12" spans="1:15">
      <c r="A12">
        <v>1503960366</v>
      </c>
      <c r="B12" s="1">
        <v>42482</v>
      </c>
      <c r="C12">
        <v>12764</v>
      </c>
      <c r="D12">
        <v>8.1300001144409197</v>
      </c>
      <c r="E12">
        <v>8.1300001144409197</v>
      </c>
      <c r="F12">
        <v>0</v>
      </c>
      <c r="G12">
        <v>4.7600002288818404</v>
      </c>
      <c r="H12">
        <v>1.12000000476837</v>
      </c>
      <c r="I12">
        <v>2.2400000095367401</v>
      </c>
      <c r="J12">
        <v>0</v>
      </c>
      <c r="K12">
        <v>66</v>
      </c>
      <c r="L12">
        <v>27</v>
      </c>
      <c r="M12">
        <v>130</v>
      </c>
      <c r="N12">
        <v>1217</v>
      </c>
      <c r="O12">
        <v>1827</v>
      </c>
    </row>
    <row r="13" spans="1:15">
      <c r="A13">
        <v>1503960366</v>
      </c>
      <c r="B13" s="1">
        <v>42483</v>
      </c>
      <c r="C13">
        <v>14371</v>
      </c>
      <c r="D13">
        <v>9.0399999618530291</v>
      </c>
      <c r="E13">
        <v>9.0399999618530291</v>
      </c>
      <c r="F13">
        <v>0</v>
      </c>
      <c r="G13">
        <v>2.8099999427795401</v>
      </c>
      <c r="H13">
        <v>0.87000000476837203</v>
      </c>
      <c r="I13">
        <v>5.3600001335143999</v>
      </c>
      <c r="J13">
        <v>0</v>
      </c>
      <c r="K13">
        <v>41</v>
      </c>
      <c r="L13">
        <v>21</v>
      </c>
      <c r="M13">
        <v>262</v>
      </c>
      <c r="N13">
        <v>732</v>
      </c>
      <c r="O13">
        <v>1949</v>
      </c>
    </row>
    <row r="14" spans="1:15">
      <c r="A14">
        <v>1503960366</v>
      </c>
      <c r="B14" s="1">
        <v>42484</v>
      </c>
      <c r="C14">
        <v>10039</v>
      </c>
      <c r="D14">
        <v>6.4099998474121103</v>
      </c>
      <c r="E14">
        <v>6.4099998474121103</v>
      </c>
      <c r="F14">
        <v>0</v>
      </c>
      <c r="G14">
        <v>2.9200000762939502</v>
      </c>
      <c r="H14">
        <v>0.20999999344348899</v>
      </c>
      <c r="I14">
        <v>3.2799999713897701</v>
      </c>
      <c r="J14">
        <v>0</v>
      </c>
      <c r="K14">
        <v>39</v>
      </c>
      <c r="L14">
        <v>5</v>
      </c>
      <c r="M14">
        <v>238</v>
      </c>
      <c r="N14">
        <v>709</v>
      </c>
      <c r="O14">
        <v>1788</v>
      </c>
    </row>
    <row r="15" spans="1:15">
      <c r="A15">
        <v>1503960366</v>
      </c>
      <c r="B15" s="1">
        <v>42485</v>
      </c>
      <c r="C15">
        <v>15355</v>
      </c>
      <c r="D15">
        <v>9.8000001907348597</v>
      </c>
      <c r="E15">
        <v>9.8000001907348597</v>
      </c>
      <c r="F15">
        <v>0</v>
      </c>
      <c r="G15">
        <v>5.28999996185303</v>
      </c>
      <c r="H15">
        <v>0.56999999284744296</v>
      </c>
      <c r="I15">
        <v>3.9400000572204599</v>
      </c>
      <c r="J15">
        <v>0</v>
      </c>
      <c r="K15">
        <v>73</v>
      </c>
      <c r="L15">
        <v>14</v>
      </c>
      <c r="M15">
        <v>216</v>
      </c>
      <c r="N15">
        <v>814</v>
      </c>
      <c r="O15">
        <v>2013</v>
      </c>
    </row>
    <row r="16" spans="1:15">
      <c r="A16">
        <v>1503960366</v>
      </c>
      <c r="B16" s="1">
        <v>42486</v>
      </c>
      <c r="C16">
        <v>13755</v>
      </c>
      <c r="D16">
        <v>8.7899999618530291</v>
      </c>
      <c r="E16">
        <v>8.7899999618530291</v>
      </c>
      <c r="F16">
        <v>0</v>
      </c>
      <c r="G16">
        <v>2.3299999237060498</v>
      </c>
      <c r="H16">
        <v>0.92000001668930098</v>
      </c>
      <c r="I16">
        <v>5.53999996185303</v>
      </c>
      <c r="J16">
        <v>0</v>
      </c>
      <c r="K16">
        <v>31</v>
      </c>
      <c r="L16">
        <v>23</v>
      </c>
      <c r="M16">
        <v>279</v>
      </c>
      <c r="N16">
        <v>833</v>
      </c>
      <c r="O16">
        <v>1970</v>
      </c>
    </row>
    <row r="17" spans="1:15">
      <c r="A17">
        <v>1503960366</v>
      </c>
      <c r="B17" s="1">
        <v>42487</v>
      </c>
      <c r="C17">
        <v>18134</v>
      </c>
      <c r="D17">
        <v>12.210000038146999</v>
      </c>
      <c r="E17">
        <v>12.210000038146999</v>
      </c>
      <c r="F17">
        <v>0</v>
      </c>
      <c r="G17">
        <v>6.4000000953674299</v>
      </c>
      <c r="H17">
        <v>0.40999999642372098</v>
      </c>
      <c r="I17">
        <v>5.4099998474121103</v>
      </c>
      <c r="J17">
        <v>0</v>
      </c>
      <c r="K17">
        <v>78</v>
      </c>
      <c r="L17">
        <v>11</v>
      </c>
      <c r="M17">
        <v>243</v>
      </c>
      <c r="N17">
        <v>1108</v>
      </c>
      <c r="O17">
        <v>2159</v>
      </c>
    </row>
    <row r="18" spans="1:15">
      <c r="A18">
        <v>1503960366</v>
      </c>
      <c r="B18" s="1">
        <v>42488</v>
      </c>
      <c r="C18">
        <v>13154</v>
      </c>
      <c r="D18">
        <v>8.5299997329711896</v>
      </c>
      <c r="E18">
        <v>8.5299997329711896</v>
      </c>
      <c r="F18">
        <v>0</v>
      </c>
      <c r="G18">
        <v>3.53999996185303</v>
      </c>
      <c r="H18">
        <v>1.1599999666214</v>
      </c>
      <c r="I18">
        <v>3.78999996185303</v>
      </c>
      <c r="J18">
        <v>0</v>
      </c>
      <c r="K18">
        <v>48</v>
      </c>
      <c r="L18">
        <v>28</v>
      </c>
      <c r="M18">
        <v>189</v>
      </c>
      <c r="N18">
        <v>782</v>
      </c>
      <c r="O18">
        <v>1898</v>
      </c>
    </row>
    <row r="19" spans="1:15">
      <c r="A19">
        <v>1503960366</v>
      </c>
      <c r="B19" s="1">
        <v>42489</v>
      </c>
      <c r="C19">
        <v>11181</v>
      </c>
      <c r="D19">
        <v>7.1500000953674299</v>
      </c>
      <c r="E19">
        <v>7.1500000953674299</v>
      </c>
      <c r="F19">
        <v>0</v>
      </c>
      <c r="G19">
        <v>1.0599999427795399</v>
      </c>
      <c r="H19">
        <v>0.5</v>
      </c>
      <c r="I19">
        <v>5.5799999237060502</v>
      </c>
      <c r="J19">
        <v>0</v>
      </c>
      <c r="K19">
        <v>16</v>
      </c>
      <c r="L19">
        <v>12</v>
      </c>
      <c r="M19">
        <v>243</v>
      </c>
      <c r="N19">
        <v>815</v>
      </c>
      <c r="O19">
        <v>1837</v>
      </c>
    </row>
    <row r="20" spans="1:15">
      <c r="A20">
        <v>1503960366</v>
      </c>
      <c r="B20" s="1">
        <v>42490</v>
      </c>
      <c r="C20">
        <v>14673</v>
      </c>
      <c r="D20">
        <v>9.25</v>
      </c>
      <c r="E20">
        <v>9.25</v>
      </c>
      <c r="F20">
        <v>0</v>
      </c>
      <c r="G20">
        <v>3.5599999427795401</v>
      </c>
      <c r="H20">
        <v>1.41999995708466</v>
      </c>
      <c r="I20">
        <v>4.2699999809265101</v>
      </c>
      <c r="J20">
        <v>0</v>
      </c>
      <c r="K20">
        <v>52</v>
      </c>
      <c r="L20">
        <v>34</v>
      </c>
      <c r="M20">
        <v>217</v>
      </c>
      <c r="N20">
        <v>712</v>
      </c>
      <c r="O20">
        <v>1947</v>
      </c>
    </row>
    <row r="21" spans="1:15">
      <c r="A21">
        <v>1503960366</v>
      </c>
      <c r="B21" s="1">
        <v>42491</v>
      </c>
      <c r="C21">
        <v>10602</v>
      </c>
      <c r="D21">
        <v>6.8099999427795401</v>
      </c>
      <c r="E21">
        <v>6.8099999427795401</v>
      </c>
      <c r="F21">
        <v>0</v>
      </c>
      <c r="G21">
        <v>2.28999996185303</v>
      </c>
      <c r="H21">
        <v>1.6000000238418599</v>
      </c>
      <c r="I21">
        <v>2.9200000762939502</v>
      </c>
      <c r="J21">
        <v>0</v>
      </c>
      <c r="K21">
        <v>33</v>
      </c>
      <c r="L21">
        <v>35</v>
      </c>
      <c r="M21">
        <v>246</v>
      </c>
      <c r="N21">
        <v>730</v>
      </c>
      <c r="O21">
        <v>1820</v>
      </c>
    </row>
    <row r="22" spans="1:15">
      <c r="A22">
        <v>1503960366</v>
      </c>
      <c r="B22" s="1">
        <v>42492</v>
      </c>
      <c r="C22">
        <v>14727</v>
      </c>
      <c r="D22">
        <v>9.7100000381469709</v>
      </c>
      <c r="E22">
        <v>9.7100000381469709</v>
      </c>
      <c r="F22">
        <v>0</v>
      </c>
      <c r="G22">
        <v>3.21000003814697</v>
      </c>
      <c r="H22">
        <v>0.56999999284744296</v>
      </c>
      <c r="I22">
        <v>5.9200000762939498</v>
      </c>
      <c r="J22">
        <v>0</v>
      </c>
      <c r="K22">
        <v>41</v>
      </c>
      <c r="L22">
        <v>15</v>
      </c>
      <c r="M22">
        <v>277</v>
      </c>
      <c r="N22">
        <v>798</v>
      </c>
      <c r="O22">
        <v>2004</v>
      </c>
    </row>
    <row r="23" spans="1:15">
      <c r="A23">
        <v>1503960366</v>
      </c>
      <c r="B23" s="1">
        <v>42493</v>
      </c>
      <c r="C23">
        <v>15103</v>
      </c>
      <c r="D23">
        <v>9.6599998474121094</v>
      </c>
      <c r="E23">
        <v>9.6599998474121094</v>
      </c>
      <c r="F23">
        <v>0</v>
      </c>
      <c r="G23">
        <v>3.7300000190734899</v>
      </c>
      <c r="H23">
        <v>1.04999995231628</v>
      </c>
      <c r="I23">
        <v>4.8800001144409197</v>
      </c>
      <c r="J23">
        <v>0</v>
      </c>
      <c r="K23">
        <v>50</v>
      </c>
      <c r="L23">
        <v>24</v>
      </c>
      <c r="M23">
        <v>254</v>
      </c>
      <c r="N23">
        <v>816</v>
      </c>
      <c r="O23">
        <v>1990</v>
      </c>
    </row>
    <row r="24" spans="1:15">
      <c r="A24">
        <v>1503960366</v>
      </c>
      <c r="B24" s="1">
        <v>42494</v>
      </c>
      <c r="C24">
        <v>11100</v>
      </c>
      <c r="D24">
        <v>7.1500000953674299</v>
      </c>
      <c r="E24">
        <v>7.1500000953674299</v>
      </c>
      <c r="F24">
        <v>0</v>
      </c>
      <c r="G24">
        <v>2.46000003814697</v>
      </c>
      <c r="H24">
        <v>0.87000000476837203</v>
      </c>
      <c r="I24">
        <v>3.8199999332428001</v>
      </c>
      <c r="J24">
        <v>0</v>
      </c>
      <c r="K24">
        <v>36</v>
      </c>
      <c r="L24">
        <v>22</v>
      </c>
      <c r="M24">
        <v>203</v>
      </c>
      <c r="N24">
        <v>1179</v>
      </c>
      <c r="O24">
        <v>1819</v>
      </c>
    </row>
    <row r="25" spans="1:15">
      <c r="A25">
        <v>1503960366</v>
      </c>
      <c r="B25" s="1">
        <v>42495</v>
      </c>
      <c r="C25">
        <v>14070</v>
      </c>
      <c r="D25">
        <v>8.8999996185302699</v>
      </c>
      <c r="E25">
        <v>8.8999996185302699</v>
      </c>
      <c r="F25">
        <v>0</v>
      </c>
      <c r="G25">
        <v>2.9200000762939502</v>
      </c>
      <c r="H25">
        <v>1.08000004291534</v>
      </c>
      <c r="I25">
        <v>4.8800001144409197</v>
      </c>
      <c r="J25">
        <v>0</v>
      </c>
      <c r="K25">
        <v>45</v>
      </c>
      <c r="L25">
        <v>24</v>
      </c>
      <c r="M25">
        <v>250</v>
      </c>
      <c r="N25">
        <v>857</v>
      </c>
      <c r="O25">
        <v>1959</v>
      </c>
    </row>
    <row r="26" spans="1:15">
      <c r="A26">
        <v>1503960366</v>
      </c>
      <c r="B26" s="1">
        <v>42496</v>
      </c>
      <c r="C26">
        <v>12159</v>
      </c>
      <c r="D26">
        <v>8.0299997329711896</v>
      </c>
      <c r="E26">
        <v>8.0299997329711896</v>
      </c>
      <c r="F26">
        <v>0</v>
      </c>
      <c r="G26">
        <v>1.9700000286102299</v>
      </c>
      <c r="H26">
        <v>0.25</v>
      </c>
      <c r="I26">
        <v>5.8099999427795401</v>
      </c>
      <c r="J26">
        <v>0</v>
      </c>
      <c r="K26">
        <v>24</v>
      </c>
      <c r="L26">
        <v>6</v>
      </c>
      <c r="M26">
        <v>289</v>
      </c>
      <c r="N26">
        <v>754</v>
      </c>
      <c r="O26">
        <v>1896</v>
      </c>
    </row>
    <row r="27" spans="1:15">
      <c r="A27">
        <v>1503960366</v>
      </c>
      <c r="B27" s="1">
        <v>42497</v>
      </c>
      <c r="C27">
        <v>11992</v>
      </c>
      <c r="D27">
        <v>7.71000003814697</v>
      </c>
      <c r="E27">
        <v>7.71000003814697</v>
      </c>
      <c r="F27">
        <v>0</v>
      </c>
      <c r="G27">
        <v>2.46000003814697</v>
      </c>
      <c r="H27">
        <v>2.1199998855590798</v>
      </c>
      <c r="I27">
        <v>3.1300001144409202</v>
      </c>
      <c r="J27">
        <v>0</v>
      </c>
      <c r="K27">
        <v>37</v>
      </c>
      <c r="L27">
        <v>46</v>
      </c>
      <c r="M27">
        <v>175</v>
      </c>
      <c r="N27">
        <v>833</v>
      </c>
      <c r="O27">
        <v>1821</v>
      </c>
    </row>
    <row r="28" spans="1:15">
      <c r="A28">
        <v>1503960366</v>
      </c>
      <c r="B28" s="1">
        <v>42498</v>
      </c>
      <c r="C28">
        <v>10060</v>
      </c>
      <c r="D28">
        <v>6.5799999237060502</v>
      </c>
      <c r="E28">
        <v>6.5799999237060502</v>
      </c>
      <c r="F28">
        <v>0</v>
      </c>
      <c r="G28">
        <v>3.5299999713897701</v>
      </c>
      <c r="H28">
        <v>0.31999999284744302</v>
      </c>
      <c r="I28">
        <v>2.7300000190734899</v>
      </c>
      <c r="J28">
        <v>0</v>
      </c>
      <c r="K28">
        <v>44</v>
      </c>
      <c r="L28">
        <v>8</v>
      </c>
      <c r="M28">
        <v>203</v>
      </c>
      <c r="N28">
        <v>574</v>
      </c>
      <c r="O28">
        <v>1740</v>
      </c>
    </row>
    <row r="29" spans="1:15">
      <c r="A29">
        <v>1503960366</v>
      </c>
      <c r="B29" s="1">
        <v>42499</v>
      </c>
      <c r="C29">
        <v>12022</v>
      </c>
      <c r="D29">
        <v>7.7199997901916504</v>
      </c>
      <c r="E29">
        <v>7.7199997901916504</v>
      </c>
      <c r="F29">
        <v>0</v>
      </c>
      <c r="G29">
        <v>3.4500000476837198</v>
      </c>
      <c r="H29">
        <v>0.52999997138977095</v>
      </c>
      <c r="I29">
        <v>3.7400000095367401</v>
      </c>
      <c r="J29">
        <v>0</v>
      </c>
      <c r="K29">
        <v>46</v>
      </c>
      <c r="L29">
        <v>11</v>
      </c>
      <c r="M29">
        <v>206</v>
      </c>
      <c r="N29">
        <v>835</v>
      </c>
      <c r="O29">
        <v>1819</v>
      </c>
    </row>
    <row r="30" spans="1:15">
      <c r="A30">
        <v>1503960366</v>
      </c>
      <c r="B30" s="1">
        <v>42500</v>
      </c>
      <c r="C30">
        <v>12207</v>
      </c>
      <c r="D30">
        <v>7.7699999809265101</v>
      </c>
      <c r="E30">
        <v>7.7699999809265101</v>
      </c>
      <c r="F30">
        <v>0</v>
      </c>
      <c r="G30">
        <v>3.3499999046325701</v>
      </c>
      <c r="H30">
        <v>1.1599999666214</v>
      </c>
      <c r="I30">
        <v>3.2599999904632599</v>
      </c>
      <c r="J30">
        <v>0</v>
      </c>
      <c r="K30">
        <v>46</v>
      </c>
      <c r="L30">
        <v>31</v>
      </c>
      <c r="M30">
        <v>214</v>
      </c>
      <c r="N30">
        <v>746</v>
      </c>
      <c r="O30">
        <v>1859</v>
      </c>
    </row>
    <row r="31" spans="1:15">
      <c r="A31">
        <v>1503960366</v>
      </c>
      <c r="B31" s="1">
        <v>42501</v>
      </c>
      <c r="C31">
        <v>12770</v>
      </c>
      <c r="D31">
        <v>8.1300001144409197</v>
      </c>
      <c r="E31">
        <v>8.1300001144409197</v>
      </c>
      <c r="F31">
        <v>0</v>
      </c>
      <c r="G31">
        <v>2.5599999427795401</v>
      </c>
      <c r="H31">
        <v>1.0099999904632599</v>
      </c>
      <c r="I31">
        <v>4.5500001907348597</v>
      </c>
      <c r="J31">
        <v>0</v>
      </c>
      <c r="K31">
        <v>36</v>
      </c>
      <c r="L31">
        <v>23</v>
      </c>
      <c r="M31">
        <v>251</v>
      </c>
      <c r="N31">
        <v>669</v>
      </c>
      <c r="O31">
        <v>1783</v>
      </c>
    </row>
    <row r="32" spans="1:15">
      <c r="A32">
        <v>1503960366</v>
      </c>
      <c r="B32" s="1">
        <v>42502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1440</v>
      </c>
      <c r="O32">
        <v>0</v>
      </c>
    </row>
    <row r="33" spans="1:15">
      <c r="A33">
        <v>1624580081</v>
      </c>
      <c r="B33" s="1">
        <v>42472</v>
      </c>
      <c r="C33">
        <v>8163</v>
      </c>
      <c r="D33">
        <v>5.3099999427795401</v>
      </c>
      <c r="E33">
        <v>5.3099999427795401</v>
      </c>
      <c r="F33">
        <v>0</v>
      </c>
      <c r="G33">
        <v>0</v>
      </c>
      <c r="H33">
        <v>0</v>
      </c>
      <c r="I33">
        <v>5.3099999427795401</v>
      </c>
      <c r="J33">
        <v>0</v>
      </c>
      <c r="K33">
        <v>0</v>
      </c>
      <c r="L33">
        <v>0</v>
      </c>
      <c r="M33">
        <v>146</v>
      </c>
      <c r="N33">
        <v>1294</v>
      </c>
      <c r="O33">
        <v>1432</v>
      </c>
    </row>
    <row r="34" spans="1:15">
      <c r="A34">
        <v>1624580081</v>
      </c>
      <c r="B34" s="1">
        <v>42473</v>
      </c>
      <c r="C34">
        <v>7007</v>
      </c>
      <c r="D34">
        <v>4.5500001907348597</v>
      </c>
      <c r="E34">
        <v>4.5500001907348597</v>
      </c>
      <c r="F34">
        <v>0</v>
      </c>
      <c r="G34">
        <v>0</v>
      </c>
      <c r="H34">
        <v>0</v>
      </c>
      <c r="I34">
        <v>4.5500001907348597</v>
      </c>
      <c r="J34">
        <v>0</v>
      </c>
      <c r="K34">
        <v>0</v>
      </c>
      <c r="L34">
        <v>0</v>
      </c>
      <c r="M34">
        <v>148</v>
      </c>
      <c r="N34">
        <v>1292</v>
      </c>
      <c r="O34">
        <v>1411</v>
      </c>
    </row>
    <row r="35" spans="1:15">
      <c r="A35">
        <v>1624580081</v>
      </c>
      <c r="B35" s="1">
        <v>42474</v>
      </c>
      <c r="C35">
        <v>9107</v>
      </c>
      <c r="D35">
        <v>5.9200000762939498</v>
      </c>
      <c r="E35">
        <v>5.9200000762939498</v>
      </c>
      <c r="F35">
        <v>0</v>
      </c>
      <c r="G35">
        <v>0</v>
      </c>
      <c r="H35">
        <v>0</v>
      </c>
      <c r="I35">
        <v>5.9099998474121103</v>
      </c>
      <c r="J35">
        <v>9.9999997764825804E-3</v>
      </c>
      <c r="K35">
        <v>0</v>
      </c>
      <c r="L35">
        <v>0</v>
      </c>
      <c r="M35">
        <v>236</v>
      </c>
      <c r="N35">
        <v>1204</v>
      </c>
      <c r="O35">
        <v>1572</v>
      </c>
    </row>
    <row r="36" spans="1:15">
      <c r="A36">
        <v>1624580081</v>
      </c>
      <c r="B36" s="1">
        <v>42475</v>
      </c>
      <c r="C36">
        <v>1510</v>
      </c>
      <c r="D36">
        <v>0.980000019073486</v>
      </c>
      <c r="E36">
        <v>0.980000019073486</v>
      </c>
      <c r="F36">
        <v>0</v>
      </c>
      <c r="G36">
        <v>0</v>
      </c>
      <c r="H36">
        <v>0</v>
      </c>
      <c r="I36">
        <v>0.97000002861022905</v>
      </c>
      <c r="J36">
        <v>0</v>
      </c>
      <c r="K36">
        <v>0</v>
      </c>
      <c r="L36">
        <v>0</v>
      </c>
      <c r="M36">
        <v>96</v>
      </c>
      <c r="N36">
        <v>1344</v>
      </c>
      <c r="O36">
        <v>1344</v>
      </c>
    </row>
    <row r="37" spans="1:15">
      <c r="A37">
        <v>1624580081</v>
      </c>
      <c r="B37" s="1">
        <v>42476</v>
      </c>
      <c r="C37">
        <v>5370</v>
      </c>
      <c r="D37">
        <v>3.4900000095367401</v>
      </c>
      <c r="E37">
        <v>3.4900000095367401</v>
      </c>
      <c r="F37">
        <v>0</v>
      </c>
      <c r="G37">
        <v>0</v>
      </c>
      <c r="H37">
        <v>0</v>
      </c>
      <c r="I37">
        <v>3.4900000095367401</v>
      </c>
      <c r="J37">
        <v>0</v>
      </c>
      <c r="K37">
        <v>0</v>
      </c>
      <c r="L37">
        <v>0</v>
      </c>
      <c r="M37">
        <v>176</v>
      </c>
      <c r="N37">
        <v>1264</v>
      </c>
      <c r="O37">
        <v>1463</v>
      </c>
    </row>
    <row r="38" spans="1:15">
      <c r="A38">
        <v>1624580081</v>
      </c>
      <c r="B38" s="1">
        <v>42477</v>
      </c>
      <c r="C38">
        <v>6175</v>
      </c>
      <c r="D38">
        <v>4.0599999427795401</v>
      </c>
      <c r="E38">
        <v>4.0599999427795401</v>
      </c>
      <c r="F38">
        <v>0</v>
      </c>
      <c r="G38">
        <v>1.0299999713897701</v>
      </c>
      <c r="H38">
        <v>1.5199999809265099</v>
      </c>
      <c r="I38">
        <v>1.4900000095367401</v>
      </c>
      <c r="J38">
        <v>9.9999997764825804E-3</v>
      </c>
      <c r="K38">
        <v>15</v>
      </c>
      <c r="L38">
        <v>22</v>
      </c>
      <c r="M38">
        <v>127</v>
      </c>
      <c r="N38">
        <v>1276</v>
      </c>
      <c r="O38">
        <v>1554</v>
      </c>
    </row>
    <row r="39" spans="1:15">
      <c r="A39">
        <v>1624580081</v>
      </c>
      <c r="B39" s="1">
        <v>42478</v>
      </c>
      <c r="C39">
        <v>10536</v>
      </c>
      <c r="D39">
        <v>7.4099998474121103</v>
      </c>
      <c r="E39">
        <v>7.4099998474121103</v>
      </c>
      <c r="F39">
        <v>0</v>
      </c>
      <c r="G39">
        <v>2.1500000953674299</v>
      </c>
      <c r="H39">
        <v>0.62000000476837203</v>
      </c>
      <c r="I39">
        <v>4.6199998855590803</v>
      </c>
      <c r="J39">
        <v>9.9999997764825804E-3</v>
      </c>
      <c r="K39">
        <v>17</v>
      </c>
      <c r="L39">
        <v>7</v>
      </c>
      <c r="M39">
        <v>202</v>
      </c>
      <c r="N39">
        <v>1214</v>
      </c>
      <c r="O39">
        <v>1604</v>
      </c>
    </row>
    <row r="40" spans="1:15">
      <c r="A40">
        <v>1624580081</v>
      </c>
      <c r="B40" s="1">
        <v>42479</v>
      </c>
      <c r="C40">
        <v>2916</v>
      </c>
      <c r="D40">
        <v>1.8999999761581401</v>
      </c>
      <c r="E40">
        <v>1.8999999761581401</v>
      </c>
      <c r="F40">
        <v>0</v>
      </c>
      <c r="G40">
        <v>0</v>
      </c>
      <c r="H40">
        <v>0</v>
      </c>
      <c r="I40">
        <v>1.8999999761581401</v>
      </c>
      <c r="J40">
        <v>0</v>
      </c>
      <c r="K40">
        <v>0</v>
      </c>
      <c r="L40">
        <v>0</v>
      </c>
      <c r="M40">
        <v>141</v>
      </c>
      <c r="N40">
        <v>1299</v>
      </c>
      <c r="O40">
        <v>1435</v>
      </c>
    </row>
    <row r="41" spans="1:15">
      <c r="A41">
        <v>1624580081</v>
      </c>
      <c r="B41" s="1">
        <v>42480</v>
      </c>
      <c r="C41">
        <v>4974</v>
      </c>
      <c r="D41">
        <v>3.2300000190734899</v>
      </c>
      <c r="E41">
        <v>3.2300000190734899</v>
      </c>
      <c r="F41">
        <v>0</v>
      </c>
      <c r="G41">
        <v>0</v>
      </c>
      <c r="H41">
        <v>0</v>
      </c>
      <c r="I41">
        <v>3.2300000190734899</v>
      </c>
      <c r="J41">
        <v>0</v>
      </c>
      <c r="K41">
        <v>0</v>
      </c>
      <c r="L41">
        <v>0</v>
      </c>
      <c r="M41">
        <v>151</v>
      </c>
      <c r="N41">
        <v>1289</v>
      </c>
      <c r="O41">
        <v>1446</v>
      </c>
    </row>
    <row r="42" spans="1:15">
      <c r="A42">
        <v>1624580081</v>
      </c>
      <c r="B42" s="1">
        <v>42481</v>
      </c>
      <c r="C42">
        <v>6349</v>
      </c>
      <c r="D42">
        <v>4.1300001144409197</v>
      </c>
      <c r="E42">
        <v>4.1300001144409197</v>
      </c>
      <c r="F42">
        <v>0</v>
      </c>
      <c r="G42">
        <v>0</v>
      </c>
      <c r="H42">
        <v>0</v>
      </c>
      <c r="I42">
        <v>4.1100001335143999</v>
      </c>
      <c r="J42">
        <v>1.9999999552965199E-2</v>
      </c>
      <c r="K42">
        <v>0</v>
      </c>
      <c r="L42">
        <v>0</v>
      </c>
      <c r="M42">
        <v>186</v>
      </c>
      <c r="N42">
        <v>1254</v>
      </c>
      <c r="O42">
        <v>1467</v>
      </c>
    </row>
    <row r="43" spans="1:15">
      <c r="A43">
        <v>1624580081</v>
      </c>
      <c r="B43" s="1">
        <v>42482</v>
      </c>
      <c r="C43">
        <v>4026</v>
      </c>
      <c r="D43">
        <v>2.6199998855590798</v>
      </c>
      <c r="E43">
        <v>2.6199998855590798</v>
      </c>
      <c r="F43">
        <v>0</v>
      </c>
      <c r="G43">
        <v>0</v>
      </c>
      <c r="H43">
        <v>0</v>
      </c>
      <c r="I43">
        <v>2.5999999046325701</v>
      </c>
      <c r="J43">
        <v>0</v>
      </c>
      <c r="K43">
        <v>0</v>
      </c>
      <c r="L43">
        <v>0</v>
      </c>
      <c r="M43">
        <v>199</v>
      </c>
      <c r="N43">
        <v>1241</v>
      </c>
      <c r="O43">
        <v>1470</v>
      </c>
    </row>
    <row r="44" spans="1:15">
      <c r="A44">
        <v>1624580081</v>
      </c>
      <c r="B44" s="1">
        <v>42483</v>
      </c>
      <c r="C44">
        <v>8538</v>
      </c>
      <c r="D44">
        <v>5.5500001907348597</v>
      </c>
      <c r="E44">
        <v>5.5500001907348597</v>
      </c>
      <c r="F44">
        <v>0</v>
      </c>
      <c r="G44">
        <v>0</v>
      </c>
      <c r="H44">
        <v>0</v>
      </c>
      <c r="I44">
        <v>5.53999996185303</v>
      </c>
      <c r="J44">
        <v>9.9999997764825804E-3</v>
      </c>
      <c r="K44">
        <v>0</v>
      </c>
      <c r="L44">
        <v>0</v>
      </c>
      <c r="M44">
        <v>227</v>
      </c>
      <c r="N44">
        <v>1213</v>
      </c>
      <c r="O44">
        <v>1562</v>
      </c>
    </row>
    <row r="45" spans="1:15">
      <c r="A45">
        <v>1624580081</v>
      </c>
      <c r="B45" s="1">
        <v>42484</v>
      </c>
      <c r="C45">
        <v>6076</v>
      </c>
      <c r="D45">
        <v>3.9500000476837198</v>
      </c>
      <c r="E45">
        <v>3.9500000476837198</v>
      </c>
      <c r="F45">
        <v>0</v>
      </c>
      <c r="G45">
        <v>1.1499999761581401</v>
      </c>
      <c r="H45">
        <v>0.91000002622604403</v>
      </c>
      <c r="I45">
        <v>1.8899999856948899</v>
      </c>
      <c r="J45">
        <v>0</v>
      </c>
      <c r="K45">
        <v>16</v>
      </c>
      <c r="L45">
        <v>18</v>
      </c>
      <c r="M45">
        <v>185</v>
      </c>
      <c r="N45">
        <v>1221</v>
      </c>
      <c r="O45">
        <v>1617</v>
      </c>
    </row>
    <row r="46" spans="1:15">
      <c r="A46">
        <v>1624580081</v>
      </c>
      <c r="B46" s="1">
        <v>42485</v>
      </c>
      <c r="C46">
        <v>6497</v>
      </c>
      <c r="D46">
        <v>4.2199997901916504</v>
      </c>
      <c r="E46">
        <v>4.2199997901916504</v>
      </c>
      <c r="F46">
        <v>0</v>
      </c>
      <c r="G46">
        <v>0</v>
      </c>
      <c r="H46">
        <v>0</v>
      </c>
      <c r="I46">
        <v>4.1999998092651403</v>
      </c>
      <c r="J46">
        <v>1.9999999552965199E-2</v>
      </c>
      <c r="K46">
        <v>0</v>
      </c>
      <c r="L46">
        <v>0</v>
      </c>
      <c r="M46">
        <v>202</v>
      </c>
      <c r="N46">
        <v>1238</v>
      </c>
      <c r="O46">
        <v>1492</v>
      </c>
    </row>
    <row r="47" spans="1:15">
      <c r="A47">
        <v>1624580081</v>
      </c>
      <c r="B47" s="1">
        <v>42486</v>
      </c>
      <c r="C47">
        <v>2826</v>
      </c>
      <c r="D47">
        <v>1.8400000333786</v>
      </c>
      <c r="E47">
        <v>1.8400000333786</v>
      </c>
      <c r="F47">
        <v>0</v>
      </c>
      <c r="G47">
        <v>0</v>
      </c>
      <c r="H47">
        <v>0</v>
      </c>
      <c r="I47">
        <v>1.83000004291534</v>
      </c>
      <c r="J47">
        <v>9.9999997764825804E-3</v>
      </c>
      <c r="K47">
        <v>0</v>
      </c>
      <c r="L47">
        <v>0</v>
      </c>
      <c r="M47">
        <v>140</v>
      </c>
      <c r="N47">
        <v>1300</v>
      </c>
      <c r="O47">
        <v>1402</v>
      </c>
    </row>
    <row r="48" spans="1:15">
      <c r="A48">
        <v>1624580081</v>
      </c>
      <c r="B48" s="1">
        <v>42487</v>
      </c>
      <c r="C48">
        <v>8367</v>
      </c>
      <c r="D48">
        <v>5.4400000572204599</v>
      </c>
      <c r="E48">
        <v>5.4400000572204599</v>
      </c>
      <c r="F48">
        <v>0</v>
      </c>
      <c r="G48">
        <v>1.1100000143051101</v>
      </c>
      <c r="H48">
        <v>1.87000000476837</v>
      </c>
      <c r="I48">
        <v>2.46000003814697</v>
      </c>
      <c r="J48">
        <v>0</v>
      </c>
      <c r="K48">
        <v>17</v>
      </c>
      <c r="L48">
        <v>36</v>
      </c>
      <c r="M48">
        <v>154</v>
      </c>
      <c r="N48">
        <v>1233</v>
      </c>
      <c r="O48">
        <v>1670</v>
      </c>
    </row>
    <row r="49" spans="1:15">
      <c r="A49">
        <v>1624580081</v>
      </c>
      <c r="B49" s="1">
        <v>42488</v>
      </c>
      <c r="C49">
        <v>2759</v>
      </c>
      <c r="D49">
        <v>1.78999996185303</v>
      </c>
      <c r="E49">
        <v>1.78999996185303</v>
      </c>
      <c r="F49">
        <v>0</v>
      </c>
      <c r="G49">
        <v>0</v>
      </c>
      <c r="H49">
        <v>0.20000000298023199</v>
      </c>
      <c r="I49">
        <v>1.6000000238418599</v>
      </c>
      <c r="J49">
        <v>0</v>
      </c>
      <c r="K49">
        <v>0</v>
      </c>
      <c r="L49">
        <v>5</v>
      </c>
      <c r="M49">
        <v>115</v>
      </c>
      <c r="N49">
        <v>1320</v>
      </c>
      <c r="O49">
        <v>1401</v>
      </c>
    </row>
    <row r="50" spans="1:15">
      <c r="A50">
        <v>1624580081</v>
      </c>
      <c r="B50" s="1">
        <v>42489</v>
      </c>
      <c r="C50">
        <v>2390</v>
      </c>
      <c r="D50">
        <v>1.54999995231628</v>
      </c>
      <c r="E50">
        <v>1.54999995231628</v>
      </c>
      <c r="F50">
        <v>0</v>
      </c>
      <c r="G50">
        <v>0</v>
      </c>
      <c r="H50">
        <v>0</v>
      </c>
      <c r="I50">
        <v>1.54999995231628</v>
      </c>
      <c r="J50">
        <v>0</v>
      </c>
      <c r="K50">
        <v>0</v>
      </c>
      <c r="L50">
        <v>0</v>
      </c>
      <c r="M50">
        <v>150</v>
      </c>
      <c r="N50">
        <v>1290</v>
      </c>
      <c r="O50">
        <v>1404</v>
      </c>
    </row>
    <row r="51" spans="1:15">
      <c r="A51">
        <v>1624580081</v>
      </c>
      <c r="B51" s="1">
        <v>42490</v>
      </c>
      <c r="C51">
        <v>6474</v>
      </c>
      <c r="D51">
        <v>4.3000001907348597</v>
      </c>
      <c r="E51">
        <v>4.3000001907348597</v>
      </c>
      <c r="F51">
        <v>0</v>
      </c>
      <c r="G51">
        <v>0.89999997615814198</v>
      </c>
      <c r="H51">
        <v>1.2799999713897701</v>
      </c>
      <c r="I51">
        <v>2.1199998855590798</v>
      </c>
      <c r="J51">
        <v>9.9999997764825804E-3</v>
      </c>
      <c r="K51">
        <v>11</v>
      </c>
      <c r="L51">
        <v>23</v>
      </c>
      <c r="M51">
        <v>224</v>
      </c>
      <c r="N51">
        <v>1182</v>
      </c>
      <c r="O51">
        <v>1655</v>
      </c>
    </row>
    <row r="52" spans="1:15">
      <c r="A52">
        <v>1624580081</v>
      </c>
      <c r="B52" s="1">
        <v>42491</v>
      </c>
      <c r="C52">
        <v>36019</v>
      </c>
      <c r="D52">
        <v>28.030000686645501</v>
      </c>
      <c r="E52">
        <v>28.030000686645501</v>
      </c>
      <c r="F52">
        <v>0</v>
      </c>
      <c r="G52">
        <v>21.920000076293899</v>
      </c>
      <c r="H52">
        <v>4.1900000572204599</v>
      </c>
      <c r="I52">
        <v>1.9099999666214</v>
      </c>
      <c r="J52">
        <v>1.9999999552965199E-2</v>
      </c>
      <c r="K52">
        <v>186</v>
      </c>
      <c r="L52">
        <v>63</v>
      </c>
      <c r="M52">
        <v>171</v>
      </c>
      <c r="N52">
        <v>1020</v>
      </c>
      <c r="O52">
        <v>2690</v>
      </c>
    </row>
    <row r="53" spans="1:15">
      <c r="A53">
        <v>1624580081</v>
      </c>
      <c r="B53" s="1">
        <v>42492</v>
      </c>
      <c r="C53">
        <v>7155</v>
      </c>
      <c r="D53">
        <v>4.9299998283386204</v>
      </c>
      <c r="E53">
        <v>4.9299998283386204</v>
      </c>
      <c r="F53">
        <v>0</v>
      </c>
      <c r="G53">
        <v>0.86000001430511497</v>
      </c>
      <c r="H53">
        <v>0.58999997377395597</v>
      </c>
      <c r="I53">
        <v>3.4700000286102299</v>
      </c>
      <c r="J53">
        <v>0</v>
      </c>
      <c r="K53">
        <v>7</v>
      </c>
      <c r="L53">
        <v>6</v>
      </c>
      <c r="M53">
        <v>166</v>
      </c>
      <c r="N53">
        <v>1261</v>
      </c>
      <c r="O53">
        <v>1497</v>
      </c>
    </row>
    <row r="54" spans="1:15">
      <c r="A54">
        <v>1624580081</v>
      </c>
      <c r="B54" s="1">
        <v>42493</v>
      </c>
      <c r="C54">
        <v>2100</v>
      </c>
      <c r="D54">
        <v>1.37000000476837</v>
      </c>
      <c r="E54">
        <v>1.37000000476837</v>
      </c>
      <c r="F54">
        <v>0</v>
      </c>
      <c r="G54">
        <v>0</v>
      </c>
      <c r="H54">
        <v>0</v>
      </c>
      <c r="I54">
        <v>1.3400000333786</v>
      </c>
      <c r="J54">
        <v>1.9999999552965199E-2</v>
      </c>
      <c r="K54">
        <v>0</v>
      </c>
      <c r="L54">
        <v>0</v>
      </c>
      <c r="M54">
        <v>96</v>
      </c>
      <c r="N54">
        <v>1344</v>
      </c>
      <c r="O54">
        <v>1334</v>
      </c>
    </row>
    <row r="55" spans="1:15">
      <c r="A55">
        <v>1624580081</v>
      </c>
      <c r="B55" s="1">
        <v>42494</v>
      </c>
      <c r="C55">
        <v>2193</v>
      </c>
      <c r="D55">
        <v>1.4299999475479099</v>
      </c>
      <c r="E55">
        <v>1.4299999475479099</v>
      </c>
      <c r="F55">
        <v>0</v>
      </c>
      <c r="G55">
        <v>0</v>
      </c>
      <c r="H55">
        <v>0</v>
      </c>
      <c r="I55">
        <v>1.41999995708466</v>
      </c>
      <c r="J55">
        <v>0</v>
      </c>
      <c r="K55">
        <v>0</v>
      </c>
      <c r="L55">
        <v>0</v>
      </c>
      <c r="M55">
        <v>118</v>
      </c>
      <c r="N55">
        <v>1322</v>
      </c>
      <c r="O55">
        <v>1368</v>
      </c>
    </row>
    <row r="56" spans="1:15">
      <c r="A56">
        <v>1624580081</v>
      </c>
      <c r="B56" s="1">
        <v>42495</v>
      </c>
      <c r="C56">
        <v>2470</v>
      </c>
      <c r="D56">
        <v>1.6100000143051101</v>
      </c>
      <c r="E56">
        <v>1.6100000143051101</v>
      </c>
      <c r="F56">
        <v>0</v>
      </c>
      <c r="G56">
        <v>0</v>
      </c>
      <c r="H56">
        <v>0</v>
      </c>
      <c r="I56">
        <v>1.58000004291534</v>
      </c>
      <c r="J56">
        <v>1.9999999552965199E-2</v>
      </c>
      <c r="K56">
        <v>0</v>
      </c>
      <c r="L56">
        <v>0</v>
      </c>
      <c r="M56">
        <v>117</v>
      </c>
      <c r="N56">
        <v>1323</v>
      </c>
      <c r="O56">
        <v>1370</v>
      </c>
    </row>
    <row r="57" spans="1:15">
      <c r="A57">
        <v>1624580081</v>
      </c>
      <c r="B57" s="1">
        <v>42496</v>
      </c>
      <c r="C57">
        <v>1727</v>
      </c>
      <c r="D57">
        <v>1.12000000476837</v>
      </c>
      <c r="E57">
        <v>1.12000000476837</v>
      </c>
      <c r="F57">
        <v>0</v>
      </c>
      <c r="G57">
        <v>0</v>
      </c>
      <c r="H57">
        <v>0</v>
      </c>
      <c r="I57">
        <v>1.12000000476837</v>
      </c>
      <c r="J57">
        <v>9.9999997764825804E-3</v>
      </c>
      <c r="K57">
        <v>0</v>
      </c>
      <c r="L57">
        <v>0</v>
      </c>
      <c r="M57">
        <v>102</v>
      </c>
      <c r="N57">
        <v>1338</v>
      </c>
      <c r="O57">
        <v>1341</v>
      </c>
    </row>
    <row r="58" spans="1:15">
      <c r="A58">
        <v>1624580081</v>
      </c>
      <c r="B58" s="1">
        <v>42497</v>
      </c>
      <c r="C58">
        <v>2104</v>
      </c>
      <c r="D58">
        <v>1.37000000476837</v>
      </c>
      <c r="E58">
        <v>1.37000000476837</v>
      </c>
      <c r="F58">
        <v>0</v>
      </c>
      <c r="G58">
        <v>0</v>
      </c>
      <c r="H58">
        <v>0</v>
      </c>
      <c r="I58">
        <v>1.37000000476837</v>
      </c>
      <c r="J58">
        <v>0</v>
      </c>
      <c r="K58">
        <v>0</v>
      </c>
      <c r="L58">
        <v>0</v>
      </c>
      <c r="M58">
        <v>182</v>
      </c>
      <c r="N58">
        <v>1258</v>
      </c>
      <c r="O58">
        <v>1474</v>
      </c>
    </row>
    <row r="59" spans="1:15">
      <c r="A59">
        <v>1624580081</v>
      </c>
      <c r="B59" s="1">
        <v>42498</v>
      </c>
      <c r="C59">
        <v>3427</v>
      </c>
      <c r="D59">
        <v>2.2300000190734899</v>
      </c>
      <c r="E59">
        <v>2.2300000190734899</v>
      </c>
      <c r="F59">
        <v>0</v>
      </c>
      <c r="G59">
        <v>0</v>
      </c>
      <c r="H59">
        <v>0</v>
      </c>
      <c r="I59">
        <v>2.2200000286102299</v>
      </c>
      <c r="J59">
        <v>0</v>
      </c>
      <c r="K59">
        <v>0</v>
      </c>
      <c r="L59">
        <v>0</v>
      </c>
      <c r="M59">
        <v>152</v>
      </c>
      <c r="N59">
        <v>1288</v>
      </c>
      <c r="O59">
        <v>1427</v>
      </c>
    </row>
    <row r="60" spans="1:15">
      <c r="A60">
        <v>1624580081</v>
      </c>
      <c r="B60" s="1">
        <v>42499</v>
      </c>
      <c r="C60">
        <v>1732</v>
      </c>
      <c r="D60">
        <v>1.12999999523163</v>
      </c>
      <c r="E60">
        <v>1.12999999523163</v>
      </c>
      <c r="F60">
        <v>0</v>
      </c>
      <c r="G60">
        <v>0</v>
      </c>
      <c r="H60">
        <v>0</v>
      </c>
      <c r="I60">
        <v>1.12999999523163</v>
      </c>
      <c r="J60">
        <v>0</v>
      </c>
      <c r="K60">
        <v>0</v>
      </c>
      <c r="L60">
        <v>0</v>
      </c>
      <c r="M60">
        <v>91</v>
      </c>
      <c r="N60">
        <v>1349</v>
      </c>
      <c r="O60">
        <v>1328</v>
      </c>
    </row>
    <row r="61" spans="1:15">
      <c r="A61">
        <v>1624580081</v>
      </c>
      <c r="B61" s="1">
        <v>42500</v>
      </c>
      <c r="C61">
        <v>2969</v>
      </c>
      <c r="D61">
        <v>1.9299999475479099</v>
      </c>
      <c r="E61">
        <v>1.9299999475479099</v>
      </c>
      <c r="F61">
        <v>0</v>
      </c>
      <c r="G61">
        <v>0</v>
      </c>
      <c r="H61">
        <v>0</v>
      </c>
      <c r="I61">
        <v>1.91999995708466</v>
      </c>
      <c r="J61">
        <v>9.9999997764825804E-3</v>
      </c>
      <c r="K61">
        <v>0</v>
      </c>
      <c r="L61">
        <v>0</v>
      </c>
      <c r="M61">
        <v>139</v>
      </c>
      <c r="N61">
        <v>1301</v>
      </c>
      <c r="O61">
        <v>1393</v>
      </c>
    </row>
    <row r="62" spans="1:15">
      <c r="A62">
        <v>1624580081</v>
      </c>
      <c r="B62" s="1">
        <v>42501</v>
      </c>
      <c r="C62">
        <v>3134</v>
      </c>
      <c r="D62">
        <v>2.03999996185303</v>
      </c>
      <c r="E62">
        <v>2.03999996185303</v>
      </c>
      <c r="F62">
        <v>0</v>
      </c>
      <c r="G62">
        <v>0</v>
      </c>
      <c r="H62">
        <v>0</v>
      </c>
      <c r="I62">
        <v>2.03999996185303</v>
      </c>
      <c r="J62">
        <v>0</v>
      </c>
      <c r="K62">
        <v>0</v>
      </c>
      <c r="L62">
        <v>0</v>
      </c>
      <c r="M62">
        <v>112</v>
      </c>
      <c r="N62">
        <v>1328</v>
      </c>
      <c r="O62">
        <v>1359</v>
      </c>
    </row>
    <row r="63" spans="1:15">
      <c r="A63">
        <v>1624580081</v>
      </c>
      <c r="B63" s="1">
        <v>42502</v>
      </c>
      <c r="C63">
        <v>2971</v>
      </c>
      <c r="D63">
        <v>1.9299999475479099</v>
      </c>
      <c r="E63">
        <v>1.9299999475479099</v>
      </c>
      <c r="F63">
        <v>0</v>
      </c>
      <c r="G63">
        <v>0</v>
      </c>
      <c r="H63">
        <v>0</v>
      </c>
      <c r="I63">
        <v>1.91999995708466</v>
      </c>
      <c r="J63">
        <v>9.9999997764825804E-3</v>
      </c>
      <c r="K63">
        <v>0</v>
      </c>
      <c r="L63">
        <v>0</v>
      </c>
      <c r="M63">
        <v>107</v>
      </c>
      <c r="N63">
        <v>890</v>
      </c>
      <c r="O63">
        <v>1002</v>
      </c>
    </row>
    <row r="64" spans="1:15">
      <c r="A64">
        <v>1644430081</v>
      </c>
      <c r="B64" s="1">
        <v>42472</v>
      </c>
      <c r="C64">
        <v>10694</v>
      </c>
      <c r="D64">
        <v>7.7699999809265101</v>
      </c>
      <c r="E64">
        <v>7.7699999809265101</v>
      </c>
      <c r="F64">
        <v>0</v>
      </c>
      <c r="G64">
        <v>0.140000000596046</v>
      </c>
      <c r="H64">
        <v>2.2999999523162802</v>
      </c>
      <c r="I64">
        <v>5.3299999237060502</v>
      </c>
      <c r="J64">
        <v>0</v>
      </c>
      <c r="K64">
        <v>2</v>
      </c>
      <c r="L64">
        <v>51</v>
      </c>
      <c r="M64">
        <v>256</v>
      </c>
      <c r="N64">
        <v>1131</v>
      </c>
      <c r="O64">
        <v>3199</v>
      </c>
    </row>
    <row r="65" spans="1:15">
      <c r="A65">
        <v>1644430081</v>
      </c>
      <c r="B65" s="1">
        <v>42473</v>
      </c>
      <c r="C65">
        <v>8001</v>
      </c>
      <c r="D65">
        <v>5.8200001716613796</v>
      </c>
      <c r="E65">
        <v>5.8200001716613796</v>
      </c>
      <c r="F65">
        <v>0</v>
      </c>
      <c r="G65">
        <v>2.2799999713897701</v>
      </c>
      <c r="H65">
        <v>0.89999997615814198</v>
      </c>
      <c r="I65">
        <v>2.6400001049041699</v>
      </c>
      <c r="J65">
        <v>0</v>
      </c>
      <c r="K65">
        <v>30</v>
      </c>
      <c r="L65">
        <v>16</v>
      </c>
      <c r="M65">
        <v>135</v>
      </c>
      <c r="N65">
        <v>1259</v>
      </c>
      <c r="O65">
        <v>2902</v>
      </c>
    </row>
    <row r="66" spans="1:15">
      <c r="A66">
        <v>1644430081</v>
      </c>
      <c r="B66" s="1">
        <v>42474</v>
      </c>
      <c r="C66">
        <v>11037</v>
      </c>
      <c r="D66">
        <v>8.0200004577636701</v>
      </c>
      <c r="E66">
        <v>8.0200004577636701</v>
      </c>
      <c r="F66">
        <v>0</v>
      </c>
      <c r="G66">
        <v>0.36000001430511502</v>
      </c>
      <c r="H66">
        <v>2.5599999427795401</v>
      </c>
      <c r="I66">
        <v>5.0999999046325701</v>
      </c>
      <c r="J66">
        <v>0</v>
      </c>
      <c r="K66">
        <v>5</v>
      </c>
      <c r="L66">
        <v>58</v>
      </c>
      <c r="M66">
        <v>252</v>
      </c>
      <c r="N66">
        <v>1125</v>
      </c>
      <c r="O66">
        <v>3226</v>
      </c>
    </row>
    <row r="67" spans="1:15">
      <c r="A67">
        <v>1644430081</v>
      </c>
      <c r="B67" s="1">
        <v>42475</v>
      </c>
      <c r="C67">
        <v>5263</v>
      </c>
      <c r="D67">
        <v>3.8299999237060498</v>
      </c>
      <c r="E67">
        <v>3.8299999237060498</v>
      </c>
      <c r="F67">
        <v>0</v>
      </c>
      <c r="G67">
        <v>0.21999999880790699</v>
      </c>
      <c r="H67">
        <v>0.15000000596046401</v>
      </c>
      <c r="I67">
        <v>3.4500000476837198</v>
      </c>
      <c r="J67">
        <v>0</v>
      </c>
      <c r="K67">
        <v>3</v>
      </c>
      <c r="L67">
        <v>4</v>
      </c>
      <c r="M67">
        <v>170</v>
      </c>
      <c r="N67">
        <v>1263</v>
      </c>
      <c r="O67">
        <v>2750</v>
      </c>
    </row>
    <row r="68" spans="1:15">
      <c r="A68">
        <v>1644430081</v>
      </c>
      <c r="B68" s="1">
        <v>42476</v>
      </c>
      <c r="C68">
        <v>15300</v>
      </c>
      <c r="D68">
        <v>11.1199998855591</v>
      </c>
      <c r="E68">
        <v>11.1199998855591</v>
      </c>
      <c r="F68">
        <v>0</v>
      </c>
      <c r="G68">
        <v>4.0999999046325701</v>
      </c>
      <c r="H68">
        <v>1.87999999523163</v>
      </c>
      <c r="I68">
        <v>5.0900001525878897</v>
      </c>
      <c r="J68">
        <v>0</v>
      </c>
      <c r="K68">
        <v>51</v>
      </c>
      <c r="L68">
        <v>42</v>
      </c>
      <c r="M68">
        <v>212</v>
      </c>
      <c r="N68">
        <v>1135</v>
      </c>
      <c r="O68">
        <v>3493</v>
      </c>
    </row>
    <row r="69" spans="1:15">
      <c r="A69">
        <v>1644430081</v>
      </c>
      <c r="B69" s="1">
        <v>42477</v>
      </c>
      <c r="C69">
        <v>8757</v>
      </c>
      <c r="D69">
        <v>6.3699998855590803</v>
      </c>
      <c r="E69">
        <v>6.3699998855590803</v>
      </c>
      <c r="F69">
        <v>0</v>
      </c>
      <c r="G69">
        <v>2.25</v>
      </c>
      <c r="H69">
        <v>0.56999999284744296</v>
      </c>
      <c r="I69">
        <v>3.5499999523162802</v>
      </c>
      <c r="J69">
        <v>0</v>
      </c>
      <c r="K69">
        <v>29</v>
      </c>
      <c r="L69">
        <v>13</v>
      </c>
      <c r="M69">
        <v>186</v>
      </c>
      <c r="N69">
        <v>1212</v>
      </c>
      <c r="O69">
        <v>3011</v>
      </c>
    </row>
    <row r="70" spans="1:15">
      <c r="A70">
        <v>1644430081</v>
      </c>
      <c r="B70" s="1">
        <v>42478</v>
      </c>
      <c r="C70">
        <v>7132</v>
      </c>
      <c r="D70">
        <v>5.1900000572204599</v>
      </c>
      <c r="E70">
        <v>5.1900000572204599</v>
      </c>
      <c r="F70">
        <v>0</v>
      </c>
      <c r="G70">
        <v>1.0700000524520901</v>
      </c>
      <c r="H70">
        <v>1.66999995708466</v>
      </c>
      <c r="I70">
        <v>2.4500000476837198</v>
      </c>
      <c r="J70">
        <v>0</v>
      </c>
      <c r="K70">
        <v>15</v>
      </c>
      <c r="L70">
        <v>33</v>
      </c>
      <c r="M70">
        <v>121</v>
      </c>
      <c r="N70">
        <v>1271</v>
      </c>
      <c r="O70">
        <v>2806</v>
      </c>
    </row>
    <row r="71" spans="1:15">
      <c r="A71">
        <v>1644430081</v>
      </c>
      <c r="B71" s="1">
        <v>42479</v>
      </c>
      <c r="C71">
        <v>11256</v>
      </c>
      <c r="D71">
        <v>8.1800003051757795</v>
      </c>
      <c r="E71">
        <v>8.1800003051757795</v>
      </c>
      <c r="F71">
        <v>0</v>
      </c>
      <c r="G71">
        <v>0.36000001430511502</v>
      </c>
      <c r="H71">
        <v>2.5299999713897701</v>
      </c>
      <c r="I71">
        <v>5.3000001907348597</v>
      </c>
      <c r="J71">
        <v>0</v>
      </c>
      <c r="K71">
        <v>5</v>
      </c>
      <c r="L71">
        <v>58</v>
      </c>
      <c r="M71">
        <v>278</v>
      </c>
      <c r="N71">
        <v>1099</v>
      </c>
      <c r="O71">
        <v>3300</v>
      </c>
    </row>
    <row r="72" spans="1:15">
      <c r="A72">
        <v>1644430081</v>
      </c>
      <c r="B72" s="1">
        <v>42480</v>
      </c>
      <c r="C72">
        <v>2436</v>
      </c>
      <c r="D72">
        <v>1.7699999809265099</v>
      </c>
      <c r="E72">
        <v>1.7699999809265099</v>
      </c>
      <c r="F72">
        <v>0</v>
      </c>
      <c r="G72">
        <v>0</v>
      </c>
      <c r="H72">
        <v>0</v>
      </c>
      <c r="I72">
        <v>1.7599999904632599</v>
      </c>
      <c r="J72">
        <v>9.9999997764825804E-3</v>
      </c>
      <c r="K72">
        <v>0</v>
      </c>
      <c r="L72">
        <v>0</v>
      </c>
      <c r="M72">
        <v>125</v>
      </c>
      <c r="N72">
        <v>1315</v>
      </c>
      <c r="O72">
        <v>2430</v>
      </c>
    </row>
    <row r="73" spans="1:15">
      <c r="A73">
        <v>1644430081</v>
      </c>
      <c r="B73" s="1">
        <v>42481</v>
      </c>
      <c r="C73">
        <v>1223</v>
      </c>
      <c r="D73">
        <v>0.88999998569488503</v>
      </c>
      <c r="E73">
        <v>0.88999998569488503</v>
      </c>
      <c r="F73">
        <v>0</v>
      </c>
      <c r="G73">
        <v>0</v>
      </c>
      <c r="H73">
        <v>0</v>
      </c>
      <c r="I73">
        <v>0.87999999523162797</v>
      </c>
      <c r="J73">
        <v>9.9999997764825804E-3</v>
      </c>
      <c r="K73">
        <v>0</v>
      </c>
      <c r="L73">
        <v>0</v>
      </c>
      <c r="M73">
        <v>38</v>
      </c>
      <c r="N73">
        <v>1402</v>
      </c>
      <c r="O73">
        <v>2140</v>
      </c>
    </row>
    <row r="74" spans="1:15">
      <c r="A74">
        <v>1644430081</v>
      </c>
      <c r="B74" s="1">
        <v>42482</v>
      </c>
      <c r="C74">
        <v>3673</v>
      </c>
      <c r="D74">
        <v>2.6700000762939502</v>
      </c>
      <c r="E74">
        <v>2.6700000762939502</v>
      </c>
      <c r="F74">
        <v>0</v>
      </c>
      <c r="G74">
        <v>0</v>
      </c>
      <c r="H74">
        <v>0</v>
      </c>
      <c r="I74">
        <v>2.6600000858306898</v>
      </c>
      <c r="J74">
        <v>9.9999997764825804E-3</v>
      </c>
      <c r="K74">
        <v>0</v>
      </c>
      <c r="L74">
        <v>0</v>
      </c>
      <c r="M74">
        <v>86</v>
      </c>
      <c r="N74">
        <v>1354</v>
      </c>
      <c r="O74">
        <v>2344</v>
      </c>
    </row>
    <row r="75" spans="1:15">
      <c r="A75">
        <v>1644430081</v>
      </c>
      <c r="B75" s="1">
        <v>42483</v>
      </c>
      <c r="C75">
        <v>6637</v>
      </c>
      <c r="D75">
        <v>4.8299999237060502</v>
      </c>
      <c r="E75">
        <v>4.8299999237060502</v>
      </c>
      <c r="F75">
        <v>0</v>
      </c>
      <c r="G75">
        <v>0</v>
      </c>
      <c r="H75">
        <v>0.57999998331069902</v>
      </c>
      <c r="I75">
        <v>4.25</v>
      </c>
      <c r="J75">
        <v>0</v>
      </c>
      <c r="K75">
        <v>0</v>
      </c>
      <c r="L75">
        <v>15</v>
      </c>
      <c r="M75">
        <v>160</v>
      </c>
      <c r="N75">
        <v>1265</v>
      </c>
      <c r="O75">
        <v>2677</v>
      </c>
    </row>
    <row r="76" spans="1:15">
      <c r="A76">
        <v>1644430081</v>
      </c>
      <c r="B76" s="1">
        <v>42484</v>
      </c>
      <c r="C76">
        <v>3321</v>
      </c>
      <c r="D76">
        <v>2.4100000858306898</v>
      </c>
      <c r="E76">
        <v>2.4100000858306898</v>
      </c>
      <c r="F76">
        <v>0</v>
      </c>
      <c r="G76">
        <v>0</v>
      </c>
      <c r="H76">
        <v>0</v>
      </c>
      <c r="I76">
        <v>2.4100000858306898</v>
      </c>
      <c r="J76">
        <v>0</v>
      </c>
      <c r="K76">
        <v>0</v>
      </c>
      <c r="L76">
        <v>0</v>
      </c>
      <c r="M76">
        <v>89</v>
      </c>
      <c r="N76">
        <v>1351</v>
      </c>
      <c r="O76">
        <v>2413</v>
      </c>
    </row>
    <row r="77" spans="1:15">
      <c r="A77">
        <v>1644430081</v>
      </c>
      <c r="B77" s="1">
        <v>42485</v>
      </c>
      <c r="C77">
        <v>3580</v>
      </c>
      <c r="D77">
        <v>2.5999999046325701</v>
      </c>
      <c r="E77">
        <v>2.5999999046325701</v>
      </c>
      <c r="F77">
        <v>0</v>
      </c>
      <c r="G77">
        <v>0.58999997377395597</v>
      </c>
      <c r="H77">
        <v>5.9999998658895499E-2</v>
      </c>
      <c r="I77">
        <v>1.95000004768372</v>
      </c>
      <c r="J77">
        <v>0</v>
      </c>
      <c r="K77">
        <v>8</v>
      </c>
      <c r="L77">
        <v>1</v>
      </c>
      <c r="M77">
        <v>94</v>
      </c>
      <c r="N77">
        <v>1337</v>
      </c>
      <c r="O77">
        <v>2497</v>
      </c>
    </row>
    <row r="78" spans="1:15">
      <c r="A78">
        <v>1644430081</v>
      </c>
      <c r="B78" s="1">
        <v>42486</v>
      </c>
      <c r="C78">
        <v>9919</v>
      </c>
      <c r="D78">
        <v>7.21000003814697</v>
      </c>
      <c r="E78">
        <v>7.21000003814697</v>
      </c>
      <c r="F78">
        <v>0</v>
      </c>
      <c r="G78">
        <v>0.80000001192092896</v>
      </c>
      <c r="H78">
        <v>1.7200000286102299</v>
      </c>
      <c r="I78">
        <v>4.6900000572204599</v>
      </c>
      <c r="J78">
        <v>0</v>
      </c>
      <c r="K78">
        <v>11</v>
      </c>
      <c r="L78">
        <v>41</v>
      </c>
      <c r="M78">
        <v>223</v>
      </c>
      <c r="N78">
        <v>1165</v>
      </c>
      <c r="O78">
        <v>3123</v>
      </c>
    </row>
    <row r="79" spans="1:15">
      <c r="A79">
        <v>1644430081</v>
      </c>
      <c r="B79" s="1">
        <v>42487</v>
      </c>
      <c r="C79">
        <v>3032</v>
      </c>
      <c r="D79">
        <v>2.2000000476837198</v>
      </c>
      <c r="E79">
        <v>2.2000000476837198</v>
      </c>
      <c r="F79">
        <v>0</v>
      </c>
      <c r="G79">
        <v>0</v>
      </c>
      <c r="H79">
        <v>0</v>
      </c>
      <c r="I79">
        <v>2.2000000476837198</v>
      </c>
      <c r="J79">
        <v>0</v>
      </c>
      <c r="K79">
        <v>0</v>
      </c>
      <c r="L79">
        <v>0</v>
      </c>
      <c r="M79">
        <v>118</v>
      </c>
      <c r="N79">
        <v>1322</v>
      </c>
      <c r="O79">
        <v>2489</v>
      </c>
    </row>
    <row r="80" spans="1:15">
      <c r="A80">
        <v>1644430081</v>
      </c>
      <c r="B80" s="1">
        <v>42488</v>
      </c>
      <c r="C80">
        <v>9405</v>
      </c>
      <c r="D80">
        <v>6.8400001525878897</v>
      </c>
      <c r="E80">
        <v>6.8400001525878897</v>
      </c>
      <c r="F80">
        <v>0</v>
      </c>
      <c r="G80">
        <v>0.20000000298023199</v>
      </c>
      <c r="H80">
        <v>2.3199999332428001</v>
      </c>
      <c r="I80">
        <v>4.3099999427795401</v>
      </c>
      <c r="J80">
        <v>0</v>
      </c>
      <c r="K80">
        <v>3</v>
      </c>
      <c r="L80">
        <v>53</v>
      </c>
      <c r="M80">
        <v>227</v>
      </c>
      <c r="N80">
        <v>1157</v>
      </c>
      <c r="O80">
        <v>3108</v>
      </c>
    </row>
    <row r="81" spans="1:15">
      <c r="A81">
        <v>1644430081</v>
      </c>
      <c r="B81" s="1">
        <v>42489</v>
      </c>
      <c r="C81">
        <v>3176</v>
      </c>
      <c r="D81">
        <v>2.3099999427795401</v>
      </c>
      <c r="E81">
        <v>2.3099999427795401</v>
      </c>
      <c r="F81">
        <v>0</v>
      </c>
      <c r="G81">
        <v>0</v>
      </c>
      <c r="H81">
        <v>0</v>
      </c>
      <c r="I81">
        <v>2.3099999427795401</v>
      </c>
      <c r="J81">
        <v>0</v>
      </c>
      <c r="K81">
        <v>0</v>
      </c>
      <c r="L81">
        <v>0</v>
      </c>
      <c r="M81">
        <v>120</v>
      </c>
      <c r="N81">
        <v>1193</v>
      </c>
      <c r="O81">
        <v>2498</v>
      </c>
    </row>
    <row r="82" spans="1:15">
      <c r="A82">
        <v>1644430081</v>
      </c>
      <c r="B82" s="1">
        <v>42490</v>
      </c>
      <c r="C82">
        <v>18213</v>
      </c>
      <c r="D82">
        <v>13.2399997711182</v>
      </c>
      <c r="E82">
        <v>13.2399997711182</v>
      </c>
      <c r="F82">
        <v>0</v>
      </c>
      <c r="G82">
        <v>0.62999999523162797</v>
      </c>
      <c r="H82">
        <v>3.1400001049041699</v>
      </c>
      <c r="I82">
        <v>9.4600000381469709</v>
      </c>
      <c r="J82">
        <v>0</v>
      </c>
      <c r="K82">
        <v>9</v>
      </c>
      <c r="L82">
        <v>71</v>
      </c>
      <c r="M82">
        <v>402</v>
      </c>
      <c r="N82">
        <v>816</v>
      </c>
      <c r="O82">
        <v>3846</v>
      </c>
    </row>
    <row r="83" spans="1:15">
      <c r="A83">
        <v>1644430081</v>
      </c>
      <c r="B83" s="1">
        <v>42491</v>
      </c>
      <c r="C83">
        <v>6132</v>
      </c>
      <c r="D83">
        <v>4.46000003814697</v>
      </c>
      <c r="E83">
        <v>4.46000003814697</v>
      </c>
      <c r="F83">
        <v>0</v>
      </c>
      <c r="G83">
        <v>0.239999994635582</v>
      </c>
      <c r="H83">
        <v>0.99000000953674305</v>
      </c>
      <c r="I83">
        <v>3.2300000190734899</v>
      </c>
      <c r="J83">
        <v>0</v>
      </c>
      <c r="K83">
        <v>3</v>
      </c>
      <c r="L83">
        <v>24</v>
      </c>
      <c r="M83">
        <v>146</v>
      </c>
      <c r="N83">
        <v>908</v>
      </c>
      <c r="O83">
        <v>2696</v>
      </c>
    </row>
    <row r="84" spans="1:15">
      <c r="A84">
        <v>1644430081</v>
      </c>
      <c r="B84" s="1">
        <v>42492</v>
      </c>
      <c r="C84">
        <v>3758</v>
      </c>
      <c r="D84">
        <v>2.7300000190734899</v>
      </c>
      <c r="E84">
        <v>2.7300000190734899</v>
      </c>
      <c r="F84">
        <v>0</v>
      </c>
      <c r="G84">
        <v>7.0000000298023196E-2</v>
      </c>
      <c r="H84">
        <v>0.31000000238418601</v>
      </c>
      <c r="I84">
        <v>2.3499999046325701</v>
      </c>
      <c r="J84">
        <v>0</v>
      </c>
      <c r="K84">
        <v>1</v>
      </c>
      <c r="L84">
        <v>7</v>
      </c>
      <c r="M84">
        <v>148</v>
      </c>
      <c r="N84">
        <v>682</v>
      </c>
      <c r="O84">
        <v>2580</v>
      </c>
    </row>
    <row r="85" spans="1:15">
      <c r="A85">
        <v>1644430081</v>
      </c>
      <c r="B85" s="1">
        <v>42493</v>
      </c>
      <c r="C85">
        <v>12850</v>
      </c>
      <c r="D85">
        <v>9.3400001525878906</v>
      </c>
      <c r="E85">
        <v>9.3400001525878906</v>
      </c>
      <c r="F85">
        <v>0</v>
      </c>
      <c r="G85">
        <v>0.72000002861022905</v>
      </c>
      <c r="H85">
        <v>4.0900001525878897</v>
      </c>
      <c r="I85">
        <v>4.53999996185303</v>
      </c>
      <c r="J85">
        <v>0</v>
      </c>
      <c r="K85">
        <v>10</v>
      </c>
      <c r="L85">
        <v>94</v>
      </c>
      <c r="M85">
        <v>221</v>
      </c>
      <c r="N85">
        <v>1115</v>
      </c>
      <c r="O85">
        <v>3324</v>
      </c>
    </row>
    <row r="86" spans="1:15">
      <c r="A86">
        <v>1644430081</v>
      </c>
      <c r="B86" s="1">
        <v>42494</v>
      </c>
      <c r="C86">
        <v>2309</v>
      </c>
      <c r="D86">
        <v>1.6799999475479099</v>
      </c>
      <c r="E86">
        <v>1.6799999475479099</v>
      </c>
      <c r="F86">
        <v>0</v>
      </c>
      <c r="G86">
        <v>0</v>
      </c>
      <c r="H86">
        <v>0</v>
      </c>
      <c r="I86">
        <v>1.6599999666214</v>
      </c>
      <c r="J86">
        <v>1.9999999552965199E-2</v>
      </c>
      <c r="K86">
        <v>0</v>
      </c>
      <c r="L86">
        <v>0</v>
      </c>
      <c r="M86">
        <v>52</v>
      </c>
      <c r="N86">
        <v>1388</v>
      </c>
      <c r="O86">
        <v>2222</v>
      </c>
    </row>
    <row r="87" spans="1:15">
      <c r="A87">
        <v>1644430081</v>
      </c>
      <c r="B87" s="1">
        <v>42495</v>
      </c>
      <c r="C87">
        <v>4363</v>
      </c>
      <c r="D87">
        <v>3.1900000572204599</v>
      </c>
      <c r="E87">
        <v>3.1900000572204599</v>
      </c>
      <c r="F87">
        <v>0</v>
      </c>
      <c r="G87">
        <v>0.519999980926514</v>
      </c>
      <c r="H87">
        <v>0.54000002145767201</v>
      </c>
      <c r="I87">
        <v>2.1300001144409202</v>
      </c>
      <c r="J87">
        <v>9.9999997764825804E-3</v>
      </c>
      <c r="K87">
        <v>6</v>
      </c>
      <c r="L87">
        <v>12</v>
      </c>
      <c r="M87">
        <v>81</v>
      </c>
      <c r="N87">
        <v>1341</v>
      </c>
      <c r="O87">
        <v>2463</v>
      </c>
    </row>
    <row r="88" spans="1:15">
      <c r="A88">
        <v>1644430081</v>
      </c>
      <c r="B88" s="1">
        <v>42496</v>
      </c>
      <c r="C88">
        <v>9787</v>
      </c>
      <c r="D88">
        <v>7.1199998855590803</v>
      </c>
      <c r="E88">
        <v>7.1199998855590803</v>
      </c>
      <c r="F88">
        <v>0</v>
      </c>
      <c r="G88">
        <v>0.81999999284744296</v>
      </c>
      <c r="H88">
        <v>0.270000010728836</v>
      </c>
      <c r="I88">
        <v>6.0100002288818404</v>
      </c>
      <c r="J88">
        <v>1.9999999552965199E-2</v>
      </c>
      <c r="K88">
        <v>11</v>
      </c>
      <c r="L88">
        <v>6</v>
      </c>
      <c r="M88">
        <v>369</v>
      </c>
      <c r="N88">
        <v>1054</v>
      </c>
      <c r="O88">
        <v>3328</v>
      </c>
    </row>
    <row r="89" spans="1:15">
      <c r="A89">
        <v>1644430081</v>
      </c>
      <c r="B89" s="1">
        <v>42497</v>
      </c>
      <c r="C89">
        <v>13372</v>
      </c>
      <c r="D89">
        <v>9.7200002670288104</v>
      </c>
      <c r="E89">
        <v>9.7200002670288104</v>
      </c>
      <c r="F89">
        <v>0</v>
      </c>
      <c r="G89">
        <v>3.2599999904632599</v>
      </c>
      <c r="H89">
        <v>0.79000002145767201</v>
      </c>
      <c r="I89">
        <v>5.6700000762939498</v>
      </c>
      <c r="J89">
        <v>9.9999997764825804E-3</v>
      </c>
      <c r="K89">
        <v>41</v>
      </c>
      <c r="L89">
        <v>17</v>
      </c>
      <c r="M89">
        <v>243</v>
      </c>
      <c r="N89">
        <v>1139</v>
      </c>
      <c r="O89">
        <v>3404</v>
      </c>
    </row>
    <row r="90" spans="1:15">
      <c r="A90">
        <v>1644430081</v>
      </c>
      <c r="B90" s="1">
        <v>42498</v>
      </c>
      <c r="C90">
        <v>6724</v>
      </c>
      <c r="D90">
        <v>4.8899998664856001</v>
      </c>
      <c r="E90">
        <v>4.8899998664856001</v>
      </c>
      <c r="F90">
        <v>0</v>
      </c>
      <c r="G90">
        <v>0</v>
      </c>
      <c r="H90">
        <v>0</v>
      </c>
      <c r="I90">
        <v>4.8800001144409197</v>
      </c>
      <c r="J90">
        <v>0</v>
      </c>
      <c r="K90">
        <v>0</v>
      </c>
      <c r="L90">
        <v>0</v>
      </c>
      <c r="M90">
        <v>295</v>
      </c>
      <c r="N90">
        <v>991</v>
      </c>
      <c r="O90">
        <v>2987</v>
      </c>
    </row>
    <row r="91" spans="1:15">
      <c r="A91">
        <v>1644430081</v>
      </c>
      <c r="B91" s="1">
        <v>42499</v>
      </c>
      <c r="C91">
        <v>6643</v>
      </c>
      <c r="D91">
        <v>4.8299999237060502</v>
      </c>
      <c r="E91">
        <v>4.8299999237060502</v>
      </c>
      <c r="F91">
        <v>0</v>
      </c>
      <c r="G91">
        <v>2.3900001049041699</v>
      </c>
      <c r="H91">
        <v>0.34999999403953602</v>
      </c>
      <c r="I91">
        <v>2.0899999141693102</v>
      </c>
      <c r="J91">
        <v>9.9999997764825804E-3</v>
      </c>
      <c r="K91">
        <v>32</v>
      </c>
      <c r="L91">
        <v>6</v>
      </c>
      <c r="M91">
        <v>303</v>
      </c>
      <c r="N91">
        <v>1099</v>
      </c>
      <c r="O91">
        <v>3008</v>
      </c>
    </row>
    <row r="92" spans="1:15">
      <c r="A92">
        <v>1644430081</v>
      </c>
      <c r="B92" s="1">
        <v>42500</v>
      </c>
      <c r="C92">
        <v>9167</v>
      </c>
      <c r="D92">
        <v>6.6599998474121103</v>
      </c>
      <c r="E92">
        <v>6.6599998474121103</v>
      </c>
      <c r="F92">
        <v>0</v>
      </c>
      <c r="G92">
        <v>0.87999999523162797</v>
      </c>
      <c r="H92">
        <v>0.81000000238418601</v>
      </c>
      <c r="I92">
        <v>4.9699997901916504</v>
      </c>
      <c r="J92">
        <v>9.9999997764825804E-3</v>
      </c>
      <c r="K92">
        <v>12</v>
      </c>
      <c r="L92">
        <v>19</v>
      </c>
      <c r="M92">
        <v>155</v>
      </c>
      <c r="N92">
        <v>1254</v>
      </c>
      <c r="O92">
        <v>2799</v>
      </c>
    </row>
    <row r="93" spans="1:15">
      <c r="A93">
        <v>1644430081</v>
      </c>
      <c r="B93" s="1">
        <v>42501</v>
      </c>
      <c r="C93">
        <v>1329</v>
      </c>
      <c r="D93">
        <v>0.97000002861022905</v>
      </c>
      <c r="E93">
        <v>0.97000002861022905</v>
      </c>
      <c r="F93">
        <v>0</v>
      </c>
      <c r="G93">
        <v>0</v>
      </c>
      <c r="H93">
        <v>0</v>
      </c>
      <c r="I93">
        <v>0.94999998807907104</v>
      </c>
      <c r="J93">
        <v>9.9999997764825804E-3</v>
      </c>
      <c r="K93">
        <v>0</v>
      </c>
      <c r="L93">
        <v>0</v>
      </c>
      <c r="M93">
        <v>49</v>
      </c>
      <c r="N93">
        <v>713</v>
      </c>
      <c r="O93">
        <v>1276</v>
      </c>
    </row>
    <row r="94" spans="1:15">
      <c r="A94">
        <v>1844505072</v>
      </c>
      <c r="B94" s="1">
        <v>42472</v>
      </c>
      <c r="C94">
        <v>6697</v>
      </c>
      <c r="D94">
        <v>4.4299998283386204</v>
      </c>
      <c r="E94">
        <v>4.4299998283386204</v>
      </c>
      <c r="F94">
        <v>0</v>
      </c>
      <c r="G94">
        <v>0</v>
      </c>
      <c r="H94">
        <v>0</v>
      </c>
      <c r="I94">
        <v>4.4299998283386204</v>
      </c>
      <c r="J94">
        <v>0</v>
      </c>
      <c r="K94">
        <v>0</v>
      </c>
      <c r="L94">
        <v>0</v>
      </c>
      <c r="M94">
        <v>339</v>
      </c>
      <c r="N94">
        <v>1101</v>
      </c>
      <c r="O94">
        <v>2030</v>
      </c>
    </row>
    <row r="95" spans="1:15">
      <c r="A95">
        <v>1844505072</v>
      </c>
      <c r="B95" s="1">
        <v>42473</v>
      </c>
      <c r="C95">
        <v>4929</v>
      </c>
      <c r="D95">
        <v>3.2599999904632599</v>
      </c>
      <c r="E95">
        <v>3.2599999904632599</v>
      </c>
      <c r="F95">
        <v>0</v>
      </c>
      <c r="G95">
        <v>0</v>
      </c>
      <c r="H95">
        <v>0</v>
      </c>
      <c r="I95">
        <v>3.2599999904632599</v>
      </c>
      <c r="J95">
        <v>0</v>
      </c>
      <c r="K95">
        <v>0</v>
      </c>
      <c r="L95">
        <v>0</v>
      </c>
      <c r="M95">
        <v>248</v>
      </c>
      <c r="N95">
        <v>1192</v>
      </c>
      <c r="O95">
        <v>1860</v>
      </c>
    </row>
    <row r="96" spans="1:15">
      <c r="A96">
        <v>1844505072</v>
      </c>
      <c r="B96" s="1">
        <v>42474</v>
      </c>
      <c r="C96">
        <v>7937</v>
      </c>
      <c r="D96">
        <v>5.25</v>
      </c>
      <c r="E96">
        <v>5.25</v>
      </c>
      <c r="F96">
        <v>0</v>
      </c>
      <c r="G96">
        <v>0</v>
      </c>
      <c r="H96">
        <v>0</v>
      </c>
      <c r="I96">
        <v>5.2300000190734899</v>
      </c>
      <c r="J96">
        <v>0</v>
      </c>
      <c r="K96">
        <v>0</v>
      </c>
      <c r="L96">
        <v>0</v>
      </c>
      <c r="M96">
        <v>373</v>
      </c>
      <c r="N96">
        <v>843</v>
      </c>
      <c r="O96">
        <v>2130</v>
      </c>
    </row>
    <row r="97" spans="1:15">
      <c r="A97">
        <v>1844505072</v>
      </c>
      <c r="B97" s="1">
        <v>42475</v>
      </c>
      <c r="C97">
        <v>3844</v>
      </c>
      <c r="D97">
        <v>2.53999996185303</v>
      </c>
      <c r="E97">
        <v>2.53999996185303</v>
      </c>
      <c r="F97">
        <v>0</v>
      </c>
      <c r="G97">
        <v>0</v>
      </c>
      <c r="H97">
        <v>0</v>
      </c>
      <c r="I97">
        <v>2.53999996185303</v>
      </c>
      <c r="J97">
        <v>0</v>
      </c>
      <c r="K97">
        <v>0</v>
      </c>
      <c r="L97">
        <v>0</v>
      </c>
      <c r="M97">
        <v>176</v>
      </c>
      <c r="N97">
        <v>527</v>
      </c>
      <c r="O97">
        <v>1725</v>
      </c>
    </row>
    <row r="98" spans="1:15">
      <c r="A98">
        <v>1844505072</v>
      </c>
      <c r="B98" s="1">
        <v>42476</v>
      </c>
      <c r="C98">
        <v>3414</v>
      </c>
      <c r="D98">
        <v>2.2599999904632599</v>
      </c>
      <c r="E98">
        <v>2.2599999904632599</v>
      </c>
      <c r="F98">
        <v>0</v>
      </c>
      <c r="G98">
        <v>0</v>
      </c>
      <c r="H98">
        <v>0</v>
      </c>
      <c r="I98">
        <v>2.2599999904632599</v>
      </c>
      <c r="J98">
        <v>0</v>
      </c>
      <c r="K98">
        <v>0</v>
      </c>
      <c r="L98">
        <v>0</v>
      </c>
      <c r="M98">
        <v>147</v>
      </c>
      <c r="N98">
        <v>1293</v>
      </c>
      <c r="O98">
        <v>1657</v>
      </c>
    </row>
    <row r="99" spans="1:15">
      <c r="A99">
        <v>1844505072</v>
      </c>
      <c r="B99" s="1">
        <v>42477</v>
      </c>
      <c r="C99">
        <v>4525</v>
      </c>
      <c r="D99">
        <v>2.9900000095367401</v>
      </c>
      <c r="E99">
        <v>2.9900000095367401</v>
      </c>
      <c r="F99">
        <v>0</v>
      </c>
      <c r="G99">
        <v>0.140000000596046</v>
      </c>
      <c r="H99">
        <v>0.259999990463257</v>
      </c>
      <c r="I99">
        <v>2.5899999141693102</v>
      </c>
      <c r="J99">
        <v>0</v>
      </c>
      <c r="K99">
        <v>2</v>
      </c>
      <c r="L99">
        <v>8</v>
      </c>
      <c r="M99">
        <v>199</v>
      </c>
      <c r="N99">
        <v>1231</v>
      </c>
      <c r="O99">
        <v>1793</v>
      </c>
    </row>
    <row r="100" spans="1:15">
      <c r="A100">
        <v>1844505072</v>
      </c>
      <c r="B100" s="1">
        <v>42478</v>
      </c>
      <c r="C100">
        <v>4597</v>
      </c>
      <c r="D100">
        <v>3.03999996185303</v>
      </c>
      <c r="E100">
        <v>3.03999996185303</v>
      </c>
      <c r="F100">
        <v>0</v>
      </c>
      <c r="G100">
        <v>0</v>
      </c>
      <c r="H100">
        <v>0.479999989271164</v>
      </c>
      <c r="I100">
        <v>2.5599999427795401</v>
      </c>
      <c r="J100">
        <v>0</v>
      </c>
      <c r="K100">
        <v>0</v>
      </c>
      <c r="L100">
        <v>12</v>
      </c>
      <c r="M100">
        <v>217</v>
      </c>
      <c r="N100">
        <v>1211</v>
      </c>
      <c r="O100">
        <v>1814</v>
      </c>
    </row>
    <row r="101" spans="1:15">
      <c r="A101">
        <v>1844505072</v>
      </c>
      <c r="B101" s="1">
        <v>42479</v>
      </c>
      <c r="C101">
        <v>197</v>
      </c>
      <c r="D101">
        <v>0.129999995231628</v>
      </c>
      <c r="E101">
        <v>0.129999995231628</v>
      </c>
      <c r="F101">
        <v>0</v>
      </c>
      <c r="G101">
        <v>0</v>
      </c>
      <c r="H101">
        <v>0</v>
      </c>
      <c r="I101">
        <v>0.129999995231628</v>
      </c>
      <c r="J101">
        <v>0</v>
      </c>
      <c r="K101">
        <v>0</v>
      </c>
      <c r="L101">
        <v>0</v>
      </c>
      <c r="M101">
        <v>10</v>
      </c>
      <c r="N101">
        <v>1430</v>
      </c>
      <c r="O101">
        <v>1366</v>
      </c>
    </row>
    <row r="102" spans="1:15">
      <c r="A102">
        <v>1844505072</v>
      </c>
      <c r="B102" s="1">
        <v>42480</v>
      </c>
      <c r="C102">
        <v>8</v>
      </c>
      <c r="D102">
        <v>9.9999997764825804E-3</v>
      </c>
      <c r="E102">
        <v>9.9999997764825804E-3</v>
      </c>
      <c r="F102">
        <v>0</v>
      </c>
      <c r="G102">
        <v>0</v>
      </c>
      <c r="H102">
        <v>0</v>
      </c>
      <c r="I102">
        <v>9.9999997764825804E-3</v>
      </c>
      <c r="J102">
        <v>0</v>
      </c>
      <c r="K102">
        <v>0</v>
      </c>
      <c r="L102">
        <v>0</v>
      </c>
      <c r="M102">
        <v>1</v>
      </c>
      <c r="N102">
        <v>1439</v>
      </c>
      <c r="O102">
        <v>1349</v>
      </c>
    </row>
    <row r="103" spans="1:15">
      <c r="A103">
        <v>1844505072</v>
      </c>
      <c r="B103" s="1">
        <v>42481</v>
      </c>
      <c r="C103">
        <v>8054</v>
      </c>
      <c r="D103">
        <v>5.3200001716613796</v>
      </c>
      <c r="E103">
        <v>5.3200001716613796</v>
      </c>
      <c r="F103">
        <v>0</v>
      </c>
      <c r="G103">
        <v>0.119999997317791</v>
      </c>
      <c r="H103">
        <v>0.519999980926514</v>
      </c>
      <c r="I103">
        <v>4.6799998283386204</v>
      </c>
      <c r="J103">
        <v>0</v>
      </c>
      <c r="K103">
        <v>2</v>
      </c>
      <c r="L103">
        <v>13</v>
      </c>
      <c r="M103">
        <v>308</v>
      </c>
      <c r="N103">
        <v>1117</v>
      </c>
      <c r="O103">
        <v>2062</v>
      </c>
    </row>
    <row r="104" spans="1:15">
      <c r="A104">
        <v>1844505072</v>
      </c>
      <c r="B104" s="1">
        <v>42482</v>
      </c>
      <c r="C104">
        <v>5372</v>
      </c>
      <c r="D104">
        <v>3.5499999523162802</v>
      </c>
      <c r="E104">
        <v>3.5499999523162802</v>
      </c>
      <c r="F104">
        <v>0</v>
      </c>
      <c r="G104">
        <v>0</v>
      </c>
      <c r="H104">
        <v>0</v>
      </c>
      <c r="I104">
        <v>3.5499999523162802</v>
      </c>
      <c r="J104">
        <v>0</v>
      </c>
      <c r="K104">
        <v>0</v>
      </c>
      <c r="L104">
        <v>0</v>
      </c>
      <c r="M104">
        <v>220</v>
      </c>
      <c r="N104">
        <v>1220</v>
      </c>
      <c r="O104">
        <v>1827</v>
      </c>
    </row>
    <row r="105" spans="1:15">
      <c r="A105">
        <v>1844505072</v>
      </c>
      <c r="B105" s="1">
        <v>42483</v>
      </c>
      <c r="C105">
        <v>3570</v>
      </c>
      <c r="D105">
        <v>2.3599998950958301</v>
      </c>
      <c r="E105">
        <v>2.3599998950958301</v>
      </c>
      <c r="F105">
        <v>0</v>
      </c>
      <c r="G105">
        <v>0</v>
      </c>
      <c r="H105">
        <v>0</v>
      </c>
      <c r="I105">
        <v>2.3599998950958301</v>
      </c>
      <c r="J105">
        <v>0</v>
      </c>
      <c r="K105">
        <v>0</v>
      </c>
      <c r="L105">
        <v>0</v>
      </c>
      <c r="M105">
        <v>139</v>
      </c>
      <c r="N105">
        <v>1301</v>
      </c>
      <c r="O105">
        <v>1645</v>
      </c>
    </row>
    <row r="106" spans="1:15">
      <c r="A106">
        <v>1844505072</v>
      </c>
      <c r="B106" s="1">
        <v>42484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1440</v>
      </c>
      <c r="O106">
        <v>1347</v>
      </c>
    </row>
    <row r="107" spans="1:15">
      <c r="A107">
        <v>1844505072</v>
      </c>
      <c r="B107" s="1">
        <v>42485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1440</v>
      </c>
      <c r="O107">
        <v>1347</v>
      </c>
    </row>
    <row r="108" spans="1:15">
      <c r="A108">
        <v>1844505072</v>
      </c>
      <c r="B108" s="1">
        <v>42486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1440</v>
      </c>
      <c r="O108">
        <v>1347</v>
      </c>
    </row>
    <row r="109" spans="1:15">
      <c r="A109">
        <v>1844505072</v>
      </c>
      <c r="B109" s="1">
        <v>42487</v>
      </c>
      <c r="C109">
        <v>4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1</v>
      </c>
      <c r="N109">
        <v>1439</v>
      </c>
      <c r="O109">
        <v>1348</v>
      </c>
    </row>
    <row r="110" spans="1:15">
      <c r="A110">
        <v>1844505072</v>
      </c>
      <c r="B110" s="1">
        <v>42488</v>
      </c>
      <c r="C110">
        <v>6907</v>
      </c>
      <c r="D110">
        <v>4.5700001716613796</v>
      </c>
      <c r="E110">
        <v>4.5700001716613796</v>
      </c>
      <c r="F110">
        <v>0</v>
      </c>
      <c r="G110">
        <v>0</v>
      </c>
      <c r="H110">
        <v>0</v>
      </c>
      <c r="I110">
        <v>4.5599999427795401</v>
      </c>
      <c r="J110">
        <v>0</v>
      </c>
      <c r="K110">
        <v>0</v>
      </c>
      <c r="L110">
        <v>0</v>
      </c>
      <c r="M110">
        <v>302</v>
      </c>
      <c r="N110">
        <v>1138</v>
      </c>
      <c r="O110">
        <v>1992</v>
      </c>
    </row>
    <row r="111" spans="1:15">
      <c r="A111">
        <v>1844505072</v>
      </c>
      <c r="B111" s="1">
        <v>42489</v>
      </c>
      <c r="C111">
        <v>4920</v>
      </c>
      <c r="D111">
        <v>3.25</v>
      </c>
      <c r="E111">
        <v>3.25</v>
      </c>
      <c r="F111">
        <v>0</v>
      </c>
      <c r="G111">
        <v>0</v>
      </c>
      <c r="H111">
        <v>0</v>
      </c>
      <c r="I111">
        <v>3.25</v>
      </c>
      <c r="J111">
        <v>0</v>
      </c>
      <c r="K111">
        <v>0</v>
      </c>
      <c r="L111">
        <v>0</v>
      </c>
      <c r="M111">
        <v>247</v>
      </c>
      <c r="N111">
        <v>1082</v>
      </c>
      <c r="O111">
        <v>1856</v>
      </c>
    </row>
    <row r="112" spans="1:15">
      <c r="A112">
        <v>1844505072</v>
      </c>
      <c r="B112" s="1">
        <v>42490</v>
      </c>
      <c r="C112">
        <v>4014</v>
      </c>
      <c r="D112">
        <v>2.6700000762939502</v>
      </c>
      <c r="E112">
        <v>2.6700000762939502</v>
      </c>
      <c r="F112">
        <v>0</v>
      </c>
      <c r="G112">
        <v>0</v>
      </c>
      <c r="H112">
        <v>0</v>
      </c>
      <c r="I112">
        <v>2.6500000953674299</v>
      </c>
      <c r="J112">
        <v>0</v>
      </c>
      <c r="K112">
        <v>0</v>
      </c>
      <c r="L112">
        <v>0</v>
      </c>
      <c r="M112">
        <v>184</v>
      </c>
      <c r="N112">
        <v>218</v>
      </c>
      <c r="O112">
        <v>1763</v>
      </c>
    </row>
    <row r="113" spans="1:15">
      <c r="A113">
        <v>1844505072</v>
      </c>
      <c r="B113" s="1">
        <v>42491</v>
      </c>
      <c r="C113">
        <v>2573</v>
      </c>
      <c r="D113">
        <v>1.70000004768372</v>
      </c>
      <c r="E113">
        <v>1.70000004768372</v>
      </c>
      <c r="F113">
        <v>0</v>
      </c>
      <c r="G113">
        <v>0</v>
      </c>
      <c r="H113">
        <v>0.259999990463257</v>
      </c>
      <c r="I113">
        <v>1.45000004768372</v>
      </c>
      <c r="J113">
        <v>0</v>
      </c>
      <c r="K113">
        <v>0</v>
      </c>
      <c r="L113">
        <v>7</v>
      </c>
      <c r="M113">
        <v>75</v>
      </c>
      <c r="N113">
        <v>585</v>
      </c>
      <c r="O113">
        <v>1541</v>
      </c>
    </row>
    <row r="114" spans="1:15">
      <c r="A114">
        <v>1844505072</v>
      </c>
      <c r="B114" s="1">
        <v>42492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1440</v>
      </c>
      <c r="O114">
        <v>1348</v>
      </c>
    </row>
    <row r="115" spans="1:15">
      <c r="A115">
        <v>1844505072</v>
      </c>
      <c r="B115" s="1">
        <v>42493</v>
      </c>
      <c r="C115">
        <v>4059</v>
      </c>
      <c r="D115">
        <v>2.6800000667571999</v>
      </c>
      <c r="E115">
        <v>2.6800000667571999</v>
      </c>
      <c r="F115">
        <v>0</v>
      </c>
      <c r="G115">
        <v>0</v>
      </c>
      <c r="H115">
        <v>0</v>
      </c>
      <c r="I115">
        <v>2.6800000667571999</v>
      </c>
      <c r="J115">
        <v>0</v>
      </c>
      <c r="K115">
        <v>0</v>
      </c>
      <c r="L115">
        <v>0</v>
      </c>
      <c r="M115">
        <v>184</v>
      </c>
      <c r="N115">
        <v>1256</v>
      </c>
      <c r="O115">
        <v>1742</v>
      </c>
    </row>
    <row r="116" spans="1:15">
      <c r="A116">
        <v>1844505072</v>
      </c>
      <c r="B116" s="1">
        <v>42494</v>
      </c>
      <c r="C116">
        <v>2080</v>
      </c>
      <c r="D116">
        <v>1.37000000476837</v>
      </c>
      <c r="E116">
        <v>1.37000000476837</v>
      </c>
      <c r="F116">
        <v>0</v>
      </c>
      <c r="G116">
        <v>0</v>
      </c>
      <c r="H116">
        <v>0</v>
      </c>
      <c r="I116">
        <v>1.37000000476837</v>
      </c>
      <c r="J116">
        <v>0</v>
      </c>
      <c r="K116">
        <v>0</v>
      </c>
      <c r="L116">
        <v>0</v>
      </c>
      <c r="M116">
        <v>87</v>
      </c>
      <c r="N116">
        <v>1353</v>
      </c>
      <c r="O116">
        <v>1549</v>
      </c>
    </row>
    <row r="117" spans="1:15">
      <c r="A117">
        <v>1844505072</v>
      </c>
      <c r="B117" s="1">
        <v>42495</v>
      </c>
      <c r="C117">
        <v>2237</v>
      </c>
      <c r="D117">
        <v>1.4800000190734901</v>
      </c>
      <c r="E117">
        <v>1.4800000190734901</v>
      </c>
      <c r="F117">
        <v>0</v>
      </c>
      <c r="G117">
        <v>0</v>
      </c>
      <c r="H117">
        <v>0</v>
      </c>
      <c r="I117">
        <v>1.4800000190734901</v>
      </c>
      <c r="J117">
        <v>0</v>
      </c>
      <c r="K117">
        <v>0</v>
      </c>
      <c r="L117">
        <v>0</v>
      </c>
      <c r="M117">
        <v>120</v>
      </c>
      <c r="N117">
        <v>1320</v>
      </c>
      <c r="O117">
        <v>1589</v>
      </c>
    </row>
    <row r="118" spans="1:15">
      <c r="A118">
        <v>1844505072</v>
      </c>
      <c r="B118" s="1">
        <v>42496</v>
      </c>
      <c r="C118">
        <v>44</v>
      </c>
      <c r="D118">
        <v>2.9999999329447701E-2</v>
      </c>
      <c r="E118">
        <v>2.9999999329447701E-2</v>
      </c>
      <c r="F118">
        <v>0</v>
      </c>
      <c r="G118">
        <v>0</v>
      </c>
      <c r="H118">
        <v>0</v>
      </c>
      <c r="I118">
        <v>2.9999999329447701E-2</v>
      </c>
      <c r="J118">
        <v>0</v>
      </c>
      <c r="K118">
        <v>0</v>
      </c>
      <c r="L118">
        <v>0</v>
      </c>
      <c r="M118">
        <v>2</v>
      </c>
      <c r="N118">
        <v>1438</v>
      </c>
      <c r="O118">
        <v>1351</v>
      </c>
    </row>
    <row r="119" spans="1:15">
      <c r="A119">
        <v>1844505072</v>
      </c>
      <c r="B119" s="1">
        <v>42497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1440</v>
      </c>
      <c r="O119">
        <v>1347</v>
      </c>
    </row>
    <row r="120" spans="1:15">
      <c r="A120">
        <v>1844505072</v>
      </c>
      <c r="B120" s="1">
        <v>42498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1440</v>
      </c>
      <c r="O120">
        <v>1347</v>
      </c>
    </row>
    <row r="121" spans="1:15">
      <c r="A121">
        <v>1844505072</v>
      </c>
      <c r="B121" s="1">
        <v>42499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1440</v>
      </c>
      <c r="O121">
        <v>1347</v>
      </c>
    </row>
    <row r="122" spans="1:15">
      <c r="A122">
        <v>1844505072</v>
      </c>
      <c r="B122" s="1">
        <v>42500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1440</v>
      </c>
      <c r="O122">
        <v>1347</v>
      </c>
    </row>
    <row r="123" spans="1:15">
      <c r="A123">
        <v>1844505072</v>
      </c>
      <c r="B123" s="1">
        <v>42501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1440</v>
      </c>
      <c r="O123">
        <v>1347</v>
      </c>
    </row>
    <row r="124" spans="1:15">
      <c r="A124">
        <v>1844505072</v>
      </c>
      <c r="B124" s="1">
        <v>42502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711</v>
      </c>
      <c r="O124">
        <v>665</v>
      </c>
    </row>
    <row r="125" spans="1:15">
      <c r="A125">
        <v>1927972279</v>
      </c>
      <c r="B125" s="1">
        <v>42472</v>
      </c>
      <c r="C125">
        <v>678</v>
      </c>
      <c r="D125">
        <v>0.46999999880790699</v>
      </c>
      <c r="E125">
        <v>0.46999999880790699</v>
      </c>
      <c r="F125">
        <v>0</v>
      </c>
      <c r="G125">
        <v>0</v>
      </c>
      <c r="H125">
        <v>0</v>
      </c>
      <c r="I125">
        <v>0.46999999880790699</v>
      </c>
      <c r="J125">
        <v>0</v>
      </c>
      <c r="K125">
        <v>0</v>
      </c>
      <c r="L125">
        <v>0</v>
      </c>
      <c r="M125">
        <v>55</v>
      </c>
      <c r="N125">
        <v>734</v>
      </c>
      <c r="O125">
        <v>2220</v>
      </c>
    </row>
    <row r="126" spans="1:15">
      <c r="A126">
        <v>1927972279</v>
      </c>
      <c r="B126" s="1">
        <v>42473</v>
      </c>
      <c r="C126">
        <v>356</v>
      </c>
      <c r="D126">
        <v>0.25</v>
      </c>
      <c r="E126">
        <v>0.25</v>
      </c>
      <c r="F126">
        <v>0</v>
      </c>
      <c r="G126">
        <v>0</v>
      </c>
      <c r="H126">
        <v>0</v>
      </c>
      <c r="I126">
        <v>0.25</v>
      </c>
      <c r="J126">
        <v>0</v>
      </c>
      <c r="K126">
        <v>0</v>
      </c>
      <c r="L126">
        <v>0</v>
      </c>
      <c r="M126">
        <v>32</v>
      </c>
      <c r="N126">
        <v>986</v>
      </c>
      <c r="O126">
        <v>2151</v>
      </c>
    </row>
    <row r="127" spans="1:15">
      <c r="A127">
        <v>1927972279</v>
      </c>
      <c r="B127" s="1">
        <v>42474</v>
      </c>
      <c r="C127">
        <v>2163</v>
      </c>
      <c r="D127">
        <v>1.5</v>
      </c>
      <c r="E127">
        <v>1.5</v>
      </c>
      <c r="F127">
        <v>0</v>
      </c>
      <c r="G127">
        <v>0</v>
      </c>
      <c r="H127">
        <v>0.40000000596046398</v>
      </c>
      <c r="I127">
        <v>1.1000000238418599</v>
      </c>
      <c r="J127">
        <v>0</v>
      </c>
      <c r="K127">
        <v>0</v>
      </c>
      <c r="L127">
        <v>9</v>
      </c>
      <c r="M127">
        <v>88</v>
      </c>
      <c r="N127">
        <v>1292</v>
      </c>
      <c r="O127">
        <v>2383</v>
      </c>
    </row>
    <row r="128" spans="1:15">
      <c r="A128">
        <v>1927972279</v>
      </c>
      <c r="B128" s="1">
        <v>42475</v>
      </c>
      <c r="C128">
        <v>980</v>
      </c>
      <c r="D128">
        <v>0.68000000715255704</v>
      </c>
      <c r="E128">
        <v>0.68000000715255704</v>
      </c>
      <c r="F128">
        <v>0</v>
      </c>
      <c r="G128">
        <v>0</v>
      </c>
      <c r="H128">
        <v>0</v>
      </c>
      <c r="I128">
        <v>0.68000000715255704</v>
      </c>
      <c r="J128">
        <v>0</v>
      </c>
      <c r="K128">
        <v>0</v>
      </c>
      <c r="L128">
        <v>0</v>
      </c>
      <c r="M128">
        <v>51</v>
      </c>
      <c r="N128">
        <v>941</v>
      </c>
      <c r="O128">
        <v>2221</v>
      </c>
    </row>
    <row r="129" spans="1:15">
      <c r="A129">
        <v>1927972279</v>
      </c>
      <c r="B129" s="1">
        <v>42476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1440</v>
      </c>
      <c r="O129">
        <v>2064</v>
      </c>
    </row>
    <row r="130" spans="1:15">
      <c r="A130">
        <v>1927972279</v>
      </c>
      <c r="B130" s="1">
        <v>42477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1440</v>
      </c>
      <c r="O130">
        <v>2063</v>
      </c>
    </row>
    <row r="131" spans="1:15">
      <c r="A131">
        <v>1927972279</v>
      </c>
      <c r="B131" s="1">
        <v>42478</v>
      </c>
      <c r="C131">
        <v>244</v>
      </c>
      <c r="D131">
        <v>0.17000000178813901</v>
      </c>
      <c r="E131">
        <v>0.17000000178813901</v>
      </c>
      <c r="F131">
        <v>0</v>
      </c>
      <c r="G131">
        <v>0</v>
      </c>
      <c r="H131">
        <v>0</v>
      </c>
      <c r="I131">
        <v>0.17000000178813901</v>
      </c>
      <c r="J131">
        <v>0</v>
      </c>
      <c r="K131">
        <v>0</v>
      </c>
      <c r="L131">
        <v>0</v>
      </c>
      <c r="M131">
        <v>17</v>
      </c>
      <c r="N131">
        <v>1423</v>
      </c>
      <c r="O131">
        <v>2111</v>
      </c>
    </row>
    <row r="132" spans="1:15">
      <c r="A132">
        <v>1927972279</v>
      </c>
      <c r="B132" s="1">
        <v>42479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1440</v>
      </c>
      <c r="O132">
        <v>2063</v>
      </c>
    </row>
    <row r="133" spans="1:15">
      <c r="A133">
        <v>1927972279</v>
      </c>
      <c r="B133" s="1">
        <v>42480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1440</v>
      </c>
      <c r="O133">
        <v>2063</v>
      </c>
    </row>
    <row r="134" spans="1:15">
      <c r="A134">
        <v>1927972279</v>
      </c>
      <c r="B134" s="1">
        <v>42481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1440</v>
      </c>
      <c r="O134">
        <v>2064</v>
      </c>
    </row>
    <row r="135" spans="1:15">
      <c r="A135">
        <v>1927972279</v>
      </c>
      <c r="B135" s="1">
        <v>42482</v>
      </c>
      <c r="C135">
        <v>149</v>
      </c>
      <c r="D135">
        <v>0.10000000149011599</v>
      </c>
      <c r="E135">
        <v>0.10000000149011599</v>
      </c>
      <c r="F135">
        <v>0</v>
      </c>
      <c r="G135">
        <v>0</v>
      </c>
      <c r="H135">
        <v>0</v>
      </c>
      <c r="I135">
        <v>0.10000000149011599</v>
      </c>
      <c r="J135">
        <v>0</v>
      </c>
      <c r="K135">
        <v>0</v>
      </c>
      <c r="L135">
        <v>0</v>
      </c>
      <c r="M135">
        <v>10</v>
      </c>
      <c r="N135">
        <v>1430</v>
      </c>
      <c r="O135">
        <v>2093</v>
      </c>
    </row>
    <row r="136" spans="1:15">
      <c r="A136">
        <v>1927972279</v>
      </c>
      <c r="B136" s="1">
        <v>42483</v>
      </c>
      <c r="C136">
        <v>2945</v>
      </c>
      <c r="D136">
        <v>2.03999996185303</v>
      </c>
      <c r="E136">
        <v>2.03999996185303</v>
      </c>
      <c r="F136">
        <v>0</v>
      </c>
      <c r="G136">
        <v>0</v>
      </c>
      <c r="H136">
        <v>0</v>
      </c>
      <c r="I136">
        <v>2.03999996185303</v>
      </c>
      <c r="J136">
        <v>0</v>
      </c>
      <c r="K136">
        <v>0</v>
      </c>
      <c r="L136">
        <v>0</v>
      </c>
      <c r="M136">
        <v>145</v>
      </c>
      <c r="N136">
        <v>1295</v>
      </c>
      <c r="O136">
        <v>2499</v>
      </c>
    </row>
    <row r="137" spans="1:15">
      <c r="A137">
        <v>1927972279</v>
      </c>
      <c r="B137" s="1">
        <v>42484</v>
      </c>
      <c r="C137">
        <v>2090</v>
      </c>
      <c r="D137">
        <v>1.45000004768372</v>
      </c>
      <c r="E137">
        <v>1.45000004768372</v>
      </c>
      <c r="F137">
        <v>0</v>
      </c>
      <c r="G137">
        <v>7.0000000298023196E-2</v>
      </c>
      <c r="H137">
        <v>0.239999994635582</v>
      </c>
      <c r="I137">
        <v>1.1399999856948899</v>
      </c>
      <c r="J137">
        <v>0</v>
      </c>
      <c r="K137">
        <v>1</v>
      </c>
      <c r="L137">
        <v>6</v>
      </c>
      <c r="M137">
        <v>75</v>
      </c>
      <c r="N137">
        <v>1358</v>
      </c>
      <c r="O137">
        <v>2324</v>
      </c>
    </row>
    <row r="138" spans="1:15">
      <c r="A138">
        <v>1927972279</v>
      </c>
      <c r="B138" s="1">
        <v>42485</v>
      </c>
      <c r="C138">
        <v>152</v>
      </c>
      <c r="D138">
        <v>0.109999999403954</v>
      </c>
      <c r="E138">
        <v>0.109999999403954</v>
      </c>
      <c r="F138">
        <v>0</v>
      </c>
      <c r="G138">
        <v>0</v>
      </c>
      <c r="H138">
        <v>0</v>
      </c>
      <c r="I138">
        <v>0.109999999403954</v>
      </c>
      <c r="J138">
        <v>0</v>
      </c>
      <c r="K138">
        <v>0</v>
      </c>
      <c r="L138">
        <v>0</v>
      </c>
      <c r="M138">
        <v>12</v>
      </c>
      <c r="N138">
        <v>1303</v>
      </c>
      <c r="O138">
        <v>2100</v>
      </c>
    </row>
    <row r="139" spans="1:15">
      <c r="A139">
        <v>1927972279</v>
      </c>
      <c r="B139" s="1">
        <v>42486</v>
      </c>
      <c r="C139">
        <v>3761</v>
      </c>
      <c r="D139">
        <v>2.5999999046325701</v>
      </c>
      <c r="E139">
        <v>2.5999999046325701</v>
      </c>
      <c r="F139">
        <v>0</v>
      </c>
      <c r="G139">
        <v>0</v>
      </c>
      <c r="H139">
        <v>0</v>
      </c>
      <c r="I139">
        <v>2.5999999046325701</v>
      </c>
      <c r="J139">
        <v>0</v>
      </c>
      <c r="K139">
        <v>0</v>
      </c>
      <c r="L139">
        <v>0</v>
      </c>
      <c r="M139">
        <v>192</v>
      </c>
      <c r="N139">
        <v>1058</v>
      </c>
      <c r="O139">
        <v>2638</v>
      </c>
    </row>
    <row r="140" spans="1:15">
      <c r="A140">
        <v>1927972279</v>
      </c>
      <c r="B140" s="1">
        <v>42487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1440</v>
      </c>
      <c r="O140">
        <v>2063</v>
      </c>
    </row>
    <row r="141" spans="1:15">
      <c r="A141">
        <v>1927972279</v>
      </c>
      <c r="B141" s="1">
        <v>42488</v>
      </c>
      <c r="C141">
        <v>1675</v>
      </c>
      <c r="D141">
        <v>1.1599999666214</v>
      </c>
      <c r="E141">
        <v>1.1599999666214</v>
      </c>
      <c r="F141">
        <v>0</v>
      </c>
      <c r="G141">
        <v>0</v>
      </c>
      <c r="H141">
        <v>0</v>
      </c>
      <c r="I141">
        <v>1.1599999666214</v>
      </c>
      <c r="J141">
        <v>0</v>
      </c>
      <c r="K141">
        <v>0</v>
      </c>
      <c r="L141">
        <v>0</v>
      </c>
      <c r="M141">
        <v>95</v>
      </c>
      <c r="N141">
        <v>1167</v>
      </c>
      <c r="O141">
        <v>2351</v>
      </c>
    </row>
    <row r="142" spans="1:15">
      <c r="A142">
        <v>1927972279</v>
      </c>
      <c r="B142" s="1">
        <v>42489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1440</v>
      </c>
      <c r="O142">
        <v>2063</v>
      </c>
    </row>
    <row r="143" spans="1:15">
      <c r="A143">
        <v>1927972279</v>
      </c>
      <c r="B143" s="1">
        <v>42490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1440</v>
      </c>
      <c r="O143">
        <v>2064</v>
      </c>
    </row>
    <row r="144" spans="1:15">
      <c r="A144">
        <v>1927972279</v>
      </c>
      <c r="B144" s="1">
        <v>42491</v>
      </c>
      <c r="C144">
        <v>2704</v>
      </c>
      <c r="D144">
        <v>1.87000000476837</v>
      </c>
      <c r="E144">
        <v>1.87000000476837</v>
      </c>
      <c r="F144">
        <v>0</v>
      </c>
      <c r="G144">
        <v>1.0099999904632599</v>
      </c>
      <c r="H144">
        <v>2.9999999329447701E-2</v>
      </c>
      <c r="I144">
        <v>0.82999998331069902</v>
      </c>
      <c r="J144">
        <v>0</v>
      </c>
      <c r="K144">
        <v>14</v>
      </c>
      <c r="L144">
        <v>1</v>
      </c>
      <c r="M144">
        <v>70</v>
      </c>
      <c r="N144">
        <v>1355</v>
      </c>
      <c r="O144">
        <v>2411</v>
      </c>
    </row>
    <row r="145" spans="1:15">
      <c r="A145">
        <v>1927972279</v>
      </c>
      <c r="B145" s="1">
        <v>42492</v>
      </c>
      <c r="C145">
        <v>3790</v>
      </c>
      <c r="D145">
        <v>2.6199998855590798</v>
      </c>
      <c r="E145">
        <v>2.6199998855590798</v>
      </c>
      <c r="F145">
        <v>0</v>
      </c>
      <c r="G145">
        <v>1.1599999666214</v>
      </c>
      <c r="H145">
        <v>0.30000001192092901</v>
      </c>
      <c r="I145">
        <v>1.1599999666214</v>
      </c>
      <c r="J145">
        <v>0</v>
      </c>
      <c r="K145">
        <v>16</v>
      </c>
      <c r="L145">
        <v>8</v>
      </c>
      <c r="M145">
        <v>94</v>
      </c>
      <c r="N145">
        <v>1322</v>
      </c>
      <c r="O145">
        <v>2505</v>
      </c>
    </row>
    <row r="146" spans="1:15">
      <c r="A146">
        <v>1927972279</v>
      </c>
      <c r="B146" s="1">
        <v>42493</v>
      </c>
      <c r="C146">
        <v>1326</v>
      </c>
      <c r="D146">
        <v>0.92000001668930098</v>
      </c>
      <c r="E146">
        <v>0.92000001668930098</v>
      </c>
      <c r="F146">
        <v>0</v>
      </c>
      <c r="G146">
        <v>0.730000019073486</v>
      </c>
      <c r="H146">
        <v>0</v>
      </c>
      <c r="I146">
        <v>0.18000000715255701</v>
      </c>
      <c r="J146">
        <v>0</v>
      </c>
      <c r="K146">
        <v>10</v>
      </c>
      <c r="L146">
        <v>0</v>
      </c>
      <c r="M146">
        <v>17</v>
      </c>
      <c r="N146">
        <v>1413</v>
      </c>
      <c r="O146">
        <v>2195</v>
      </c>
    </row>
    <row r="147" spans="1:15">
      <c r="A147">
        <v>1927972279</v>
      </c>
      <c r="B147" s="1">
        <v>42494</v>
      </c>
      <c r="C147">
        <v>1786</v>
      </c>
      <c r="D147">
        <v>1.2400000095367401</v>
      </c>
      <c r="E147">
        <v>1.2400000095367401</v>
      </c>
      <c r="F147">
        <v>0</v>
      </c>
      <c r="G147">
        <v>0</v>
      </c>
      <c r="H147">
        <v>0</v>
      </c>
      <c r="I147">
        <v>1.2400000095367401</v>
      </c>
      <c r="J147">
        <v>0</v>
      </c>
      <c r="K147">
        <v>0</v>
      </c>
      <c r="L147">
        <v>0</v>
      </c>
      <c r="M147">
        <v>87</v>
      </c>
      <c r="N147">
        <v>1353</v>
      </c>
      <c r="O147">
        <v>2338</v>
      </c>
    </row>
    <row r="148" spans="1:15">
      <c r="A148">
        <v>1927972279</v>
      </c>
      <c r="B148" s="1">
        <v>42495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1440</v>
      </c>
      <c r="O148">
        <v>2063</v>
      </c>
    </row>
    <row r="149" spans="1:15">
      <c r="A149">
        <v>1927972279</v>
      </c>
      <c r="B149" s="1">
        <v>42496</v>
      </c>
      <c r="C149">
        <v>2091</v>
      </c>
      <c r="D149">
        <v>1.45000004768372</v>
      </c>
      <c r="E149">
        <v>1.45000004768372</v>
      </c>
      <c r="F149">
        <v>0</v>
      </c>
      <c r="G149">
        <v>0</v>
      </c>
      <c r="H149">
        <v>0</v>
      </c>
      <c r="I149">
        <v>1.45000004768372</v>
      </c>
      <c r="J149">
        <v>0</v>
      </c>
      <c r="K149">
        <v>0</v>
      </c>
      <c r="L149">
        <v>0</v>
      </c>
      <c r="M149">
        <v>108</v>
      </c>
      <c r="N149">
        <v>1332</v>
      </c>
      <c r="O149">
        <v>2383</v>
      </c>
    </row>
    <row r="150" spans="1:15">
      <c r="A150">
        <v>1927972279</v>
      </c>
      <c r="B150" s="1">
        <v>42497</v>
      </c>
      <c r="C150">
        <v>1510</v>
      </c>
      <c r="D150">
        <v>1.03999996185303</v>
      </c>
      <c r="E150">
        <v>1.03999996185303</v>
      </c>
      <c r="F150">
        <v>0</v>
      </c>
      <c r="G150">
        <v>0</v>
      </c>
      <c r="H150">
        <v>0</v>
      </c>
      <c r="I150">
        <v>1.03999996185303</v>
      </c>
      <c r="J150">
        <v>0</v>
      </c>
      <c r="K150">
        <v>0</v>
      </c>
      <c r="L150">
        <v>0</v>
      </c>
      <c r="M150">
        <v>48</v>
      </c>
      <c r="N150">
        <v>1392</v>
      </c>
      <c r="O150">
        <v>2229</v>
      </c>
    </row>
    <row r="151" spans="1:15">
      <c r="A151">
        <v>1927972279</v>
      </c>
      <c r="B151" s="1">
        <v>42498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1440</v>
      </c>
      <c r="O151">
        <v>2063</v>
      </c>
    </row>
    <row r="152" spans="1:15">
      <c r="A152">
        <v>1927972279</v>
      </c>
      <c r="B152" s="1">
        <v>42499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1440</v>
      </c>
      <c r="O152">
        <v>2063</v>
      </c>
    </row>
    <row r="153" spans="1:15">
      <c r="A153">
        <v>1927972279</v>
      </c>
      <c r="B153" s="1">
        <v>42500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1440</v>
      </c>
      <c r="O153">
        <v>2063</v>
      </c>
    </row>
    <row r="154" spans="1:15">
      <c r="A154">
        <v>1927972279</v>
      </c>
      <c r="B154" s="1">
        <v>42501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1440</v>
      </c>
      <c r="O154">
        <v>2063</v>
      </c>
    </row>
    <row r="155" spans="1:15">
      <c r="A155">
        <v>1927972279</v>
      </c>
      <c r="B155" s="1">
        <v>42502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966</v>
      </c>
      <c r="O155">
        <v>1383</v>
      </c>
    </row>
    <row r="156" spans="1:15">
      <c r="A156">
        <v>2022484408</v>
      </c>
      <c r="B156" s="1">
        <v>42472</v>
      </c>
      <c r="C156">
        <v>11875</v>
      </c>
      <c r="D156">
        <v>8.3400001525878906</v>
      </c>
      <c r="E156">
        <v>8.3400001525878906</v>
      </c>
      <c r="F156">
        <v>0</v>
      </c>
      <c r="G156">
        <v>3.3099999427795401</v>
      </c>
      <c r="H156">
        <v>0.769999980926514</v>
      </c>
      <c r="I156">
        <v>4.2600002288818404</v>
      </c>
      <c r="J156">
        <v>0</v>
      </c>
      <c r="K156">
        <v>42</v>
      </c>
      <c r="L156">
        <v>14</v>
      </c>
      <c r="M156">
        <v>227</v>
      </c>
      <c r="N156">
        <v>1157</v>
      </c>
      <c r="O156">
        <v>2390</v>
      </c>
    </row>
    <row r="157" spans="1:15">
      <c r="A157">
        <v>2022484408</v>
      </c>
      <c r="B157" s="1">
        <v>42473</v>
      </c>
      <c r="C157">
        <v>12024</v>
      </c>
      <c r="D157">
        <v>8.5</v>
      </c>
      <c r="E157">
        <v>8.5</v>
      </c>
      <c r="F157">
        <v>0</v>
      </c>
      <c r="G157">
        <v>2.9900000095367401</v>
      </c>
      <c r="H157">
        <v>0.10000000149011599</v>
      </c>
      <c r="I157">
        <v>5.4099998474121103</v>
      </c>
      <c r="J157">
        <v>0</v>
      </c>
      <c r="K157">
        <v>43</v>
      </c>
      <c r="L157">
        <v>5</v>
      </c>
      <c r="M157">
        <v>292</v>
      </c>
      <c r="N157">
        <v>1100</v>
      </c>
      <c r="O157">
        <v>2601</v>
      </c>
    </row>
    <row r="158" spans="1:15">
      <c r="A158">
        <v>2022484408</v>
      </c>
      <c r="B158" s="1">
        <v>42474</v>
      </c>
      <c r="C158">
        <v>10690</v>
      </c>
      <c r="D158">
        <v>7.5</v>
      </c>
      <c r="E158">
        <v>7.5</v>
      </c>
      <c r="F158">
        <v>0</v>
      </c>
      <c r="G158">
        <v>2.4800000190734899</v>
      </c>
      <c r="H158">
        <v>0.20999999344348899</v>
      </c>
      <c r="I158">
        <v>4.8200001716613796</v>
      </c>
      <c r="J158">
        <v>0</v>
      </c>
      <c r="K158">
        <v>32</v>
      </c>
      <c r="L158">
        <v>3</v>
      </c>
      <c r="M158">
        <v>257</v>
      </c>
      <c r="N158">
        <v>1148</v>
      </c>
      <c r="O158">
        <v>2312</v>
      </c>
    </row>
    <row r="159" spans="1:15">
      <c r="A159">
        <v>2022484408</v>
      </c>
      <c r="B159" s="1">
        <v>42475</v>
      </c>
      <c r="C159">
        <v>11034</v>
      </c>
      <c r="D159">
        <v>8.0299997329711896</v>
      </c>
      <c r="E159">
        <v>8.0299997329711896</v>
      </c>
      <c r="F159">
        <v>0</v>
      </c>
      <c r="G159">
        <v>1.9400000572204601</v>
      </c>
      <c r="H159">
        <v>0.31000000238418601</v>
      </c>
      <c r="I159">
        <v>5.7800002098083496</v>
      </c>
      <c r="J159">
        <v>0</v>
      </c>
      <c r="K159">
        <v>27</v>
      </c>
      <c r="L159">
        <v>9</v>
      </c>
      <c r="M159">
        <v>282</v>
      </c>
      <c r="N159">
        <v>1122</v>
      </c>
      <c r="O159">
        <v>2525</v>
      </c>
    </row>
    <row r="160" spans="1:15">
      <c r="A160">
        <v>2022484408</v>
      </c>
      <c r="B160" s="1">
        <v>42476</v>
      </c>
      <c r="C160">
        <v>10100</v>
      </c>
      <c r="D160">
        <v>7.0900001525878897</v>
      </c>
      <c r="E160">
        <v>7.0900001525878897</v>
      </c>
      <c r="F160">
        <v>0</v>
      </c>
      <c r="G160">
        <v>3.1500000953674299</v>
      </c>
      <c r="H160">
        <v>0.55000001192092896</v>
      </c>
      <c r="I160">
        <v>3.3900001049041699</v>
      </c>
      <c r="J160">
        <v>0</v>
      </c>
      <c r="K160">
        <v>41</v>
      </c>
      <c r="L160">
        <v>11</v>
      </c>
      <c r="M160">
        <v>151</v>
      </c>
      <c r="N160">
        <v>1237</v>
      </c>
      <c r="O160">
        <v>2177</v>
      </c>
    </row>
    <row r="161" spans="1:15">
      <c r="A161">
        <v>2022484408</v>
      </c>
      <c r="B161" s="1">
        <v>42477</v>
      </c>
      <c r="C161">
        <v>15112</v>
      </c>
      <c r="D161">
        <v>11.3999996185303</v>
      </c>
      <c r="E161">
        <v>11.3999996185303</v>
      </c>
      <c r="F161">
        <v>0</v>
      </c>
      <c r="G161">
        <v>3.8699998855590798</v>
      </c>
      <c r="H161">
        <v>0.66000002622604403</v>
      </c>
      <c r="I161">
        <v>6.8800001144409197</v>
      </c>
      <c r="J161">
        <v>0</v>
      </c>
      <c r="K161">
        <v>28</v>
      </c>
      <c r="L161">
        <v>29</v>
      </c>
      <c r="M161">
        <v>331</v>
      </c>
      <c r="N161">
        <v>1052</v>
      </c>
      <c r="O161">
        <v>2782</v>
      </c>
    </row>
    <row r="162" spans="1:15">
      <c r="A162">
        <v>2022484408</v>
      </c>
      <c r="B162" s="1">
        <v>42478</v>
      </c>
      <c r="C162">
        <v>14131</v>
      </c>
      <c r="D162">
        <v>10.069999694824199</v>
      </c>
      <c r="E162">
        <v>10.069999694824199</v>
      </c>
      <c r="F162">
        <v>0</v>
      </c>
      <c r="G162">
        <v>3.6400001049041699</v>
      </c>
      <c r="H162">
        <v>0.119999997317791</v>
      </c>
      <c r="I162">
        <v>6.3000001907348597</v>
      </c>
      <c r="J162">
        <v>0</v>
      </c>
      <c r="K162">
        <v>48</v>
      </c>
      <c r="L162">
        <v>3</v>
      </c>
      <c r="M162">
        <v>311</v>
      </c>
      <c r="N162">
        <v>1078</v>
      </c>
      <c r="O162">
        <v>2770</v>
      </c>
    </row>
    <row r="163" spans="1:15">
      <c r="A163">
        <v>2022484408</v>
      </c>
      <c r="B163" s="1">
        <v>42479</v>
      </c>
      <c r="C163">
        <v>11548</v>
      </c>
      <c r="D163">
        <v>8.5299997329711896</v>
      </c>
      <c r="E163">
        <v>8.5299997329711896</v>
      </c>
      <c r="F163">
        <v>0</v>
      </c>
      <c r="G163">
        <v>3.28999996185303</v>
      </c>
      <c r="H163">
        <v>0.239999994635582</v>
      </c>
      <c r="I163">
        <v>5</v>
      </c>
      <c r="J163">
        <v>0</v>
      </c>
      <c r="K163">
        <v>31</v>
      </c>
      <c r="L163">
        <v>7</v>
      </c>
      <c r="M163">
        <v>250</v>
      </c>
      <c r="N163">
        <v>1152</v>
      </c>
      <c r="O163">
        <v>2489</v>
      </c>
    </row>
    <row r="164" spans="1:15">
      <c r="A164">
        <v>2022484408</v>
      </c>
      <c r="B164" s="1">
        <v>42480</v>
      </c>
      <c r="C164">
        <v>15112</v>
      </c>
      <c r="D164">
        <v>10.670000076293899</v>
      </c>
      <c r="E164">
        <v>10.670000076293899</v>
      </c>
      <c r="F164">
        <v>0</v>
      </c>
      <c r="G164">
        <v>3.3399999141693102</v>
      </c>
      <c r="H164">
        <v>1.9299999475479099</v>
      </c>
      <c r="I164">
        <v>5.4000000953674299</v>
      </c>
      <c r="J164">
        <v>0</v>
      </c>
      <c r="K164">
        <v>48</v>
      </c>
      <c r="L164">
        <v>63</v>
      </c>
      <c r="M164">
        <v>276</v>
      </c>
      <c r="N164">
        <v>1053</v>
      </c>
      <c r="O164">
        <v>2897</v>
      </c>
    </row>
    <row r="165" spans="1:15">
      <c r="A165">
        <v>2022484408</v>
      </c>
      <c r="B165" s="1">
        <v>42481</v>
      </c>
      <c r="C165">
        <v>12453</v>
      </c>
      <c r="D165">
        <v>8.7399997711181605</v>
      </c>
      <c r="E165">
        <v>8.7399997711181605</v>
      </c>
      <c r="F165">
        <v>0</v>
      </c>
      <c r="G165">
        <v>3.3299999237060498</v>
      </c>
      <c r="H165">
        <v>1.1100000143051101</v>
      </c>
      <c r="I165">
        <v>4.3099999427795401</v>
      </c>
      <c r="J165">
        <v>0</v>
      </c>
      <c r="K165">
        <v>104</v>
      </c>
      <c r="L165">
        <v>53</v>
      </c>
      <c r="M165">
        <v>255</v>
      </c>
      <c r="N165">
        <v>1028</v>
      </c>
      <c r="O165">
        <v>3158</v>
      </c>
    </row>
    <row r="166" spans="1:15">
      <c r="A166">
        <v>2022484408</v>
      </c>
      <c r="B166" s="1">
        <v>42482</v>
      </c>
      <c r="C166">
        <v>12954</v>
      </c>
      <c r="D166">
        <v>9.3299999237060494</v>
      </c>
      <c r="E166">
        <v>9.3299999237060494</v>
      </c>
      <c r="F166">
        <v>0</v>
      </c>
      <c r="G166">
        <v>4.4299998283386204</v>
      </c>
      <c r="H166">
        <v>0.41999998688697798</v>
      </c>
      <c r="I166">
        <v>4.4699997901916504</v>
      </c>
      <c r="J166">
        <v>0</v>
      </c>
      <c r="K166">
        <v>52</v>
      </c>
      <c r="L166">
        <v>10</v>
      </c>
      <c r="M166">
        <v>273</v>
      </c>
      <c r="N166">
        <v>1105</v>
      </c>
      <c r="O166">
        <v>2638</v>
      </c>
    </row>
    <row r="167" spans="1:15">
      <c r="A167">
        <v>2022484408</v>
      </c>
      <c r="B167" s="1">
        <v>42483</v>
      </c>
      <c r="C167">
        <v>6001</v>
      </c>
      <c r="D167">
        <v>4.21000003814697</v>
      </c>
      <c r="E167">
        <v>4.21000003814697</v>
      </c>
      <c r="F167">
        <v>0</v>
      </c>
      <c r="G167">
        <v>0</v>
      </c>
      <c r="H167">
        <v>0</v>
      </c>
      <c r="I167">
        <v>4.21000003814697</v>
      </c>
      <c r="J167">
        <v>0</v>
      </c>
      <c r="K167">
        <v>0</v>
      </c>
      <c r="L167">
        <v>0</v>
      </c>
      <c r="M167">
        <v>249</v>
      </c>
      <c r="N167">
        <v>1191</v>
      </c>
      <c r="O167">
        <v>2069</v>
      </c>
    </row>
    <row r="168" spans="1:15">
      <c r="A168">
        <v>2022484408</v>
      </c>
      <c r="B168" s="1">
        <v>42484</v>
      </c>
      <c r="C168">
        <v>13481</v>
      </c>
      <c r="D168">
        <v>10.2799997329712</v>
      </c>
      <c r="E168">
        <v>10.2799997329712</v>
      </c>
      <c r="F168">
        <v>0</v>
      </c>
      <c r="G168">
        <v>4.5500001907348597</v>
      </c>
      <c r="H168">
        <v>1.1499999761581401</v>
      </c>
      <c r="I168">
        <v>4.5799999237060502</v>
      </c>
      <c r="J168">
        <v>0</v>
      </c>
      <c r="K168">
        <v>37</v>
      </c>
      <c r="L168">
        <v>26</v>
      </c>
      <c r="M168">
        <v>216</v>
      </c>
      <c r="N168">
        <v>1161</v>
      </c>
      <c r="O168">
        <v>2529</v>
      </c>
    </row>
    <row r="169" spans="1:15">
      <c r="A169">
        <v>2022484408</v>
      </c>
      <c r="B169" s="1">
        <v>42485</v>
      </c>
      <c r="C169">
        <v>11369</v>
      </c>
      <c r="D169">
        <v>8.0100002288818395</v>
      </c>
      <c r="E169">
        <v>8.0100002288818395</v>
      </c>
      <c r="F169">
        <v>0</v>
      </c>
      <c r="G169">
        <v>3.3299999237060498</v>
      </c>
      <c r="H169">
        <v>0.21999999880790699</v>
      </c>
      <c r="I169">
        <v>4.46000003814697</v>
      </c>
      <c r="J169">
        <v>0</v>
      </c>
      <c r="K169">
        <v>44</v>
      </c>
      <c r="L169">
        <v>8</v>
      </c>
      <c r="M169">
        <v>217</v>
      </c>
      <c r="N169">
        <v>1171</v>
      </c>
      <c r="O169">
        <v>2470</v>
      </c>
    </row>
    <row r="170" spans="1:15">
      <c r="A170">
        <v>2022484408</v>
      </c>
      <c r="B170" s="1">
        <v>42486</v>
      </c>
      <c r="C170">
        <v>10119</v>
      </c>
      <c r="D170">
        <v>7.1900000572204599</v>
      </c>
      <c r="E170">
        <v>7.1900000572204599</v>
      </c>
      <c r="F170">
        <v>0</v>
      </c>
      <c r="G170">
        <v>1.4299999475479099</v>
      </c>
      <c r="H170">
        <v>0.66000002622604403</v>
      </c>
      <c r="I170">
        <v>5.1100001335143999</v>
      </c>
      <c r="J170">
        <v>0</v>
      </c>
      <c r="K170">
        <v>55</v>
      </c>
      <c r="L170">
        <v>24</v>
      </c>
      <c r="M170">
        <v>275</v>
      </c>
      <c r="N170">
        <v>1086</v>
      </c>
      <c r="O170">
        <v>2793</v>
      </c>
    </row>
    <row r="171" spans="1:15">
      <c r="A171">
        <v>2022484408</v>
      </c>
      <c r="B171" s="1">
        <v>42487</v>
      </c>
      <c r="C171">
        <v>10159</v>
      </c>
      <c r="D171">
        <v>7.1300001144409197</v>
      </c>
      <c r="E171">
        <v>7.1300001144409197</v>
      </c>
      <c r="F171">
        <v>0</v>
      </c>
      <c r="G171">
        <v>1.03999996185303</v>
      </c>
      <c r="H171">
        <v>0.97000002861022905</v>
      </c>
      <c r="I171">
        <v>5.1199998855590803</v>
      </c>
      <c r="J171">
        <v>0</v>
      </c>
      <c r="K171">
        <v>19</v>
      </c>
      <c r="L171">
        <v>20</v>
      </c>
      <c r="M171">
        <v>282</v>
      </c>
      <c r="N171">
        <v>1119</v>
      </c>
      <c r="O171">
        <v>2463</v>
      </c>
    </row>
    <row r="172" spans="1:15">
      <c r="A172">
        <v>2022484408</v>
      </c>
      <c r="B172" s="1">
        <v>42488</v>
      </c>
      <c r="C172">
        <v>10140</v>
      </c>
      <c r="D172">
        <v>7.1199998855590803</v>
      </c>
      <c r="E172">
        <v>7.1199998855590803</v>
      </c>
      <c r="F172">
        <v>0</v>
      </c>
      <c r="G172">
        <v>0.40999999642372098</v>
      </c>
      <c r="H172">
        <v>1.33000004291534</v>
      </c>
      <c r="I172">
        <v>5.3899998664856001</v>
      </c>
      <c r="J172">
        <v>0</v>
      </c>
      <c r="K172">
        <v>6</v>
      </c>
      <c r="L172">
        <v>20</v>
      </c>
      <c r="M172">
        <v>291</v>
      </c>
      <c r="N172">
        <v>1123</v>
      </c>
      <c r="O172">
        <v>2296</v>
      </c>
    </row>
    <row r="173" spans="1:15">
      <c r="A173">
        <v>2022484408</v>
      </c>
      <c r="B173" s="1">
        <v>42489</v>
      </c>
      <c r="C173">
        <v>10245</v>
      </c>
      <c r="D173">
        <v>7.1900000572204599</v>
      </c>
      <c r="E173">
        <v>7.1900000572204599</v>
      </c>
      <c r="F173">
        <v>0</v>
      </c>
      <c r="G173">
        <v>0.479999989271164</v>
      </c>
      <c r="H173">
        <v>1.21000003814697</v>
      </c>
      <c r="I173">
        <v>5.5</v>
      </c>
      <c r="J173">
        <v>0</v>
      </c>
      <c r="K173">
        <v>21</v>
      </c>
      <c r="L173">
        <v>40</v>
      </c>
      <c r="M173">
        <v>281</v>
      </c>
      <c r="N173">
        <v>1098</v>
      </c>
      <c r="O173">
        <v>2611</v>
      </c>
    </row>
    <row r="174" spans="1:15">
      <c r="A174">
        <v>2022484408</v>
      </c>
      <c r="B174" s="1">
        <v>42490</v>
      </c>
      <c r="C174">
        <v>18387</v>
      </c>
      <c r="D174">
        <v>12.9099998474121</v>
      </c>
      <c r="E174">
        <v>12.9099998474121</v>
      </c>
      <c r="F174">
        <v>0</v>
      </c>
      <c r="G174">
        <v>0.93999999761581399</v>
      </c>
      <c r="H174">
        <v>1.3999999761581401</v>
      </c>
      <c r="I174">
        <v>10.569999694824199</v>
      </c>
      <c r="J174">
        <v>0</v>
      </c>
      <c r="K174">
        <v>13</v>
      </c>
      <c r="L174">
        <v>23</v>
      </c>
      <c r="M174">
        <v>361</v>
      </c>
      <c r="N174">
        <v>1043</v>
      </c>
      <c r="O174">
        <v>2732</v>
      </c>
    </row>
    <row r="175" spans="1:15">
      <c r="A175">
        <v>2022484408</v>
      </c>
      <c r="B175" s="1">
        <v>42491</v>
      </c>
      <c r="C175">
        <v>10538</v>
      </c>
      <c r="D175">
        <v>7.4000000953674299</v>
      </c>
      <c r="E175">
        <v>7.4000000953674299</v>
      </c>
      <c r="F175">
        <v>0</v>
      </c>
      <c r="G175">
        <v>1.9400000572204601</v>
      </c>
      <c r="H175">
        <v>0.95999997854232799</v>
      </c>
      <c r="I175">
        <v>4.5</v>
      </c>
      <c r="J175">
        <v>0</v>
      </c>
      <c r="K175">
        <v>25</v>
      </c>
      <c r="L175">
        <v>28</v>
      </c>
      <c r="M175">
        <v>245</v>
      </c>
      <c r="N175">
        <v>1142</v>
      </c>
      <c r="O175">
        <v>2380</v>
      </c>
    </row>
    <row r="176" spans="1:15">
      <c r="A176">
        <v>2022484408</v>
      </c>
      <c r="B176" s="1">
        <v>42492</v>
      </c>
      <c r="C176">
        <v>10379</v>
      </c>
      <c r="D176">
        <v>7.28999996185303</v>
      </c>
      <c r="E176">
        <v>7.28999996185303</v>
      </c>
      <c r="F176">
        <v>0</v>
      </c>
      <c r="G176">
        <v>2.6099998950958301</v>
      </c>
      <c r="H176">
        <v>0.34000000357627902</v>
      </c>
      <c r="I176">
        <v>4.3299999237060502</v>
      </c>
      <c r="J176">
        <v>0</v>
      </c>
      <c r="K176">
        <v>36</v>
      </c>
      <c r="L176">
        <v>8</v>
      </c>
      <c r="M176">
        <v>277</v>
      </c>
      <c r="N176">
        <v>1119</v>
      </c>
      <c r="O176">
        <v>2473</v>
      </c>
    </row>
    <row r="177" spans="1:15">
      <c r="A177">
        <v>2022484408</v>
      </c>
      <c r="B177" s="1">
        <v>42493</v>
      </c>
      <c r="C177">
        <v>12183</v>
      </c>
      <c r="D177">
        <v>8.7399997711181605</v>
      </c>
      <c r="E177">
        <v>8.7399997711181605</v>
      </c>
      <c r="F177">
        <v>0</v>
      </c>
      <c r="G177">
        <v>3.9900000095367401</v>
      </c>
      <c r="H177">
        <v>0.46000000834464999</v>
      </c>
      <c r="I177">
        <v>4.2800002098083496</v>
      </c>
      <c r="J177">
        <v>0</v>
      </c>
      <c r="K177">
        <v>72</v>
      </c>
      <c r="L177">
        <v>14</v>
      </c>
      <c r="M177">
        <v>250</v>
      </c>
      <c r="N177">
        <v>1104</v>
      </c>
      <c r="O177">
        <v>2752</v>
      </c>
    </row>
    <row r="178" spans="1:15">
      <c r="A178">
        <v>2022484408</v>
      </c>
      <c r="B178" s="1">
        <v>42494</v>
      </c>
      <c r="C178">
        <v>11768</v>
      </c>
      <c r="D178">
        <v>8.2899999618530291</v>
      </c>
      <c r="E178">
        <v>8.2899999618530291</v>
      </c>
      <c r="F178">
        <v>0</v>
      </c>
      <c r="G178">
        <v>2.5099999904632599</v>
      </c>
      <c r="H178">
        <v>0.93000000715255704</v>
      </c>
      <c r="I178">
        <v>4.8499999046325701</v>
      </c>
      <c r="J178">
        <v>0</v>
      </c>
      <c r="K178">
        <v>36</v>
      </c>
      <c r="L178">
        <v>27</v>
      </c>
      <c r="M178">
        <v>272</v>
      </c>
      <c r="N178">
        <v>1105</v>
      </c>
      <c r="O178">
        <v>2649</v>
      </c>
    </row>
    <row r="179" spans="1:15">
      <c r="A179">
        <v>2022484408</v>
      </c>
      <c r="B179" s="1">
        <v>42495</v>
      </c>
      <c r="C179">
        <v>11895</v>
      </c>
      <c r="D179">
        <v>8.3500003814697301</v>
      </c>
      <c r="E179">
        <v>8.3500003814697301</v>
      </c>
      <c r="F179">
        <v>0</v>
      </c>
      <c r="G179">
        <v>2.78999996185303</v>
      </c>
      <c r="H179">
        <v>0.86000001430511497</v>
      </c>
      <c r="I179">
        <v>4.6999998092651403</v>
      </c>
      <c r="J179">
        <v>0</v>
      </c>
      <c r="K179">
        <v>55</v>
      </c>
      <c r="L179">
        <v>20</v>
      </c>
      <c r="M179">
        <v>253</v>
      </c>
      <c r="N179">
        <v>1112</v>
      </c>
      <c r="O179">
        <v>2609</v>
      </c>
    </row>
    <row r="180" spans="1:15">
      <c r="A180">
        <v>2022484408</v>
      </c>
      <c r="B180" s="1">
        <v>42496</v>
      </c>
      <c r="C180">
        <v>10227</v>
      </c>
      <c r="D180">
        <v>7.1799998283386204</v>
      </c>
      <c r="E180">
        <v>7.1799998283386204</v>
      </c>
      <c r="F180">
        <v>0</v>
      </c>
      <c r="G180">
        <v>1.87000000476837</v>
      </c>
      <c r="H180">
        <v>0.67000001668930098</v>
      </c>
      <c r="I180">
        <v>4.6399998664856001</v>
      </c>
      <c r="J180">
        <v>0</v>
      </c>
      <c r="K180">
        <v>24</v>
      </c>
      <c r="L180">
        <v>17</v>
      </c>
      <c r="M180">
        <v>295</v>
      </c>
      <c r="N180">
        <v>1104</v>
      </c>
      <c r="O180">
        <v>2498</v>
      </c>
    </row>
    <row r="181" spans="1:15">
      <c r="A181">
        <v>2022484408</v>
      </c>
      <c r="B181" s="1">
        <v>42497</v>
      </c>
      <c r="C181">
        <v>6708</v>
      </c>
      <c r="D181">
        <v>4.71000003814697</v>
      </c>
      <c r="E181">
        <v>4.71000003814697</v>
      </c>
      <c r="F181">
        <v>0</v>
      </c>
      <c r="G181">
        <v>1.6100000143051101</v>
      </c>
      <c r="H181">
        <v>7.9999998211860698E-2</v>
      </c>
      <c r="I181">
        <v>3.0199999809265101</v>
      </c>
      <c r="J181">
        <v>0</v>
      </c>
      <c r="K181">
        <v>20</v>
      </c>
      <c r="L181">
        <v>2</v>
      </c>
      <c r="M181">
        <v>149</v>
      </c>
      <c r="N181">
        <v>1269</v>
      </c>
      <c r="O181">
        <v>1995</v>
      </c>
    </row>
    <row r="182" spans="1:15">
      <c r="A182">
        <v>2022484408</v>
      </c>
      <c r="B182" s="1">
        <v>42498</v>
      </c>
      <c r="C182">
        <v>3292</v>
      </c>
      <c r="D182">
        <v>2.3099999427795401</v>
      </c>
      <c r="E182">
        <v>2.3099999427795401</v>
      </c>
      <c r="F182">
        <v>0</v>
      </c>
      <c r="G182">
        <v>0</v>
      </c>
      <c r="H182">
        <v>0</v>
      </c>
      <c r="I182">
        <v>2.3099999427795401</v>
      </c>
      <c r="J182">
        <v>0</v>
      </c>
      <c r="K182">
        <v>0</v>
      </c>
      <c r="L182">
        <v>0</v>
      </c>
      <c r="M182">
        <v>135</v>
      </c>
      <c r="N182">
        <v>1305</v>
      </c>
      <c r="O182">
        <v>1848</v>
      </c>
    </row>
    <row r="183" spans="1:15">
      <c r="A183">
        <v>2022484408</v>
      </c>
      <c r="B183" s="1">
        <v>42499</v>
      </c>
      <c r="C183">
        <v>13379</v>
      </c>
      <c r="D183">
        <v>9.3900003433227504</v>
      </c>
      <c r="E183">
        <v>9.3900003433227504</v>
      </c>
      <c r="F183">
        <v>0</v>
      </c>
      <c r="G183">
        <v>2.1199998855590798</v>
      </c>
      <c r="H183">
        <v>1.62999999523163</v>
      </c>
      <c r="I183">
        <v>5.6399998664856001</v>
      </c>
      <c r="J183">
        <v>0</v>
      </c>
      <c r="K183">
        <v>35</v>
      </c>
      <c r="L183">
        <v>47</v>
      </c>
      <c r="M183">
        <v>297</v>
      </c>
      <c r="N183">
        <v>1061</v>
      </c>
      <c r="O183">
        <v>2709</v>
      </c>
    </row>
    <row r="184" spans="1:15">
      <c r="A184">
        <v>2022484408</v>
      </c>
      <c r="B184" s="1">
        <v>42500</v>
      </c>
      <c r="C184">
        <v>12798</v>
      </c>
      <c r="D184">
        <v>8.9799995422363299</v>
      </c>
      <c r="E184">
        <v>8.9799995422363299</v>
      </c>
      <c r="F184">
        <v>0</v>
      </c>
      <c r="G184">
        <v>2.2200000286102299</v>
      </c>
      <c r="H184">
        <v>1.21000003814697</v>
      </c>
      <c r="I184">
        <v>5.5599999427795401</v>
      </c>
      <c r="J184">
        <v>0</v>
      </c>
      <c r="K184">
        <v>57</v>
      </c>
      <c r="L184">
        <v>28</v>
      </c>
      <c r="M184">
        <v>271</v>
      </c>
      <c r="N184">
        <v>1084</v>
      </c>
      <c r="O184">
        <v>2797</v>
      </c>
    </row>
    <row r="185" spans="1:15">
      <c r="A185">
        <v>2022484408</v>
      </c>
      <c r="B185" s="1">
        <v>42501</v>
      </c>
      <c r="C185">
        <v>13272</v>
      </c>
      <c r="D185">
        <v>9.3199996948242205</v>
      </c>
      <c r="E185">
        <v>9.3199996948242205</v>
      </c>
      <c r="F185">
        <v>0</v>
      </c>
      <c r="G185">
        <v>4.1799998283386204</v>
      </c>
      <c r="H185">
        <v>1.1499999761581401</v>
      </c>
      <c r="I185">
        <v>3.9900000095367401</v>
      </c>
      <c r="J185">
        <v>0</v>
      </c>
      <c r="K185">
        <v>58</v>
      </c>
      <c r="L185">
        <v>25</v>
      </c>
      <c r="M185">
        <v>224</v>
      </c>
      <c r="N185">
        <v>1133</v>
      </c>
      <c r="O185">
        <v>2544</v>
      </c>
    </row>
    <row r="186" spans="1:15">
      <c r="A186">
        <v>2022484408</v>
      </c>
      <c r="B186" s="1">
        <v>42502</v>
      </c>
      <c r="C186">
        <v>9117</v>
      </c>
      <c r="D186">
        <v>6.4099998474121103</v>
      </c>
      <c r="E186">
        <v>6.4099998474121103</v>
      </c>
      <c r="F186">
        <v>0</v>
      </c>
      <c r="G186">
        <v>1.2799999713897701</v>
      </c>
      <c r="H186">
        <v>0.67000001668930098</v>
      </c>
      <c r="I186">
        <v>4.4400000572204599</v>
      </c>
      <c r="J186">
        <v>0</v>
      </c>
      <c r="K186">
        <v>16</v>
      </c>
      <c r="L186">
        <v>16</v>
      </c>
      <c r="M186">
        <v>236</v>
      </c>
      <c r="N186">
        <v>728</v>
      </c>
      <c r="O186">
        <v>1853</v>
      </c>
    </row>
    <row r="187" spans="1:15">
      <c r="A187">
        <v>2026352035</v>
      </c>
      <c r="B187" s="1">
        <v>42472</v>
      </c>
      <c r="C187">
        <v>4414</v>
      </c>
      <c r="D187">
        <v>2.7400000095367401</v>
      </c>
      <c r="E187">
        <v>2.7400000095367401</v>
      </c>
      <c r="F187">
        <v>0</v>
      </c>
      <c r="G187">
        <v>0.18999999761581399</v>
      </c>
      <c r="H187">
        <v>0.34999999403953602</v>
      </c>
      <c r="I187">
        <v>2.2000000476837198</v>
      </c>
      <c r="J187">
        <v>0</v>
      </c>
      <c r="K187">
        <v>3</v>
      </c>
      <c r="L187">
        <v>8</v>
      </c>
      <c r="M187">
        <v>181</v>
      </c>
      <c r="N187">
        <v>706</v>
      </c>
      <c r="O187">
        <v>1459</v>
      </c>
    </row>
    <row r="188" spans="1:15">
      <c r="A188">
        <v>2026352035</v>
      </c>
      <c r="B188" s="1">
        <v>42473</v>
      </c>
      <c r="C188">
        <v>4993</v>
      </c>
      <c r="D188">
        <v>3.0999999046325701</v>
      </c>
      <c r="E188">
        <v>3.0999999046325701</v>
      </c>
      <c r="F188">
        <v>0</v>
      </c>
      <c r="G188">
        <v>0</v>
      </c>
      <c r="H188">
        <v>0</v>
      </c>
      <c r="I188">
        <v>3.0999999046325701</v>
      </c>
      <c r="J188">
        <v>0</v>
      </c>
      <c r="K188">
        <v>0</v>
      </c>
      <c r="L188">
        <v>0</v>
      </c>
      <c r="M188">
        <v>238</v>
      </c>
      <c r="N188">
        <v>663</v>
      </c>
      <c r="O188">
        <v>1521</v>
      </c>
    </row>
    <row r="189" spans="1:15">
      <c r="A189">
        <v>2026352035</v>
      </c>
      <c r="B189" s="1">
        <v>42474</v>
      </c>
      <c r="C189">
        <v>3335</v>
      </c>
      <c r="D189">
        <v>2.0699999332428001</v>
      </c>
      <c r="E189">
        <v>2.0699999332428001</v>
      </c>
      <c r="F189">
        <v>0</v>
      </c>
      <c r="G189">
        <v>0</v>
      </c>
      <c r="H189">
        <v>0</v>
      </c>
      <c r="I189">
        <v>2.0499999523162802</v>
      </c>
      <c r="J189">
        <v>0</v>
      </c>
      <c r="K189">
        <v>0</v>
      </c>
      <c r="L189">
        <v>0</v>
      </c>
      <c r="M189">
        <v>197</v>
      </c>
      <c r="N189">
        <v>653</v>
      </c>
      <c r="O189">
        <v>1431</v>
      </c>
    </row>
    <row r="190" spans="1:15">
      <c r="A190">
        <v>2026352035</v>
      </c>
      <c r="B190" s="1">
        <v>42475</v>
      </c>
      <c r="C190">
        <v>3821</v>
      </c>
      <c r="D190">
        <v>2.3699998855590798</v>
      </c>
      <c r="E190">
        <v>2.3699998855590798</v>
      </c>
      <c r="F190">
        <v>0</v>
      </c>
      <c r="G190">
        <v>0</v>
      </c>
      <c r="H190">
        <v>0</v>
      </c>
      <c r="I190">
        <v>2.3699998855590798</v>
      </c>
      <c r="J190">
        <v>0</v>
      </c>
      <c r="K190">
        <v>0</v>
      </c>
      <c r="L190">
        <v>0</v>
      </c>
      <c r="M190">
        <v>188</v>
      </c>
      <c r="N190">
        <v>687</v>
      </c>
      <c r="O190">
        <v>1444</v>
      </c>
    </row>
    <row r="191" spans="1:15">
      <c r="A191">
        <v>2026352035</v>
      </c>
      <c r="B191" s="1">
        <v>42476</v>
      </c>
      <c r="C191">
        <v>2547</v>
      </c>
      <c r="D191">
        <v>1.58000004291534</v>
      </c>
      <c r="E191">
        <v>1.58000004291534</v>
      </c>
      <c r="F191">
        <v>0</v>
      </c>
      <c r="G191">
        <v>0</v>
      </c>
      <c r="H191">
        <v>0</v>
      </c>
      <c r="I191">
        <v>1.58000004291534</v>
      </c>
      <c r="J191">
        <v>0</v>
      </c>
      <c r="K191">
        <v>0</v>
      </c>
      <c r="L191">
        <v>0</v>
      </c>
      <c r="M191">
        <v>150</v>
      </c>
      <c r="N191">
        <v>728</v>
      </c>
      <c r="O191">
        <v>1373</v>
      </c>
    </row>
    <row r="192" spans="1:15">
      <c r="A192">
        <v>2026352035</v>
      </c>
      <c r="B192" s="1">
        <v>42477</v>
      </c>
      <c r="C192">
        <v>838</v>
      </c>
      <c r="D192">
        <v>0.519999980926514</v>
      </c>
      <c r="E192">
        <v>0.519999980926514</v>
      </c>
      <c r="F192">
        <v>0</v>
      </c>
      <c r="G192">
        <v>0</v>
      </c>
      <c r="H192">
        <v>0</v>
      </c>
      <c r="I192">
        <v>0.519999980926514</v>
      </c>
      <c r="J192">
        <v>0</v>
      </c>
      <c r="K192">
        <v>0</v>
      </c>
      <c r="L192">
        <v>0</v>
      </c>
      <c r="M192">
        <v>60</v>
      </c>
      <c r="N192">
        <v>1053</v>
      </c>
      <c r="O192">
        <v>1214</v>
      </c>
    </row>
    <row r="193" spans="1:15">
      <c r="A193">
        <v>2026352035</v>
      </c>
      <c r="B193" s="1">
        <v>42478</v>
      </c>
      <c r="C193">
        <v>3325</v>
      </c>
      <c r="D193">
        <v>2.0599999427795401</v>
      </c>
      <c r="E193">
        <v>2.0599999427795401</v>
      </c>
      <c r="F193">
        <v>0</v>
      </c>
      <c r="G193">
        <v>0</v>
      </c>
      <c r="H193">
        <v>0</v>
      </c>
      <c r="I193">
        <v>2.0599999427795401</v>
      </c>
      <c r="J193">
        <v>0</v>
      </c>
      <c r="K193">
        <v>0</v>
      </c>
      <c r="L193">
        <v>0</v>
      </c>
      <c r="M193">
        <v>182</v>
      </c>
      <c r="N193">
        <v>1062</v>
      </c>
      <c r="O193">
        <v>1419</v>
      </c>
    </row>
    <row r="194" spans="1:15">
      <c r="A194">
        <v>2026352035</v>
      </c>
      <c r="B194" s="1">
        <v>42479</v>
      </c>
      <c r="C194">
        <v>2424</v>
      </c>
      <c r="D194">
        <v>1.5</v>
      </c>
      <c r="E194">
        <v>1.5</v>
      </c>
      <c r="F194">
        <v>0</v>
      </c>
      <c r="G194">
        <v>0</v>
      </c>
      <c r="H194">
        <v>0</v>
      </c>
      <c r="I194">
        <v>1.5</v>
      </c>
      <c r="J194">
        <v>0</v>
      </c>
      <c r="K194">
        <v>0</v>
      </c>
      <c r="L194">
        <v>0</v>
      </c>
      <c r="M194">
        <v>141</v>
      </c>
      <c r="N194">
        <v>785</v>
      </c>
      <c r="O194">
        <v>1356</v>
      </c>
    </row>
    <row r="195" spans="1:15">
      <c r="A195">
        <v>2026352035</v>
      </c>
      <c r="B195" s="1">
        <v>42480</v>
      </c>
      <c r="C195">
        <v>7222</v>
      </c>
      <c r="D195">
        <v>4.4800000190734899</v>
      </c>
      <c r="E195">
        <v>4.4800000190734899</v>
      </c>
      <c r="F195">
        <v>0</v>
      </c>
      <c r="G195">
        <v>0</v>
      </c>
      <c r="H195">
        <v>0</v>
      </c>
      <c r="I195">
        <v>4.4800000190734899</v>
      </c>
      <c r="J195">
        <v>0</v>
      </c>
      <c r="K195">
        <v>0</v>
      </c>
      <c r="L195">
        <v>0</v>
      </c>
      <c r="M195">
        <v>327</v>
      </c>
      <c r="N195">
        <v>623</v>
      </c>
      <c r="O195">
        <v>1667</v>
      </c>
    </row>
    <row r="196" spans="1:15">
      <c r="A196">
        <v>2026352035</v>
      </c>
      <c r="B196" s="1">
        <v>42481</v>
      </c>
      <c r="C196">
        <v>2467</v>
      </c>
      <c r="D196">
        <v>1.5299999713897701</v>
      </c>
      <c r="E196">
        <v>1.5299999713897701</v>
      </c>
      <c r="F196">
        <v>0</v>
      </c>
      <c r="G196">
        <v>0</v>
      </c>
      <c r="H196">
        <v>0</v>
      </c>
      <c r="I196">
        <v>1.5299999713897701</v>
      </c>
      <c r="J196">
        <v>0</v>
      </c>
      <c r="K196">
        <v>0</v>
      </c>
      <c r="L196">
        <v>0</v>
      </c>
      <c r="M196">
        <v>153</v>
      </c>
      <c r="N196">
        <v>749</v>
      </c>
      <c r="O196">
        <v>1370</v>
      </c>
    </row>
    <row r="197" spans="1:15">
      <c r="A197">
        <v>2026352035</v>
      </c>
      <c r="B197" s="1">
        <v>42482</v>
      </c>
      <c r="C197">
        <v>2915</v>
      </c>
      <c r="D197">
        <v>1.8099999427795399</v>
      </c>
      <c r="E197">
        <v>1.8099999427795399</v>
      </c>
      <c r="F197">
        <v>0</v>
      </c>
      <c r="G197">
        <v>0</v>
      </c>
      <c r="H197">
        <v>0</v>
      </c>
      <c r="I197">
        <v>1.8099999427795399</v>
      </c>
      <c r="J197">
        <v>0</v>
      </c>
      <c r="K197">
        <v>0</v>
      </c>
      <c r="L197">
        <v>0</v>
      </c>
      <c r="M197">
        <v>162</v>
      </c>
      <c r="N197">
        <v>712</v>
      </c>
      <c r="O197">
        <v>1399</v>
      </c>
    </row>
    <row r="198" spans="1:15">
      <c r="A198">
        <v>2026352035</v>
      </c>
      <c r="B198" s="1">
        <v>42483</v>
      </c>
      <c r="C198">
        <v>12357</v>
      </c>
      <c r="D198">
        <v>7.71000003814697</v>
      </c>
      <c r="E198">
        <v>7.71000003814697</v>
      </c>
      <c r="F198">
        <v>0</v>
      </c>
      <c r="G198">
        <v>0</v>
      </c>
      <c r="H198">
        <v>0</v>
      </c>
      <c r="I198">
        <v>7.71000003814697</v>
      </c>
      <c r="J198">
        <v>0</v>
      </c>
      <c r="K198">
        <v>0</v>
      </c>
      <c r="L198">
        <v>0</v>
      </c>
      <c r="M198">
        <v>432</v>
      </c>
      <c r="N198">
        <v>458</v>
      </c>
      <c r="O198">
        <v>1916</v>
      </c>
    </row>
    <row r="199" spans="1:15">
      <c r="A199">
        <v>2026352035</v>
      </c>
      <c r="B199" s="1">
        <v>42484</v>
      </c>
      <c r="C199">
        <v>3490</v>
      </c>
      <c r="D199">
        <v>2.1600000858306898</v>
      </c>
      <c r="E199">
        <v>2.1600000858306898</v>
      </c>
      <c r="F199">
        <v>0</v>
      </c>
      <c r="G199">
        <v>0</v>
      </c>
      <c r="H199">
        <v>0</v>
      </c>
      <c r="I199">
        <v>2.1600000858306898</v>
      </c>
      <c r="J199">
        <v>0</v>
      </c>
      <c r="K199">
        <v>0</v>
      </c>
      <c r="L199">
        <v>0</v>
      </c>
      <c r="M199">
        <v>164</v>
      </c>
      <c r="N199">
        <v>704</v>
      </c>
      <c r="O199">
        <v>1401</v>
      </c>
    </row>
    <row r="200" spans="1:15">
      <c r="A200">
        <v>2026352035</v>
      </c>
      <c r="B200" s="1">
        <v>42485</v>
      </c>
      <c r="C200">
        <v>6017</v>
      </c>
      <c r="D200">
        <v>3.7300000190734899</v>
      </c>
      <c r="E200">
        <v>3.7300000190734899</v>
      </c>
      <c r="F200">
        <v>0</v>
      </c>
      <c r="G200">
        <v>0</v>
      </c>
      <c r="H200">
        <v>0</v>
      </c>
      <c r="I200">
        <v>3.7300000190734899</v>
      </c>
      <c r="J200">
        <v>0</v>
      </c>
      <c r="K200">
        <v>0</v>
      </c>
      <c r="L200">
        <v>0</v>
      </c>
      <c r="M200">
        <v>260</v>
      </c>
      <c r="N200">
        <v>821</v>
      </c>
      <c r="O200">
        <v>1576</v>
      </c>
    </row>
    <row r="201" spans="1:15">
      <c r="A201">
        <v>2026352035</v>
      </c>
      <c r="B201" s="1">
        <v>42486</v>
      </c>
      <c r="C201">
        <v>5933</v>
      </c>
      <c r="D201">
        <v>3.6800000667571999</v>
      </c>
      <c r="E201">
        <v>3.6800000667571999</v>
      </c>
      <c r="F201">
        <v>0</v>
      </c>
      <c r="G201">
        <v>0</v>
      </c>
      <c r="H201">
        <v>0</v>
      </c>
      <c r="I201">
        <v>3.6800000667571999</v>
      </c>
      <c r="J201">
        <v>0</v>
      </c>
      <c r="K201">
        <v>0</v>
      </c>
      <c r="L201">
        <v>0</v>
      </c>
      <c r="M201">
        <v>288</v>
      </c>
      <c r="N201">
        <v>1018</v>
      </c>
      <c r="O201">
        <v>1595</v>
      </c>
    </row>
    <row r="202" spans="1:15">
      <c r="A202">
        <v>2026352035</v>
      </c>
      <c r="B202" s="1">
        <v>42487</v>
      </c>
      <c r="C202">
        <v>6088</v>
      </c>
      <c r="D202">
        <v>3.7699999809265101</v>
      </c>
      <c r="E202">
        <v>3.7699999809265101</v>
      </c>
      <c r="F202">
        <v>0</v>
      </c>
      <c r="G202">
        <v>0</v>
      </c>
      <c r="H202">
        <v>0</v>
      </c>
      <c r="I202">
        <v>3.7699999809265101</v>
      </c>
      <c r="J202">
        <v>0</v>
      </c>
      <c r="K202">
        <v>0</v>
      </c>
      <c r="L202">
        <v>0</v>
      </c>
      <c r="M202">
        <v>286</v>
      </c>
      <c r="N202">
        <v>586</v>
      </c>
      <c r="O202">
        <v>1593</v>
      </c>
    </row>
    <row r="203" spans="1:15">
      <c r="A203">
        <v>2026352035</v>
      </c>
      <c r="B203" s="1">
        <v>42488</v>
      </c>
      <c r="C203">
        <v>6375</v>
      </c>
      <c r="D203">
        <v>3.9500000476837198</v>
      </c>
      <c r="E203">
        <v>3.9500000476837198</v>
      </c>
      <c r="F203">
        <v>0</v>
      </c>
      <c r="G203">
        <v>0</v>
      </c>
      <c r="H203">
        <v>0</v>
      </c>
      <c r="I203">
        <v>3.9500000476837198</v>
      </c>
      <c r="J203">
        <v>0</v>
      </c>
      <c r="K203">
        <v>0</v>
      </c>
      <c r="L203">
        <v>0</v>
      </c>
      <c r="M203">
        <v>331</v>
      </c>
      <c r="N203">
        <v>626</v>
      </c>
      <c r="O203">
        <v>1649</v>
      </c>
    </row>
    <row r="204" spans="1:15">
      <c r="A204">
        <v>2026352035</v>
      </c>
      <c r="B204" s="1">
        <v>42489</v>
      </c>
      <c r="C204">
        <v>7604</v>
      </c>
      <c r="D204">
        <v>4.71000003814697</v>
      </c>
      <c r="E204">
        <v>4.71000003814697</v>
      </c>
      <c r="F204">
        <v>0</v>
      </c>
      <c r="G204">
        <v>0</v>
      </c>
      <c r="H204">
        <v>0</v>
      </c>
      <c r="I204">
        <v>4.71000003814697</v>
      </c>
      <c r="J204">
        <v>0</v>
      </c>
      <c r="K204">
        <v>0</v>
      </c>
      <c r="L204">
        <v>0</v>
      </c>
      <c r="M204">
        <v>352</v>
      </c>
      <c r="N204">
        <v>492</v>
      </c>
      <c r="O204">
        <v>1692</v>
      </c>
    </row>
    <row r="205" spans="1:15">
      <c r="A205">
        <v>2026352035</v>
      </c>
      <c r="B205" s="1">
        <v>42490</v>
      </c>
      <c r="C205">
        <v>4729</v>
      </c>
      <c r="D205">
        <v>2.9300000667571999</v>
      </c>
      <c r="E205">
        <v>2.9300000667571999</v>
      </c>
      <c r="F205">
        <v>0</v>
      </c>
      <c r="G205">
        <v>0</v>
      </c>
      <c r="H205">
        <v>0</v>
      </c>
      <c r="I205">
        <v>2.9300000667571999</v>
      </c>
      <c r="J205">
        <v>0</v>
      </c>
      <c r="K205">
        <v>0</v>
      </c>
      <c r="L205">
        <v>0</v>
      </c>
      <c r="M205">
        <v>233</v>
      </c>
      <c r="N205">
        <v>594</v>
      </c>
      <c r="O205">
        <v>1506</v>
      </c>
    </row>
    <row r="206" spans="1:15">
      <c r="A206">
        <v>2026352035</v>
      </c>
      <c r="B206" s="1">
        <v>42491</v>
      </c>
      <c r="C206">
        <v>3609</v>
      </c>
      <c r="D206">
        <v>2.2799999713897701</v>
      </c>
      <c r="E206">
        <v>2.2799999713897701</v>
      </c>
      <c r="F206">
        <v>0</v>
      </c>
      <c r="G206">
        <v>0</v>
      </c>
      <c r="H206">
        <v>0</v>
      </c>
      <c r="I206">
        <v>2.2799999713897701</v>
      </c>
      <c r="J206">
        <v>0</v>
      </c>
      <c r="K206">
        <v>0</v>
      </c>
      <c r="L206">
        <v>0</v>
      </c>
      <c r="M206">
        <v>191</v>
      </c>
      <c r="N206">
        <v>716</v>
      </c>
      <c r="O206">
        <v>1447</v>
      </c>
    </row>
    <row r="207" spans="1:15">
      <c r="A207">
        <v>2026352035</v>
      </c>
      <c r="B207" s="1">
        <v>42492</v>
      </c>
      <c r="C207">
        <v>7018</v>
      </c>
      <c r="D207">
        <v>4.3499999046325701</v>
      </c>
      <c r="E207">
        <v>4.3499999046325701</v>
      </c>
      <c r="F207">
        <v>0</v>
      </c>
      <c r="G207">
        <v>0</v>
      </c>
      <c r="H207">
        <v>0</v>
      </c>
      <c r="I207">
        <v>4.3499999046325701</v>
      </c>
      <c r="J207">
        <v>0</v>
      </c>
      <c r="K207">
        <v>0</v>
      </c>
      <c r="L207">
        <v>0</v>
      </c>
      <c r="M207">
        <v>355</v>
      </c>
      <c r="N207">
        <v>716</v>
      </c>
      <c r="O207">
        <v>1690</v>
      </c>
    </row>
    <row r="208" spans="1:15">
      <c r="A208">
        <v>2026352035</v>
      </c>
      <c r="B208" s="1">
        <v>42493</v>
      </c>
      <c r="C208">
        <v>5992</v>
      </c>
      <c r="D208">
        <v>3.7200000286102299</v>
      </c>
      <c r="E208">
        <v>3.7200000286102299</v>
      </c>
      <c r="F208">
        <v>0</v>
      </c>
      <c r="G208">
        <v>0</v>
      </c>
      <c r="H208">
        <v>0</v>
      </c>
      <c r="I208">
        <v>3.7200000286102299</v>
      </c>
      <c r="J208">
        <v>0</v>
      </c>
      <c r="K208">
        <v>0</v>
      </c>
      <c r="L208">
        <v>0</v>
      </c>
      <c r="M208">
        <v>304</v>
      </c>
      <c r="N208">
        <v>981</v>
      </c>
      <c r="O208">
        <v>1604</v>
      </c>
    </row>
    <row r="209" spans="1:15">
      <c r="A209">
        <v>2026352035</v>
      </c>
      <c r="B209" s="1">
        <v>42494</v>
      </c>
      <c r="C209">
        <v>6564</v>
      </c>
      <c r="D209">
        <v>4.0700001716613796</v>
      </c>
      <c r="E209">
        <v>4.0700001716613796</v>
      </c>
      <c r="F209">
        <v>0</v>
      </c>
      <c r="G209">
        <v>0</v>
      </c>
      <c r="H209">
        <v>0</v>
      </c>
      <c r="I209">
        <v>4.0700001716613796</v>
      </c>
      <c r="J209">
        <v>0</v>
      </c>
      <c r="K209">
        <v>0</v>
      </c>
      <c r="L209">
        <v>0</v>
      </c>
      <c r="M209">
        <v>345</v>
      </c>
      <c r="N209">
        <v>530</v>
      </c>
      <c r="O209">
        <v>1658</v>
      </c>
    </row>
    <row r="210" spans="1:15">
      <c r="A210">
        <v>2026352035</v>
      </c>
      <c r="B210" s="1">
        <v>42495</v>
      </c>
      <c r="C210">
        <v>12167</v>
      </c>
      <c r="D210">
        <v>7.53999996185303</v>
      </c>
      <c r="E210">
        <v>7.53999996185303</v>
      </c>
      <c r="F210">
        <v>0</v>
      </c>
      <c r="G210">
        <v>0</v>
      </c>
      <c r="H210">
        <v>0</v>
      </c>
      <c r="I210">
        <v>7.53999996185303</v>
      </c>
      <c r="J210">
        <v>0</v>
      </c>
      <c r="K210">
        <v>0</v>
      </c>
      <c r="L210">
        <v>0</v>
      </c>
      <c r="M210">
        <v>475</v>
      </c>
      <c r="N210">
        <v>479</v>
      </c>
      <c r="O210">
        <v>1926</v>
      </c>
    </row>
    <row r="211" spans="1:15">
      <c r="A211">
        <v>2026352035</v>
      </c>
      <c r="B211" s="1">
        <v>42496</v>
      </c>
      <c r="C211">
        <v>8198</v>
      </c>
      <c r="D211">
        <v>5.0799999237060502</v>
      </c>
      <c r="E211">
        <v>5.0799999237060502</v>
      </c>
      <c r="F211">
        <v>0</v>
      </c>
      <c r="G211">
        <v>0</v>
      </c>
      <c r="H211">
        <v>0</v>
      </c>
      <c r="I211">
        <v>5.0799999237060502</v>
      </c>
      <c r="J211">
        <v>0</v>
      </c>
      <c r="K211">
        <v>0</v>
      </c>
      <c r="L211">
        <v>0</v>
      </c>
      <c r="M211">
        <v>383</v>
      </c>
      <c r="N211">
        <v>511</v>
      </c>
      <c r="O211">
        <v>1736</v>
      </c>
    </row>
    <row r="212" spans="1:15">
      <c r="A212">
        <v>2026352035</v>
      </c>
      <c r="B212" s="1">
        <v>42497</v>
      </c>
      <c r="C212">
        <v>4193</v>
      </c>
      <c r="D212">
        <v>2.5999999046325701</v>
      </c>
      <c r="E212">
        <v>2.5999999046325701</v>
      </c>
      <c r="F212">
        <v>0</v>
      </c>
      <c r="G212">
        <v>0</v>
      </c>
      <c r="H212">
        <v>0</v>
      </c>
      <c r="I212">
        <v>2.5999999046325701</v>
      </c>
      <c r="J212">
        <v>0</v>
      </c>
      <c r="K212">
        <v>0</v>
      </c>
      <c r="L212">
        <v>0</v>
      </c>
      <c r="M212">
        <v>229</v>
      </c>
      <c r="N212">
        <v>665</v>
      </c>
      <c r="O212">
        <v>1491</v>
      </c>
    </row>
    <row r="213" spans="1:15">
      <c r="A213">
        <v>2026352035</v>
      </c>
      <c r="B213" s="1">
        <v>42498</v>
      </c>
      <c r="C213">
        <v>5528</v>
      </c>
      <c r="D213">
        <v>3.4500000476837198</v>
      </c>
      <c r="E213">
        <v>3.4500000476837198</v>
      </c>
      <c r="F213">
        <v>0</v>
      </c>
      <c r="G213">
        <v>0</v>
      </c>
      <c r="H213">
        <v>0</v>
      </c>
      <c r="I213">
        <v>3.4500000476837198</v>
      </c>
      <c r="J213">
        <v>0</v>
      </c>
      <c r="K213">
        <v>0</v>
      </c>
      <c r="L213">
        <v>0</v>
      </c>
      <c r="M213">
        <v>258</v>
      </c>
      <c r="N213">
        <v>610</v>
      </c>
      <c r="O213">
        <v>1555</v>
      </c>
    </row>
    <row r="214" spans="1:15">
      <c r="A214">
        <v>2026352035</v>
      </c>
      <c r="B214" s="1">
        <v>42499</v>
      </c>
      <c r="C214">
        <v>10685</v>
      </c>
      <c r="D214">
        <v>6.6199998855590803</v>
      </c>
      <c r="E214">
        <v>6.6199998855590803</v>
      </c>
      <c r="F214">
        <v>0</v>
      </c>
      <c r="G214">
        <v>0</v>
      </c>
      <c r="H214">
        <v>0</v>
      </c>
      <c r="I214">
        <v>6.5999999046325701</v>
      </c>
      <c r="J214">
        <v>0</v>
      </c>
      <c r="K214">
        <v>0</v>
      </c>
      <c r="L214">
        <v>0</v>
      </c>
      <c r="M214">
        <v>401</v>
      </c>
      <c r="N214">
        <v>543</v>
      </c>
      <c r="O214">
        <v>1869</v>
      </c>
    </row>
    <row r="215" spans="1:15">
      <c r="A215">
        <v>2026352035</v>
      </c>
      <c r="B215" s="1">
        <v>42500</v>
      </c>
      <c r="C215">
        <v>254</v>
      </c>
      <c r="D215">
        <v>0.15999999642372101</v>
      </c>
      <c r="E215">
        <v>0.15999999642372101</v>
      </c>
      <c r="F215">
        <v>0</v>
      </c>
      <c r="G215">
        <v>0</v>
      </c>
      <c r="H215">
        <v>0</v>
      </c>
      <c r="I215">
        <v>0.15999999642372101</v>
      </c>
      <c r="J215">
        <v>0</v>
      </c>
      <c r="K215">
        <v>0</v>
      </c>
      <c r="L215">
        <v>0</v>
      </c>
      <c r="M215">
        <v>17</v>
      </c>
      <c r="N215">
        <v>1002</v>
      </c>
      <c r="O215">
        <v>1141</v>
      </c>
    </row>
    <row r="216" spans="1:15">
      <c r="A216">
        <v>2026352035</v>
      </c>
      <c r="B216" s="1">
        <v>42501</v>
      </c>
      <c r="C216">
        <v>8580</v>
      </c>
      <c r="D216">
        <v>5.3200001716613796</v>
      </c>
      <c r="E216">
        <v>5.3200001716613796</v>
      </c>
      <c r="F216">
        <v>0</v>
      </c>
      <c r="G216">
        <v>0</v>
      </c>
      <c r="H216">
        <v>0</v>
      </c>
      <c r="I216">
        <v>5.3200001716613796</v>
      </c>
      <c r="J216">
        <v>0</v>
      </c>
      <c r="K216">
        <v>0</v>
      </c>
      <c r="L216">
        <v>0</v>
      </c>
      <c r="M216">
        <v>330</v>
      </c>
      <c r="N216">
        <v>569</v>
      </c>
      <c r="O216">
        <v>1698</v>
      </c>
    </row>
    <row r="217" spans="1:15">
      <c r="A217">
        <v>2026352035</v>
      </c>
      <c r="B217" s="1">
        <v>42502</v>
      </c>
      <c r="C217">
        <v>8891</v>
      </c>
      <c r="D217">
        <v>5.5100002288818404</v>
      </c>
      <c r="E217">
        <v>5.5100002288818404</v>
      </c>
      <c r="F217">
        <v>0</v>
      </c>
      <c r="G217">
        <v>0</v>
      </c>
      <c r="H217">
        <v>0</v>
      </c>
      <c r="I217">
        <v>5.5100002288818404</v>
      </c>
      <c r="J217">
        <v>0</v>
      </c>
      <c r="K217">
        <v>0</v>
      </c>
      <c r="L217">
        <v>0</v>
      </c>
      <c r="M217">
        <v>343</v>
      </c>
      <c r="N217">
        <v>330</v>
      </c>
      <c r="O217">
        <v>1364</v>
      </c>
    </row>
    <row r="218" spans="1:15">
      <c r="A218">
        <v>2320127002</v>
      </c>
      <c r="B218" s="1">
        <v>42472</v>
      </c>
      <c r="C218">
        <v>10725</v>
      </c>
      <c r="D218">
        <v>7.4899997711181596</v>
      </c>
      <c r="E218">
        <v>7.4899997711181596</v>
      </c>
      <c r="F218">
        <v>0</v>
      </c>
      <c r="G218">
        <v>1.16999995708466</v>
      </c>
      <c r="H218">
        <v>0.31000000238418601</v>
      </c>
      <c r="I218">
        <v>6.0100002288818404</v>
      </c>
      <c r="J218">
        <v>0</v>
      </c>
      <c r="K218">
        <v>13</v>
      </c>
      <c r="L218">
        <v>9</v>
      </c>
      <c r="M218">
        <v>306</v>
      </c>
      <c r="N218">
        <v>1112</v>
      </c>
      <c r="O218">
        <v>2124</v>
      </c>
    </row>
    <row r="219" spans="1:15">
      <c r="A219">
        <v>2320127002</v>
      </c>
      <c r="B219" s="1">
        <v>42473</v>
      </c>
      <c r="C219">
        <v>7275</v>
      </c>
      <c r="D219">
        <v>4.9000000953674299</v>
      </c>
      <c r="E219">
        <v>4.9000000953674299</v>
      </c>
      <c r="F219">
        <v>0</v>
      </c>
      <c r="G219">
        <v>0</v>
      </c>
      <c r="H219">
        <v>0</v>
      </c>
      <c r="I219">
        <v>4.9000000953674299</v>
      </c>
      <c r="J219">
        <v>0</v>
      </c>
      <c r="K219">
        <v>0</v>
      </c>
      <c r="L219">
        <v>0</v>
      </c>
      <c r="M219">
        <v>335</v>
      </c>
      <c r="N219">
        <v>1105</v>
      </c>
      <c r="O219">
        <v>2003</v>
      </c>
    </row>
    <row r="220" spans="1:15">
      <c r="A220">
        <v>2320127002</v>
      </c>
      <c r="B220" s="1">
        <v>42474</v>
      </c>
      <c r="C220">
        <v>3973</v>
      </c>
      <c r="D220">
        <v>2.6800000667571999</v>
      </c>
      <c r="E220">
        <v>2.6800000667571999</v>
      </c>
      <c r="F220">
        <v>0</v>
      </c>
      <c r="G220">
        <v>0</v>
      </c>
      <c r="H220">
        <v>0</v>
      </c>
      <c r="I220">
        <v>2.6800000667571999</v>
      </c>
      <c r="J220">
        <v>0</v>
      </c>
      <c r="K220">
        <v>0</v>
      </c>
      <c r="L220">
        <v>0</v>
      </c>
      <c r="M220">
        <v>191</v>
      </c>
      <c r="N220">
        <v>1249</v>
      </c>
      <c r="O220">
        <v>1696</v>
      </c>
    </row>
    <row r="221" spans="1:15">
      <c r="A221">
        <v>2320127002</v>
      </c>
      <c r="B221" s="1">
        <v>42475</v>
      </c>
      <c r="C221">
        <v>5205</v>
      </c>
      <c r="D221">
        <v>3.5099999904632599</v>
      </c>
      <c r="E221">
        <v>3.5099999904632599</v>
      </c>
      <c r="F221">
        <v>0</v>
      </c>
      <c r="G221">
        <v>0</v>
      </c>
      <c r="H221">
        <v>0</v>
      </c>
      <c r="I221">
        <v>3.5099999904632599</v>
      </c>
      <c r="J221">
        <v>0</v>
      </c>
      <c r="K221">
        <v>0</v>
      </c>
      <c r="L221">
        <v>0</v>
      </c>
      <c r="M221">
        <v>245</v>
      </c>
      <c r="N221">
        <v>1195</v>
      </c>
      <c r="O221">
        <v>1801</v>
      </c>
    </row>
    <row r="222" spans="1:15">
      <c r="A222">
        <v>2320127002</v>
      </c>
      <c r="B222" s="1">
        <v>42476</v>
      </c>
      <c r="C222">
        <v>5057</v>
      </c>
      <c r="D222">
        <v>3.4100000858306898</v>
      </c>
      <c r="E222">
        <v>3.4100000858306898</v>
      </c>
      <c r="F222">
        <v>0</v>
      </c>
      <c r="G222">
        <v>0</v>
      </c>
      <c r="H222">
        <v>0</v>
      </c>
      <c r="I222">
        <v>3.4000000953674299</v>
      </c>
      <c r="J222">
        <v>0</v>
      </c>
      <c r="K222">
        <v>0</v>
      </c>
      <c r="L222">
        <v>0</v>
      </c>
      <c r="M222">
        <v>195</v>
      </c>
      <c r="N222">
        <v>1245</v>
      </c>
      <c r="O222">
        <v>1724</v>
      </c>
    </row>
    <row r="223" spans="1:15">
      <c r="A223">
        <v>2320127002</v>
      </c>
      <c r="B223" s="1">
        <v>42477</v>
      </c>
      <c r="C223">
        <v>6198</v>
      </c>
      <c r="D223">
        <v>4.1799998283386204</v>
      </c>
      <c r="E223">
        <v>4.1799998283386204</v>
      </c>
      <c r="F223">
        <v>0</v>
      </c>
      <c r="G223">
        <v>0</v>
      </c>
      <c r="H223">
        <v>0</v>
      </c>
      <c r="I223">
        <v>4.1799998283386204</v>
      </c>
      <c r="J223">
        <v>0</v>
      </c>
      <c r="K223">
        <v>0</v>
      </c>
      <c r="L223">
        <v>0</v>
      </c>
      <c r="M223">
        <v>249</v>
      </c>
      <c r="N223">
        <v>1191</v>
      </c>
      <c r="O223">
        <v>1852</v>
      </c>
    </row>
    <row r="224" spans="1:15">
      <c r="A224">
        <v>2320127002</v>
      </c>
      <c r="B224" s="1">
        <v>42478</v>
      </c>
      <c r="C224">
        <v>6559</v>
      </c>
      <c r="D224">
        <v>4.4200000762939498</v>
      </c>
      <c r="E224">
        <v>4.4200000762939498</v>
      </c>
      <c r="F224">
        <v>0</v>
      </c>
      <c r="G224">
        <v>0</v>
      </c>
      <c r="H224">
        <v>0.259999990463257</v>
      </c>
      <c r="I224">
        <v>4.1399998664856001</v>
      </c>
      <c r="J224">
        <v>0</v>
      </c>
      <c r="K224">
        <v>0</v>
      </c>
      <c r="L224">
        <v>7</v>
      </c>
      <c r="M224">
        <v>260</v>
      </c>
      <c r="N224">
        <v>1173</v>
      </c>
      <c r="O224">
        <v>1905</v>
      </c>
    </row>
    <row r="225" spans="1:15">
      <c r="A225">
        <v>2320127002</v>
      </c>
      <c r="B225" s="1">
        <v>42479</v>
      </c>
      <c r="C225">
        <v>5997</v>
      </c>
      <c r="D225">
        <v>4.03999996185303</v>
      </c>
      <c r="E225">
        <v>4.03999996185303</v>
      </c>
      <c r="F225">
        <v>0</v>
      </c>
      <c r="G225">
        <v>0</v>
      </c>
      <c r="H225">
        <v>0.37999999523162797</v>
      </c>
      <c r="I225">
        <v>3.6600000858306898</v>
      </c>
      <c r="J225">
        <v>0</v>
      </c>
      <c r="K225">
        <v>0</v>
      </c>
      <c r="L225">
        <v>11</v>
      </c>
      <c r="M225">
        <v>228</v>
      </c>
      <c r="N225">
        <v>1201</v>
      </c>
      <c r="O225">
        <v>1811</v>
      </c>
    </row>
    <row r="226" spans="1:15">
      <c r="A226">
        <v>2320127002</v>
      </c>
      <c r="B226" s="1">
        <v>42480</v>
      </c>
      <c r="C226">
        <v>7192</v>
      </c>
      <c r="D226">
        <v>4.8499999046325701</v>
      </c>
      <c r="E226">
        <v>4.8499999046325701</v>
      </c>
      <c r="F226">
        <v>0</v>
      </c>
      <c r="G226">
        <v>0</v>
      </c>
      <c r="H226">
        <v>0.490000009536743</v>
      </c>
      <c r="I226">
        <v>4.3400001525878897</v>
      </c>
      <c r="J226">
        <v>0</v>
      </c>
      <c r="K226">
        <v>0</v>
      </c>
      <c r="L226">
        <v>11</v>
      </c>
      <c r="M226">
        <v>283</v>
      </c>
      <c r="N226">
        <v>1146</v>
      </c>
      <c r="O226">
        <v>1922</v>
      </c>
    </row>
    <row r="227" spans="1:15">
      <c r="A227">
        <v>2320127002</v>
      </c>
      <c r="B227" s="1">
        <v>42481</v>
      </c>
      <c r="C227">
        <v>3404</v>
      </c>
      <c r="D227">
        <v>2.28999996185303</v>
      </c>
      <c r="E227">
        <v>2.28999996185303</v>
      </c>
      <c r="F227">
        <v>0</v>
      </c>
      <c r="G227">
        <v>5.9999998658895499E-2</v>
      </c>
      <c r="H227">
        <v>0.41999998688697798</v>
      </c>
      <c r="I227">
        <v>1.8099999427795399</v>
      </c>
      <c r="J227">
        <v>0</v>
      </c>
      <c r="K227">
        <v>1</v>
      </c>
      <c r="L227">
        <v>10</v>
      </c>
      <c r="M227">
        <v>127</v>
      </c>
      <c r="N227">
        <v>1302</v>
      </c>
      <c r="O227">
        <v>1610</v>
      </c>
    </row>
    <row r="228" spans="1:15">
      <c r="A228">
        <v>2320127002</v>
      </c>
      <c r="B228" s="1">
        <v>42482</v>
      </c>
      <c r="C228">
        <v>5583</v>
      </c>
      <c r="D228">
        <v>3.7599999904632599</v>
      </c>
      <c r="E228">
        <v>3.7599999904632599</v>
      </c>
      <c r="F228">
        <v>0</v>
      </c>
      <c r="G228">
        <v>0</v>
      </c>
      <c r="H228">
        <v>0</v>
      </c>
      <c r="I228">
        <v>3.7599999904632599</v>
      </c>
      <c r="J228">
        <v>0</v>
      </c>
      <c r="K228">
        <v>0</v>
      </c>
      <c r="L228">
        <v>0</v>
      </c>
      <c r="M228">
        <v>266</v>
      </c>
      <c r="N228">
        <v>1174</v>
      </c>
      <c r="O228">
        <v>1851</v>
      </c>
    </row>
    <row r="229" spans="1:15">
      <c r="A229">
        <v>2320127002</v>
      </c>
      <c r="B229" s="1">
        <v>42483</v>
      </c>
      <c r="C229">
        <v>5079</v>
      </c>
      <c r="D229">
        <v>3.4200000762939502</v>
      </c>
      <c r="E229">
        <v>3.4200000762939502</v>
      </c>
      <c r="F229">
        <v>0</v>
      </c>
      <c r="G229">
        <v>0</v>
      </c>
      <c r="H229">
        <v>0</v>
      </c>
      <c r="I229">
        <v>3.4200000762939502</v>
      </c>
      <c r="J229">
        <v>0</v>
      </c>
      <c r="K229">
        <v>0</v>
      </c>
      <c r="L229">
        <v>0</v>
      </c>
      <c r="M229">
        <v>242</v>
      </c>
      <c r="N229">
        <v>1129</v>
      </c>
      <c r="O229">
        <v>1804</v>
      </c>
    </row>
    <row r="230" spans="1:15">
      <c r="A230">
        <v>2320127002</v>
      </c>
      <c r="B230" s="1">
        <v>42484</v>
      </c>
      <c r="C230">
        <v>4165</v>
      </c>
      <c r="D230">
        <v>2.8099999427795401</v>
      </c>
      <c r="E230">
        <v>2.8099999427795401</v>
      </c>
      <c r="F230">
        <v>0</v>
      </c>
      <c r="G230">
        <v>0</v>
      </c>
      <c r="H230">
        <v>0</v>
      </c>
      <c r="I230">
        <v>2.7999999523162802</v>
      </c>
      <c r="J230">
        <v>0</v>
      </c>
      <c r="K230">
        <v>0</v>
      </c>
      <c r="L230">
        <v>0</v>
      </c>
      <c r="M230">
        <v>204</v>
      </c>
      <c r="N230">
        <v>1236</v>
      </c>
      <c r="O230">
        <v>1725</v>
      </c>
    </row>
    <row r="231" spans="1:15">
      <c r="A231">
        <v>2320127002</v>
      </c>
      <c r="B231" s="1">
        <v>42485</v>
      </c>
      <c r="C231">
        <v>3588</v>
      </c>
      <c r="D231">
        <v>2.4200000762939502</v>
      </c>
      <c r="E231">
        <v>2.4200000762939502</v>
      </c>
      <c r="F231">
        <v>0</v>
      </c>
      <c r="G231">
        <v>0.230000004172325</v>
      </c>
      <c r="H231">
        <v>0.20000000298023199</v>
      </c>
      <c r="I231">
        <v>1.9900000095367401</v>
      </c>
      <c r="J231">
        <v>0</v>
      </c>
      <c r="K231">
        <v>3</v>
      </c>
      <c r="L231">
        <v>5</v>
      </c>
      <c r="M231">
        <v>152</v>
      </c>
      <c r="N231">
        <v>1280</v>
      </c>
      <c r="O231">
        <v>1654</v>
      </c>
    </row>
    <row r="232" spans="1:15">
      <c r="A232">
        <v>2320127002</v>
      </c>
      <c r="B232" s="1">
        <v>42486</v>
      </c>
      <c r="C232">
        <v>3409</v>
      </c>
      <c r="D232">
        <v>2.2999999523162802</v>
      </c>
      <c r="E232">
        <v>2.2999999523162802</v>
      </c>
      <c r="F232">
        <v>0</v>
      </c>
      <c r="G232">
        <v>0</v>
      </c>
      <c r="H232">
        <v>0</v>
      </c>
      <c r="I232">
        <v>2.2999999523162802</v>
      </c>
      <c r="J232">
        <v>0</v>
      </c>
      <c r="K232">
        <v>0</v>
      </c>
      <c r="L232">
        <v>0</v>
      </c>
      <c r="M232">
        <v>147</v>
      </c>
      <c r="N232">
        <v>1293</v>
      </c>
      <c r="O232">
        <v>1632</v>
      </c>
    </row>
    <row r="233" spans="1:15">
      <c r="A233">
        <v>2320127002</v>
      </c>
      <c r="B233" s="1">
        <v>42487</v>
      </c>
      <c r="C233">
        <v>1715</v>
      </c>
      <c r="D233">
        <v>1.1599999666214</v>
      </c>
      <c r="E233">
        <v>1.1599999666214</v>
      </c>
      <c r="F233">
        <v>0</v>
      </c>
      <c r="G233">
        <v>0</v>
      </c>
      <c r="H233">
        <v>0</v>
      </c>
      <c r="I233">
        <v>1.1599999666214</v>
      </c>
      <c r="J233">
        <v>0</v>
      </c>
      <c r="K233">
        <v>0</v>
      </c>
      <c r="L233">
        <v>0</v>
      </c>
      <c r="M233">
        <v>82</v>
      </c>
      <c r="N233">
        <v>1358</v>
      </c>
      <c r="O233">
        <v>1481</v>
      </c>
    </row>
    <row r="234" spans="1:15">
      <c r="A234">
        <v>2320127002</v>
      </c>
      <c r="B234" s="1">
        <v>42488</v>
      </c>
      <c r="C234">
        <v>1532</v>
      </c>
      <c r="D234">
        <v>1.0299999713897701</v>
      </c>
      <c r="E234">
        <v>1.0299999713897701</v>
      </c>
      <c r="F234">
        <v>0</v>
      </c>
      <c r="G234">
        <v>0</v>
      </c>
      <c r="H234">
        <v>0</v>
      </c>
      <c r="I234">
        <v>1.0299999713897701</v>
      </c>
      <c r="J234">
        <v>0</v>
      </c>
      <c r="K234">
        <v>0</v>
      </c>
      <c r="L234">
        <v>0</v>
      </c>
      <c r="M234">
        <v>76</v>
      </c>
      <c r="N234">
        <v>1364</v>
      </c>
      <c r="O234">
        <v>1473</v>
      </c>
    </row>
    <row r="235" spans="1:15">
      <c r="A235">
        <v>2320127002</v>
      </c>
      <c r="B235" s="1">
        <v>42489</v>
      </c>
      <c r="C235">
        <v>924</v>
      </c>
      <c r="D235">
        <v>0.62000000476837203</v>
      </c>
      <c r="E235">
        <v>0.62000000476837203</v>
      </c>
      <c r="F235">
        <v>0</v>
      </c>
      <c r="G235">
        <v>0</v>
      </c>
      <c r="H235">
        <v>0</v>
      </c>
      <c r="I235">
        <v>0.62000000476837203</v>
      </c>
      <c r="J235">
        <v>0</v>
      </c>
      <c r="K235">
        <v>0</v>
      </c>
      <c r="L235">
        <v>0</v>
      </c>
      <c r="M235">
        <v>45</v>
      </c>
      <c r="N235">
        <v>1395</v>
      </c>
      <c r="O235">
        <v>1410</v>
      </c>
    </row>
    <row r="236" spans="1:15">
      <c r="A236">
        <v>2320127002</v>
      </c>
      <c r="B236" s="1">
        <v>42490</v>
      </c>
      <c r="C236">
        <v>4571</v>
      </c>
      <c r="D236">
        <v>3.0799999237060498</v>
      </c>
      <c r="E236">
        <v>3.0799999237060498</v>
      </c>
      <c r="F236">
        <v>0</v>
      </c>
      <c r="G236">
        <v>0</v>
      </c>
      <c r="H236">
        <v>0</v>
      </c>
      <c r="I236">
        <v>3.0699999332428001</v>
      </c>
      <c r="J236">
        <v>0</v>
      </c>
      <c r="K236">
        <v>0</v>
      </c>
      <c r="L236">
        <v>0</v>
      </c>
      <c r="M236">
        <v>234</v>
      </c>
      <c r="N236">
        <v>1206</v>
      </c>
      <c r="O236">
        <v>1779</v>
      </c>
    </row>
    <row r="237" spans="1:15">
      <c r="A237">
        <v>2320127002</v>
      </c>
      <c r="B237" s="1">
        <v>42491</v>
      </c>
      <c r="C237">
        <v>772</v>
      </c>
      <c r="D237">
        <v>0.519999980926514</v>
      </c>
      <c r="E237">
        <v>0.519999980926514</v>
      </c>
      <c r="F237">
        <v>0</v>
      </c>
      <c r="G237">
        <v>0</v>
      </c>
      <c r="H237">
        <v>0</v>
      </c>
      <c r="I237">
        <v>0.519999980926514</v>
      </c>
      <c r="J237">
        <v>0</v>
      </c>
      <c r="K237">
        <v>0</v>
      </c>
      <c r="L237">
        <v>0</v>
      </c>
      <c r="M237">
        <v>40</v>
      </c>
      <c r="N237">
        <v>1400</v>
      </c>
      <c r="O237">
        <v>1403</v>
      </c>
    </row>
    <row r="238" spans="1:15">
      <c r="A238">
        <v>2320127002</v>
      </c>
      <c r="B238" s="1">
        <v>42492</v>
      </c>
      <c r="C238">
        <v>3634</v>
      </c>
      <c r="D238">
        <v>2.4500000476837198</v>
      </c>
      <c r="E238">
        <v>2.4500000476837198</v>
      </c>
      <c r="F238">
        <v>0</v>
      </c>
      <c r="G238">
        <v>0.36000001430511502</v>
      </c>
      <c r="H238">
        <v>0.20999999344348899</v>
      </c>
      <c r="I238">
        <v>1.87999999523163</v>
      </c>
      <c r="J238">
        <v>0</v>
      </c>
      <c r="K238">
        <v>5</v>
      </c>
      <c r="L238">
        <v>6</v>
      </c>
      <c r="M238">
        <v>123</v>
      </c>
      <c r="N238">
        <v>1306</v>
      </c>
      <c r="O238">
        <v>1613</v>
      </c>
    </row>
    <row r="239" spans="1:15">
      <c r="A239">
        <v>2320127002</v>
      </c>
      <c r="B239" s="1">
        <v>42493</v>
      </c>
      <c r="C239">
        <v>7443</v>
      </c>
      <c r="D239">
        <v>5.0199999809265101</v>
      </c>
      <c r="E239">
        <v>5.0199999809265101</v>
      </c>
      <c r="F239">
        <v>0</v>
      </c>
      <c r="G239">
        <v>1.4900000095367401</v>
      </c>
      <c r="H239">
        <v>0.37000000476837203</v>
      </c>
      <c r="I239">
        <v>3.1600000858306898</v>
      </c>
      <c r="J239">
        <v>0</v>
      </c>
      <c r="K239">
        <v>20</v>
      </c>
      <c r="L239">
        <v>10</v>
      </c>
      <c r="M239">
        <v>206</v>
      </c>
      <c r="N239">
        <v>1204</v>
      </c>
      <c r="O239">
        <v>1878</v>
      </c>
    </row>
    <row r="240" spans="1:15">
      <c r="A240">
        <v>2320127002</v>
      </c>
      <c r="B240" s="1">
        <v>42494</v>
      </c>
      <c r="C240">
        <v>1201</v>
      </c>
      <c r="D240">
        <v>0.81000000238418601</v>
      </c>
      <c r="E240">
        <v>0.81000000238418601</v>
      </c>
      <c r="F240">
        <v>0</v>
      </c>
      <c r="G240">
        <v>0</v>
      </c>
      <c r="H240">
        <v>0</v>
      </c>
      <c r="I240">
        <v>0.81000000238418601</v>
      </c>
      <c r="J240">
        <v>0</v>
      </c>
      <c r="K240">
        <v>0</v>
      </c>
      <c r="L240">
        <v>0</v>
      </c>
      <c r="M240">
        <v>52</v>
      </c>
      <c r="N240">
        <v>1388</v>
      </c>
      <c r="O240">
        <v>1426</v>
      </c>
    </row>
    <row r="241" spans="1:15">
      <c r="A241">
        <v>2320127002</v>
      </c>
      <c r="B241" s="1">
        <v>42495</v>
      </c>
      <c r="C241">
        <v>5202</v>
      </c>
      <c r="D241">
        <v>3.5099999904632599</v>
      </c>
      <c r="E241">
        <v>3.5099999904632599</v>
      </c>
      <c r="F241">
        <v>0</v>
      </c>
      <c r="G241">
        <v>0</v>
      </c>
      <c r="H241">
        <v>0.38999998569488498</v>
      </c>
      <c r="I241">
        <v>3.1099998950958301</v>
      </c>
      <c r="J241">
        <v>0</v>
      </c>
      <c r="K241">
        <v>0</v>
      </c>
      <c r="L241">
        <v>11</v>
      </c>
      <c r="M241">
        <v>223</v>
      </c>
      <c r="N241">
        <v>1206</v>
      </c>
      <c r="O241">
        <v>1780</v>
      </c>
    </row>
    <row r="242" spans="1:15">
      <c r="A242">
        <v>2320127002</v>
      </c>
      <c r="B242" s="1">
        <v>42496</v>
      </c>
      <c r="C242">
        <v>4878</v>
      </c>
      <c r="D242">
        <v>3.28999996185303</v>
      </c>
      <c r="E242">
        <v>3.28999996185303</v>
      </c>
      <c r="F242">
        <v>0</v>
      </c>
      <c r="G242">
        <v>0</v>
      </c>
      <c r="H242">
        <v>0</v>
      </c>
      <c r="I242">
        <v>3.28999996185303</v>
      </c>
      <c r="J242">
        <v>0</v>
      </c>
      <c r="K242">
        <v>0</v>
      </c>
      <c r="L242">
        <v>0</v>
      </c>
      <c r="M242">
        <v>204</v>
      </c>
      <c r="N242">
        <v>1236</v>
      </c>
      <c r="O242">
        <v>1742</v>
      </c>
    </row>
    <row r="243" spans="1:15">
      <c r="A243">
        <v>2320127002</v>
      </c>
      <c r="B243" s="1">
        <v>42497</v>
      </c>
      <c r="C243">
        <v>7379</v>
      </c>
      <c r="D243">
        <v>4.9699997901916504</v>
      </c>
      <c r="E243">
        <v>4.9699997901916504</v>
      </c>
      <c r="F243">
        <v>0</v>
      </c>
      <c r="G243">
        <v>0</v>
      </c>
      <c r="H243">
        <v>0</v>
      </c>
      <c r="I243">
        <v>4.9699997901916504</v>
      </c>
      <c r="J243">
        <v>0</v>
      </c>
      <c r="K243">
        <v>0</v>
      </c>
      <c r="L243">
        <v>0</v>
      </c>
      <c r="M243">
        <v>319</v>
      </c>
      <c r="N243">
        <v>1121</v>
      </c>
      <c r="O243">
        <v>1972</v>
      </c>
    </row>
    <row r="244" spans="1:15">
      <c r="A244">
        <v>2320127002</v>
      </c>
      <c r="B244" s="1">
        <v>42498</v>
      </c>
      <c r="C244">
        <v>5161</v>
      </c>
      <c r="D244">
        <v>3.4800000190734899</v>
      </c>
      <c r="E244">
        <v>3.4800000190734899</v>
      </c>
      <c r="F244">
        <v>0</v>
      </c>
      <c r="G244">
        <v>0</v>
      </c>
      <c r="H244">
        <v>0</v>
      </c>
      <c r="I244">
        <v>3.4700000286102299</v>
      </c>
      <c r="J244">
        <v>0</v>
      </c>
      <c r="K244">
        <v>0</v>
      </c>
      <c r="L244">
        <v>0</v>
      </c>
      <c r="M244">
        <v>247</v>
      </c>
      <c r="N244">
        <v>1193</v>
      </c>
      <c r="O244">
        <v>1821</v>
      </c>
    </row>
    <row r="245" spans="1:15">
      <c r="A245">
        <v>2320127002</v>
      </c>
      <c r="B245" s="1">
        <v>42499</v>
      </c>
      <c r="C245">
        <v>3090</v>
      </c>
      <c r="D245">
        <v>2.0799999237060498</v>
      </c>
      <c r="E245">
        <v>2.0799999237060498</v>
      </c>
      <c r="F245">
        <v>0</v>
      </c>
      <c r="G245">
        <v>0</v>
      </c>
      <c r="H245">
        <v>0</v>
      </c>
      <c r="I245">
        <v>2.0799999237060498</v>
      </c>
      <c r="J245">
        <v>0</v>
      </c>
      <c r="K245">
        <v>0</v>
      </c>
      <c r="L245">
        <v>0</v>
      </c>
      <c r="M245">
        <v>145</v>
      </c>
      <c r="N245">
        <v>1295</v>
      </c>
      <c r="O245">
        <v>1630</v>
      </c>
    </row>
    <row r="246" spans="1:15">
      <c r="A246">
        <v>2320127002</v>
      </c>
      <c r="B246" s="1">
        <v>42500</v>
      </c>
      <c r="C246">
        <v>6227</v>
      </c>
      <c r="D246">
        <v>4.1999998092651403</v>
      </c>
      <c r="E246">
        <v>4.1999998092651403</v>
      </c>
      <c r="F246">
        <v>0</v>
      </c>
      <c r="G246">
        <v>0</v>
      </c>
      <c r="H246">
        <v>0</v>
      </c>
      <c r="I246">
        <v>4.1999998092651403</v>
      </c>
      <c r="J246">
        <v>0</v>
      </c>
      <c r="K246">
        <v>0</v>
      </c>
      <c r="L246">
        <v>0</v>
      </c>
      <c r="M246">
        <v>290</v>
      </c>
      <c r="N246">
        <v>1150</v>
      </c>
      <c r="O246">
        <v>1899</v>
      </c>
    </row>
    <row r="247" spans="1:15">
      <c r="A247">
        <v>2320127002</v>
      </c>
      <c r="B247" s="1">
        <v>42501</v>
      </c>
      <c r="C247">
        <v>6424</v>
      </c>
      <c r="D247">
        <v>4.3299999237060502</v>
      </c>
      <c r="E247">
        <v>4.3299999237060502</v>
      </c>
      <c r="F247">
        <v>0</v>
      </c>
      <c r="G247">
        <v>0</v>
      </c>
      <c r="H247">
        <v>0</v>
      </c>
      <c r="I247">
        <v>4.3299999237060502</v>
      </c>
      <c r="J247">
        <v>0</v>
      </c>
      <c r="K247">
        <v>0</v>
      </c>
      <c r="L247">
        <v>0</v>
      </c>
      <c r="M247">
        <v>300</v>
      </c>
      <c r="N247">
        <v>1140</v>
      </c>
      <c r="O247">
        <v>1903</v>
      </c>
    </row>
    <row r="248" spans="1:15">
      <c r="A248">
        <v>2320127002</v>
      </c>
      <c r="B248" s="1">
        <v>42502</v>
      </c>
      <c r="C248">
        <v>2661</v>
      </c>
      <c r="D248">
        <v>1.78999996185303</v>
      </c>
      <c r="E248">
        <v>1.78999996185303</v>
      </c>
      <c r="F248">
        <v>0</v>
      </c>
      <c r="G248">
        <v>0</v>
      </c>
      <c r="H248">
        <v>0</v>
      </c>
      <c r="I248">
        <v>1.78999996185303</v>
      </c>
      <c r="J248">
        <v>0</v>
      </c>
      <c r="K248">
        <v>0</v>
      </c>
      <c r="L248">
        <v>0</v>
      </c>
      <c r="M248">
        <v>128</v>
      </c>
      <c r="N248">
        <v>830</v>
      </c>
      <c r="O248">
        <v>1125</v>
      </c>
    </row>
    <row r="249" spans="1:15">
      <c r="A249">
        <v>2347167796</v>
      </c>
      <c r="B249" s="1">
        <v>42472</v>
      </c>
      <c r="C249">
        <v>10113</v>
      </c>
      <c r="D249">
        <v>6.8299999237060502</v>
      </c>
      <c r="E249">
        <v>6.8299999237060502</v>
      </c>
      <c r="F249">
        <v>0</v>
      </c>
      <c r="G249">
        <v>2</v>
      </c>
      <c r="H249">
        <v>0.62000000476837203</v>
      </c>
      <c r="I249">
        <v>4.1999998092651403</v>
      </c>
      <c r="J249">
        <v>0</v>
      </c>
      <c r="K249">
        <v>28</v>
      </c>
      <c r="L249">
        <v>13</v>
      </c>
      <c r="M249">
        <v>320</v>
      </c>
      <c r="N249">
        <v>964</v>
      </c>
      <c r="O249">
        <v>2344</v>
      </c>
    </row>
    <row r="250" spans="1:15">
      <c r="A250">
        <v>2347167796</v>
      </c>
      <c r="B250" s="1">
        <v>42473</v>
      </c>
      <c r="C250">
        <v>10352</v>
      </c>
      <c r="D250">
        <v>7.0100002288818404</v>
      </c>
      <c r="E250">
        <v>7.0100002288818404</v>
      </c>
      <c r="F250">
        <v>0</v>
      </c>
      <c r="G250">
        <v>1.6599999666214</v>
      </c>
      <c r="H250">
        <v>1.9400000572204601</v>
      </c>
      <c r="I250">
        <v>3.4100000858306898</v>
      </c>
      <c r="J250">
        <v>0</v>
      </c>
      <c r="K250">
        <v>19</v>
      </c>
      <c r="L250">
        <v>32</v>
      </c>
      <c r="M250">
        <v>195</v>
      </c>
      <c r="N250">
        <v>676</v>
      </c>
      <c r="O250">
        <v>2038</v>
      </c>
    </row>
    <row r="251" spans="1:15">
      <c r="A251">
        <v>2347167796</v>
      </c>
      <c r="B251" s="1">
        <v>42474</v>
      </c>
      <c r="C251">
        <v>10129</v>
      </c>
      <c r="D251">
        <v>6.6999998092651403</v>
      </c>
      <c r="E251">
        <v>6.6999998092651403</v>
      </c>
      <c r="F251">
        <v>0</v>
      </c>
      <c r="G251">
        <v>1.9999999552965199E-2</v>
      </c>
      <c r="H251">
        <v>2.7400000095367401</v>
      </c>
      <c r="I251">
        <v>3.9400000572204599</v>
      </c>
      <c r="J251">
        <v>0</v>
      </c>
      <c r="K251">
        <v>1</v>
      </c>
      <c r="L251">
        <v>48</v>
      </c>
      <c r="M251">
        <v>206</v>
      </c>
      <c r="N251">
        <v>705</v>
      </c>
      <c r="O251">
        <v>2010</v>
      </c>
    </row>
    <row r="252" spans="1:15">
      <c r="A252">
        <v>2347167796</v>
      </c>
      <c r="B252" s="1">
        <v>42475</v>
      </c>
      <c r="C252">
        <v>10465</v>
      </c>
      <c r="D252">
        <v>6.9200000762939498</v>
      </c>
      <c r="E252">
        <v>6.9200000762939498</v>
      </c>
      <c r="F252">
        <v>0</v>
      </c>
      <c r="G252">
        <v>7.0000000298023196E-2</v>
      </c>
      <c r="H252">
        <v>1.41999995708466</v>
      </c>
      <c r="I252">
        <v>5.4299998283386204</v>
      </c>
      <c r="J252">
        <v>0</v>
      </c>
      <c r="K252">
        <v>1</v>
      </c>
      <c r="L252">
        <v>24</v>
      </c>
      <c r="M252">
        <v>284</v>
      </c>
      <c r="N252">
        <v>720</v>
      </c>
      <c r="O252">
        <v>2133</v>
      </c>
    </row>
    <row r="253" spans="1:15">
      <c r="A253">
        <v>2347167796</v>
      </c>
      <c r="B253" s="1">
        <v>42476</v>
      </c>
      <c r="C253">
        <v>22244</v>
      </c>
      <c r="D253">
        <v>15.079999923706101</v>
      </c>
      <c r="E253">
        <v>15.079999923706101</v>
      </c>
      <c r="F253">
        <v>0</v>
      </c>
      <c r="G253">
        <v>5.4499998092651403</v>
      </c>
      <c r="H253">
        <v>4.0999999046325701</v>
      </c>
      <c r="I253">
        <v>5.5300002098083496</v>
      </c>
      <c r="J253">
        <v>0</v>
      </c>
      <c r="K253">
        <v>66</v>
      </c>
      <c r="L253">
        <v>72</v>
      </c>
      <c r="M253">
        <v>268</v>
      </c>
      <c r="N253">
        <v>968</v>
      </c>
      <c r="O253">
        <v>2670</v>
      </c>
    </row>
    <row r="254" spans="1:15">
      <c r="A254">
        <v>2347167796</v>
      </c>
      <c r="B254" s="1">
        <v>42477</v>
      </c>
      <c r="C254">
        <v>5472</v>
      </c>
      <c r="D254">
        <v>3.6199998855590798</v>
      </c>
      <c r="E254">
        <v>3.6199998855590798</v>
      </c>
      <c r="F254">
        <v>0</v>
      </c>
      <c r="G254">
        <v>7.9999998211860698E-2</v>
      </c>
      <c r="H254">
        <v>0.28000000119209301</v>
      </c>
      <c r="I254">
        <v>3.2599999904632599</v>
      </c>
      <c r="J254">
        <v>0</v>
      </c>
      <c r="K254">
        <v>1</v>
      </c>
      <c r="L254">
        <v>7</v>
      </c>
      <c r="M254">
        <v>249</v>
      </c>
      <c r="N254">
        <v>508</v>
      </c>
      <c r="O254">
        <v>1882</v>
      </c>
    </row>
    <row r="255" spans="1:15">
      <c r="A255">
        <v>2347167796</v>
      </c>
      <c r="B255" s="1">
        <v>42478</v>
      </c>
      <c r="C255">
        <v>8247</v>
      </c>
      <c r="D255">
        <v>5.4499998092651403</v>
      </c>
      <c r="E255">
        <v>5.4499998092651403</v>
      </c>
      <c r="F255">
        <v>0</v>
      </c>
      <c r="G255">
        <v>0.79000002145767201</v>
      </c>
      <c r="H255">
        <v>0.86000001430511497</v>
      </c>
      <c r="I255">
        <v>3.78999996185303</v>
      </c>
      <c r="J255">
        <v>0</v>
      </c>
      <c r="K255">
        <v>11</v>
      </c>
      <c r="L255">
        <v>16</v>
      </c>
      <c r="M255">
        <v>206</v>
      </c>
      <c r="N255">
        <v>678</v>
      </c>
      <c r="O255">
        <v>1944</v>
      </c>
    </row>
    <row r="256" spans="1:15">
      <c r="A256">
        <v>2347167796</v>
      </c>
      <c r="B256" s="1">
        <v>42479</v>
      </c>
      <c r="C256">
        <v>6711</v>
      </c>
      <c r="D256">
        <v>4.4400000572204599</v>
      </c>
      <c r="E256">
        <v>4.4400000572204599</v>
      </c>
      <c r="F256">
        <v>0</v>
      </c>
      <c r="G256">
        <v>0</v>
      </c>
      <c r="H256">
        <v>0</v>
      </c>
      <c r="I256">
        <v>4.4400000572204599</v>
      </c>
      <c r="J256">
        <v>0</v>
      </c>
      <c r="K256">
        <v>0</v>
      </c>
      <c r="L256">
        <v>7</v>
      </c>
      <c r="M256">
        <v>382</v>
      </c>
      <c r="N256">
        <v>648</v>
      </c>
      <c r="O256">
        <v>2346</v>
      </c>
    </row>
    <row r="257" spans="1:15">
      <c r="A257">
        <v>2347167796</v>
      </c>
      <c r="B257" s="1">
        <v>42480</v>
      </c>
      <c r="C257">
        <v>10999</v>
      </c>
      <c r="D257">
        <v>7.2699999809265101</v>
      </c>
      <c r="E257">
        <v>7.2699999809265101</v>
      </c>
      <c r="F257">
        <v>0</v>
      </c>
      <c r="G257">
        <v>0.68000000715255704</v>
      </c>
      <c r="H257">
        <v>1.8099999427795399</v>
      </c>
      <c r="I257">
        <v>4.7800002098083496</v>
      </c>
      <c r="J257">
        <v>0</v>
      </c>
      <c r="K257">
        <v>11</v>
      </c>
      <c r="L257">
        <v>43</v>
      </c>
      <c r="M257">
        <v>269</v>
      </c>
      <c r="N257">
        <v>1011</v>
      </c>
      <c r="O257">
        <v>2198</v>
      </c>
    </row>
    <row r="258" spans="1:15">
      <c r="A258">
        <v>2347167796</v>
      </c>
      <c r="B258" s="1">
        <v>42481</v>
      </c>
      <c r="C258">
        <v>10080</v>
      </c>
      <c r="D258">
        <v>6.75</v>
      </c>
      <c r="E258">
        <v>6.75</v>
      </c>
      <c r="F258">
        <v>0</v>
      </c>
      <c r="G258">
        <v>1.8500000238418599</v>
      </c>
      <c r="H258">
        <v>1.5299999713897701</v>
      </c>
      <c r="I258">
        <v>3.3800001144409202</v>
      </c>
      <c r="J258">
        <v>0</v>
      </c>
      <c r="K258">
        <v>23</v>
      </c>
      <c r="L258">
        <v>26</v>
      </c>
      <c r="M258">
        <v>208</v>
      </c>
      <c r="N258">
        <v>761</v>
      </c>
      <c r="O258">
        <v>2048</v>
      </c>
    </row>
    <row r="259" spans="1:15">
      <c r="A259">
        <v>2347167796</v>
      </c>
      <c r="B259" s="1">
        <v>42482</v>
      </c>
      <c r="C259">
        <v>7804</v>
      </c>
      <c r="D259">
        <v>5.1599998474121103</v>
      </c>
      <c r="E259">
        <v>5.1599998474121103</v>
      </c>
      <c r="F259">
        <v>0</v>
      </c>
      <c r="G259">
        <v>0.56000000238418601</v>
      </c>
      <c r="H259">
        <v>1.6799999475479099</v>
      </c>
      <c r="I259">
        <v>2.9200000762939502</v>
      </c>
      <c r="J259">
        <v>0</v>
      </c>
      <c r="K259">
        <v>9</v>
      </c>
      <c r="L259">
        <v>27</v>
      </c>
      <c r="M259">
        <v>206</v>
      </c>
      <c r="N259">
        <v>781</v>
      </c>
      <c r="O259">
        <v>1946</v>
      </c>
    </row>
    <row r="260" spans="1:15">
      <c r="A260">
        <v>2347167796</v>
      </c>
      <c r="B260" s="1">
        <v>42483</v>
      </c>
      <c r="C260">
        <v>16901</v>
      </c>
      <c r="D260">
        <v>11.3699998855591</v>
      </c>
      <c r="E260">
        <v>11.3699998855591</v>
      </c>
      <c r="F260">
        <v>0</v>
      </c>
      <c r="G260">
        <v>2.7799999713897701</v>
      </c>
      <c r="H260">
        <v>1.45000004768372</v>
      </c>
      <c r="I260">
        <v>7.1500000953674299</v>
      </c>
      <c r="J260">
        <v>0</v>
      </c>
      <c r="K260">
        <v>32</v>
      </c>
      <c r="L260">
        <v>35</v>
      </c>
      <c r="M260">
        <v>360</v>
      </c>
      <c r="N260">
        <v>591</v>
      </c>
      <c r="O260">
        <v>2629</v>
      </c>
    </row>
    <row r="261" spans="1:15">
      <c r="A261">
        <v>2347167796</v>
      </c>
      <c r="B261" s="1">
        <v>42484</v>
      </c>
      <c r="C261">
        <v>9471</v>
      </c>
      <c r="D261">
        <v>6.2600002288818404</v>
      </c>
      <c r="E261">
        <v>6.2600002288818404</v>
      </c>
      <c r="F261">
        <v>0</v>
      </c>
      <c r="G261">
        <v>0</v>
      </c>
      <c r="H261">
        <v>0</v>
      </c>
      <c r="I261">
        <v>6.2600002288818404</v>
      </c>
      <c r="J261">
        <v>0</v>
      </c>
      <c r="K261">
        <v>0</v>
      </c>
      <c r="L261">
        <v>0</v>
      </c>
      <c r="M261">
        <v>360</v>
      </c>
      <c r="N261">
        <v>584</v>
      </c>
      <c r="O261">
        <v>2187</v>
      </c>
    </row>
    <row r="262" spans="1:15">
      <c r="A262">
        <v>2347167796</v>
      </c>
      <c r="B262" s="1">
        <v>42485</v>
      </c>
      <c r="C262">
        <v>9482</v>
      </c>
      <c r="D262">
        <v>6.3800001144409197</v>
      </c>
      <c r="E262">
        <v>6.3800001144409197</v>
      </c>
      <c r="F262">
        <v>0</v>
      </c>
      <c r="G262">
        <v>1.2699999809265099</v>
      </c>
      <c r="H262">
        <v>0.519999980926514</v>
      </c>
      <c r="I262">
        <v>4.5999999046325701</v>
      </c>
      <c r="J262">
        <v>0</v>
      </c>
      <c r="K262">
        <v>15</v>
      </c>
      <c r="L262">
        <v>11</v>
      </c>
      <c r="M262">
        <v>277</v>
      </c>
      <c r="N262">
        <v>653</v>
      </c>
      <c r="O262">
        <v>2095</v>
      </c>
    </row>
    <row r="263" spans="1:15">
      <c r="A263">
        <v>2347167796</v>
      </c>
      <c r="B263" s="1">
        <v>42486</v>
      </c>
      <c r="C263">
        <v>5980</v>
      </c>
      <c r="D263">
        <v>3.9500000476837198</v>
      </c>
      <c r="E263">
        <v>3.9500000476837198</v>
      </c>
      <c r="F263">
        <v>0</v>
      </c>
      <c r="G263">
        <v>0</v>
      </c>
      <c r="H263">
        <v>0</v>
      </c>
      <c r="I263">
        <v>3.9500000476837198</v>
      </c>
      <c r="J263">
        <v>0</v>
      </c>
      <c r="K263">
        <v>0</v>
      </c>
      <c r="L263">
        <v>0</v>
      </c>
      <c r="M263">
        <v>227</v>
      </c>
      <c r="N263">
        <v>732</v>
      </c>
      <c r="O263">
        <v>1861</v>
      </c>
    </row>
    <row r="264" spans="1:15">
      <c r="A264">
        <v>2347167796</v>
      </c>
      <c r="B264" s="1">
        <v>42487</v>
      </c>
      <c r="C264">
        <v>11423</v>
      </c>
      <c r="D264">
        <v>7.5799999237060502</v>
      </c>
      <c r="E264">
        <v>7.5799999237060502</v>
      </c>
      <c r="F264">
        <v>0</v>
      </c>
      <c r="G264">
        <v>1.8600000143051101</v>
      </c>
      <c r="H264">
        <v>0.40000000596046398</v>
      </c>
      <c r="I264">
        <v>5.3200001716613796</v>
      </c>
      <c r="J264">
        <v>0</v>
      </c>
      <c r="K264">
        <v>26</v>
      </c>
      <c r="L264">
        <v>9</v>
      </c>
      <c r="M264">
        <v>295</v>
      </c>
      <c r="N264">
        <v>623</v>
      </c>
      <c r="O264">
        <v>2194</v>
      </c>
    </row>
    <row r="265" spans="1:15">
      <c r="A265">
        <v>2347167796</v>
      </c>
      <c r="B265" s="1">
        <v>42488</v>
      </c>
      <c r="C265">
        <v>5439</v>
      </c>
      <c r="D265">
        <v>3.5999999046325701</v>
      </c>
      <c r="E265">
        <v>3.5999999046325701</v>
      </c>
      <c r="F265">
        <v>0</v>
      </c>
      <c r="G265">
        <v>0</v>
      </c>
      <c r="H265">
        <v>0</v>
      </c>
      <c r="I265">
        <v>3.5999999046325701</v>
      </c>
      <c r="J265">
        <v>0</v>
      </c>
      <c r="K265">
        <v>0</v>
      </c>
      <c r="L265">
        <v>0</v>
      </c>
      <c r="M265">
        <v>229</v>
      </c>
      <c r="N265">
        <v>764</v>
      </c>
      <c r="O265">
        <v>1854</v>
      </c>
    </row>
    <row r="266" spans="1:15">
      <c r="A266">
        <v>2347167796</v>
      </c>
      <c r="B266" s="1">
        <v>42489</v>
      </c>
      <c r="C266">
        <v>42</v>
      </c>
      <c r="D266">
        <v>2.9999999329447701E-2</v>
      </c>
      <c r="E266">
        <v>2.9999999329447701E-2</v>
      </c>
      <c r="F266">
        <v>0</v>
      </c>
      <c r="G266">
        <v>0</v>
      </c>
      <c r="H266">
        <v>0</v>
      </c>
      <c r="I266">
        <v>2.9999999329447701E-2</v>
      </c>
      <c r="J266">
        <v>0</v>
      </c>
      <c r="K266">
        <v>0</v>
      </c>
      <c r="L266">
        <v>0</v>
      </c>
      <c r="M266">
        <v>4</v>
      </c>
      <c r="N266">
        <v>2</v>
      </c>
      <c r="O266">
        <v>403</v>
      </c>
    </row>
    <row r="267" spans="1:15">
      <c r="A267">
        <v>2873212765</v>
      </c>
      <c r="B267" s="1">
        <v>42472</v>
      </c>
      <c r="C267">
        <v>8796</v>
      </c>
      <c r="D267">
        <v>5.9099998474121103</v>
      </c>
      <c r="E267">
        <v>5.9099998474121103</v>
      </c>
      <c r="F267">
        <v>0</v>
      </c>
      <c r="G267">
        <v>0.109999999403954</v>
      </c>
      <c r="H267">
        <v>0.93000000715255704</v>
      </c>
      <c r="I267">
        <v>4.8800001144409197</v>
      </c>
      <c r="J267">
        <v>0</v>
      </c>
      <c r="K267">
        <v>2</v>
      </c>
      <c r="L267">
        <v>21</v>
      </c>
      <c r="M267">
        <v>356</v>
      </c>
      <c r="N267">
        <v>1061</v>
      </c>
      <c r="O267">
        <v>1982</v>
      </c>
    </row>
    <row r="268" spans="1:15">
      <c r="A268">
        <v>2873212765</v>
      </c>
      <c r="B268" s="1">
        <v>42473</v>
      </c>
      <c r="C268">
        <v>7618</v>
      </c>
      <c r="D268">
        <v>5.1199998855590803</v>
      </c>
      <c r="E268">
        <v>5.1199998855590803</v>
      </c>
      <c r="F268">
        <v>0</v>
      </c>
      <c r="G268">
        <v>0</v>
      </c>
      <c r="H268">
        <v>0.21999999880790699</v>
      </c>
      <c r="I268">
        <v>4.8800001144409197</v>
      </c>
      <c r="J268">
        <v>1.9999999552965199E-2</v>
      </c>
      <c r="K268">
        <v>0</v>
      </c>
      <c r="L268">
        <v>8</v>
      </c>
      <c r="M268">
        <v>404</v>
      </c>
      <c r="N268">
        <v>1028</v>
      </c>
      <c r="O268">
        <v>2004</v>
      </c>
    </row>
    <row r="269" spans="1:15">
      <c r="A269">
        <v>2873212765</v>
      </c>
      <c r="B269" s="1">
        <v>42474</v>
      </c>
      <c r="C269">
        <v>7910</v>
      </c>
      <c r="D269">
        <v>5.3200001716613796</v>
      </c>
      <c r="E269">
        <v>5.3200001716613796</v>
      </c>
      <c r="F269">
        <v>0</v>
      </c>
      <c r="G269">
        <v>0</v>
      </c>
      <c r="H269">
        <v>0</v>
      </c>
      <c r="I269">
        <v>5.3200001716613796</v>
      </c>
      <c r="J269">
        <v>0</v>
      </c>
      <c r="K269">
        <v>0</v>
      </c>
      <c r="L269">
        <v>0</v>
      </c>
      <c r="M269">
        <v>331</v>
      </c>
      <c r="N269">
        <v>1109</v>
      </c>
      <c r="O269">
        <v>1893</v>
      </c>
    </row>
    <row r="270" spans="1:15">
      <c r="A270">
        <v>2873212765</v>
      </c>
      <c r="B270" s="1">
        <v>42475</v>
      </c>
      <c r="C270">
        <v>8482</v>
      </c>
      <c r="D270">
        <v>5.6999998092651403</v>
      </c>
      <c r="E270">
        <v>5.6999998092651403</v>
      </c>
      <c r="F270">
        <v>0</v>
      </c>
      <c r="G270">
        <v>0</v>
      </c>
      <c r="H270">
        <v>0</v>
      </c>
      <c r="I270">
        <v>5.6900000572204599</v>
      </c>
      <c r="J270">
        <v>9.9999997764825804E-3</v>
      </c>
      <c r="K270">
        <v>0</v>
      </c>
      <c r="L270">
        <v>0</v>
      </c>
      <c r="M270">
        <v>448</v>
      </c>
      <c r="N270">
        <v>992</v>
      </c>
      <c r="O270">
        <v>2063</v>
      </c>
    </row>
    <row r="271" spans="1:15">
      <c r="A271">
        <v>2873212765</v>
      </c>
      <c r="B271" s="1">
        <v>42476</v>
      </c>
      <c r="C271">
        <v>9685</v>
      </c>
      <c r="D271">
        <v>6.6500000953674299</v>
      </c>
      <c r="E271">
        <v>6.6500000953674299</v>
      </c>
      <c r="F271">
        <v>0</v>
      </c>
      <c r="G271">
        <v>3.1099998950958301</v>
      </c>
      <c r="H271">
        <v>1.9999999552965199E-2</v>
      </c>
      <c r="I271">
        <v>3.5099999904632599</v>
      </c>
      <c r="J271">
        <v>9.9999997764825804E-3</v>
      </c>
      <c r="K271">
        <v>47</v>
      </c>
      <c r="L271">
        <v>1</v>
      </c>
      <c r="M271">
        <v>305</v>
      </c>
      <c r="N271">
        <v>1087</v>
      </c>
      <c r="O271">
        <v>2148</v>
      </c>
    </row>
    <row r="272" spans="1:15">
      <c r="A272">
        <v>2873212765</v>
      </c>
      <c r="B272" s="1">
        <v>42477</v>
      </c>
      <c r="C272">
        <v>2524</v>
      </c>
      <c r="D272">
        <v>1.70000004768372</v>
      </c>
      <c r="E272">
        <v>1.70000004768372</v>
      </c>
      <c r="F272">
        <v>0</v>
      </c>
      <c r="G272">
        <v>0</v>
      </c>
      <c r="H272">
        <v>0.34999999403953602</v>
      </c>
      <c r="I272">
        <v>1.3400000333786</v>
      </c>
      <c r="J272">
        <v>0</v>
      </c>
      <c r="K272">
        <v>0</v>
      </c>
      <c r="L272">
        <v>8</v>
      </c>
      <c r="M272">
        <v>160</v>
      </c>
      <c r="N272">
        <v>1272</v>
      </c>
      <c r="O272">
        <v>1529</v>
      </c>
    </row>
    <row r="273" spans="1:15">
      <c r="A273">
        <v>2873212765</v>
      </c>
      <c r="B273" s="1">
        <v>42478</v>
      </c>
      <c r="C273">
        <v>7762</v>
      </c>
      <c r="D273">
        <v>5.2399997711181596</v>
      </c>
      <c r="E273">
        <v>5.2399997711181596</v>
      </c>
      <c r="F273">
        <v>0</v>
      </c>
      <c r="G273">
        <v>7.0000000298023196E-2</v>
      </c>
      <c r="H273">
        <v>0.28000000119209301</v>
      </c>
      <c r="I273">
        <v>4.8899998664856001</v>
      </c>
      <c r="J273">
        <v>0</v>
      </c>
      <c r="K273">
        <v>1</v>
      </c>
      <c r="L273">
        <v>6</v>
      </c>
      <c r="M273">
        <v>311</v>
      </c>
      <c r="N273">
        <v>1122</v>
      </c>
      <c r="O273">
        <v>1890</v>
      </c>
    </row>
    <row r="274" spans="1:15">
      <c r="A274">
        <v>2873212765</v>
      </c>
      <c r="B274" s="1">
        <v>42479</v>
      </c>
      <c r="C274">
        <v>7948</v>
      </c>
      <c r="D274">
        <v>5.3699998855590803</v>
      </c>
      <c r="E274">
        <v>5.3699998855590803</v>
      </c>
      <c r="F274">
        <v>0</v>
      </c>
      <c r="G274">
        <v>0</v>
      </c>
      <c r="H274">
        <v>0</v>
      </c>
      <c r="I274">
        <v>5.3600001335143999</v>
      </c>
      <c r="J274">
        <v>0</v>
      </c>
      <c r="K274">
        <v>0</v>
      </c>
      <c r="L274">
        <v>0</v>
      </c>
      <c r="M274">
        <v>389</v>
      </c>
      <c r="N274">
        <v>1051</v>
      </c>
      <c r="O274">
        <v>1956</v>
      </c>
    </row>
    <row r="275" spans="1:15">
      <c r="A275">
        <v>2873212765</v>
      </c>
      <c r="B275" s="1">
        <v>42480</v>
      </c>
      <c r="C275">
        <v>9202</v>
      </c>
      <c r="D275">
        <v>6.3000001907348597</v>
      </c>
      <c r="E275">
        <v>6.3000001907348597</v>
      </c>
      <c r="F275">
        <v>0</v>
      </c>
      <c r="G275">
        <v>1.5099999904632599</v>
      </c>
      <c r="H275">
        <v>0.119999997317791</v>
      </c>
      <c r="I275">
        <v>4.6599998474121103</v>
      </c>
      <c r="J275">
        <v>9.9999997764825804E-3</v>
      </c>
      <c r="K275">
        <v>22</v>
      </c>
      <c r="L275">
        <v>5</v>
      </c>
      <c r="M275">
        <v>378</v>
      </c>
      <c r="N275">
        <v>1035</v>
      </c>
      <c r="O275">
        <v>2094</v>
      </c>
    </row>
    <row r="276" spans="1:15">
      <c r="A276">
        <v>2873212765</v>
      </c>
      <c r="B276" s="1">
        <v>42481</v>
      </c>
      <c r="C276">
        <v>8859</v>
      </c>
      <c r="D276">
        <v>5.9800000190734899</v>
      </c>
      <c r="E276">
        <v>5.9800000190734899</v>
      </c>
      <c r="F276">
        <v>0</v>
      </c>
      <c r="G276">
        <v>0.129999995231628</v>
      </c>
      <c r="H276">
        <v>0.37000000476837203</v>
      </c>
      <c r="I276">
        <v>5.4699997901916504</v>
      </c>
      <c r="J276">
        <v>9.9999997764825804E-3</v>
      </c>
      <c r="K276">
        <v>2</v>
      </c>
      <c r="L276">
        <v>10</v>
      </c>
      <c r="M276">
        <v>371</v>
      </c>
      <c r="N276">
        <v>1057</v>
      </c>
      <c r="O276">
        <v>1970</v>
      </c>
    </row>
    <row r="277" spans="1:15">
      <c r="A277">
        <v>2873212765</v>
      </c>
      <c r="B277" s="1">
        <v>42482</v>
      </c>
      <c r="C277">
        <v>7286</v>
      </c>
      <c r="D277">
        <v>4.9000000953674299</v>
      </c>
      <c r="E277">
        <v>4.9000000953674299</v>
      </c>
      <c r="F277">
        <v>0</v>
      </c>
      <c r="G277">
        <v>0.46000000834464999</v>
      </c>
      <c r="H277">
        <v>0</v>
      </c>
      <c r="I277">
        <v>4.4200000762939498</v>
      </c>
      <c r="J277">
        <v>1.9999999552965199E-2</v>
      </c>
      <c r="K277">
        <v>46</v>
      </c>
      <c r="L277">
        <v>0</v>
      </c>
      <c r="M277">
        <v>366</v>
      </c>
      <c r="N277">
        <v>1028</v>
      </c>
      <c r="O277">
        <v>2241</v>
      </c>
    </row>
    <row r="278" spans="1:15">
      <c r="A278">
        <v>2873212765</v>
      </c>
      <c r="B278" s="1">
        <v>42483</v>
      </c>
      <c r="C278">
        <v>9317</v>
      </c>
      <c r="D278">
        <v>6.3499999046325701</v>
      </c>
      <c r="E278">
        <v>6.3499999046325701</v>
      </c>
      <c r="F278">
        <v>0</v>
      </c>
      <c r="G278">
        <v>2.0899999141693102</v>
      </c>
      <c r="H278">
        <v>0.230000004172325</v>
      </c>
      <c r="I278">
        <v>4.0199999809265101</v>
      </c>
      <c r="J278">
        <v>9.9999997764825804E-3</v>
      </c>
      <c r="K278">
        <v>28</v>
      </c>
      <c r="L278">
        <v>5</v>
      </c>
      <c r="M278">
        <v>330</v>
      </c>
      <c r="N278">
        <v>1077</v>
      </c>
      <c r="O278">
        <v>2021</v>
      </c>
    </row>
    <row r="279" spans="1:15">
      <c r="A279">
        <v>2873212765</v>
      </c>
      <c r="B279" s="1">
        <v>42484</v>
      </c>
      <c r="C279">
        <v>6873</v>
      </c>
      <c r="D279">
        <v>4.6799998283386204</v>
      </c>
      <c r="E279">
        <v>4.6799998283386204</v>
      </c>
      <c r="F279">
        <v>0</v>
      </c>
      <c r="G279">
        <v>3</v>
      </c>
      <c r="H279">
        <v>5.9999998658895499E-2</v>
      </c>
      <c r="I279">
        <v>1.62000000476837</v>
      </c>
      <c r="J279">
        <v>0</v>
      </c>
      <c r="K279">
        <v>46</v>
      </c>
      <c r="L279">
        <v>1</v>
      </c>
      <c r="M279">
        <v>190</v>
      </c>
      <c r="N279">
        <v>1203</v>
      </c>
      <c r="O279">
        <v>1898</v>
      </c>
    </row>
    <row r="280" spans="1:15">
      <c r="A280">
        <v>2873212765</v>
      </c>
      <c r="B280" s="1">
        <v>42485</v>
      </c>
      <c r="C280">
        <v>7373</v>
      </c>
      <c r="D280">
        <v>4.9499998092651403</v>
      </c>
      <c r="E280">
        <v>4.9499998092651403</v>
      </c>
      <c r="F280">
        <v>0</v>
      </c>
      <c r="G280">
        <v>0</v>
      </c>
      <c r="H280">
        <v>0</v>
      </c>
      <c r="I280">
        <v>4.9499998092651403</v>
      </c>
      <c r="J280">
        <v>0</v>
      </c>
      <c r="K280">
        <v>0</v>
      </c>
      <c r="L280">
        <v>0</v>
      </c>
      <c r="M280">
        <v>359</v>
      </c>
      <c r="N280">
        <v>1081</v>
      </c>
      <c r="O280">
        <v>1907</v>
      </c>
    </row>
    <row r="281" spans="1:15">
      <c r="A281">
        <v>2873212765</v>
      </c>
      <c r="B281" s="1">
        <v>42486</v>
      </c>
      <c r="C281">
        <v>8242</v>
      </c>
      <c r="D281">
        <v>5.53999996185303</v>
      </c>
      <c r="E281">
        <v>5.53999996185303</v>
      </c>
      <c r="F281">
        <v>0</v>
      </c>
      <c r="G281">
        <v>0.119999997317791</v>
      </c>
      <c r="H281">
        <v>0.18000000715255701</v>
      </c>
      <c r="I281">
        <v>5.2399997711181596</v>
      </c>
      <c r="J281">
        <v>0</v>
      </c>
      <c r="K281">
        <v>2</v>
      </c>
      <c r="L281">
        <v>5</v>
      </c>
      <c r="M281">
        <v>309</v>
      </c>
      <c r="N281">
        <v>1124</v>
      </c>
      <c r="O281">
        <v>1882</v>
      </c>
    </row>
    <row r="282" spans="1:15">
      <c r="A282">
        <v>2873212765</v>
      </c>
      <c r="B282" s="1">
        <v>42487</v>
      </c>
      <c r="C282">
        <v>3516</v>
      </c>
      <c r="D282">
        <v>2.3599998950958301</v>
      </c>
      <c r="E282">
        <v>2.3599998950958301</v>
      </c>
      <c r="F282">
        <v>0</v>
      </c>
      <c r="G282">
        <v>0</v>
      </c>
      <c r="H282">
        <v>0</v>
      </c>
      <c r="I282">
        <v>2.3599998950958301</v>
      </c>
      <c r="J282">
        <v>0</v>
      </c>
      <c r="K282">
        <v>46</v>
      </c>
      <c r="L282">
        <v>0</v>
      </c>
      <c r="M282">
        <v>197</v>
      </c>
      <c r="N282">
        <v>1197</v>
      </c>
      <c r="O282">
        <v>1966</v>
      </c>
    </row>
    <row r="283" spans="1:15">
      <c r="A283">
        <v>2873212765</v>
      </c>
      <c r="B283" s="1">
        <v>42488</v>
      </c>
      <c r="C283">
        <v>7913</v>
      </c>
      <c r="D283">
        <v>5.4099998474121103</v>
      </c>
      <c r="E283">
        <v>5.4099998474121103</v>
      </c>
      <c r="F283">
        <v>0</v>
      </c>
      <c r="G283">
        <v>2.1600000858306898</v>
      </c>
      <c r="H283">
        <v>0.34000000357627902</v>
      </c>
      <c r="I283">
        <v>2.9100000858306898</v>
      </c>
      <c r="J283">
        <v>0</v>
      </c>
      <c r="K283">
        <v>28</v>
      </c>
      <c r="L283">
        <v>7</v>
      </c>
      <c r="M283">
        <v>213</v>
      </c>
      <c r="N283">
        <v>1192</v>
      </c>
      <c r="O283">
        <v>1835</v>
      </c>
    </row>
    <row r="284" spans="1:15">
      <c r="A284">
        <v>2873212765</v>
      </c>
      <c r="B284" s="1">
        <v>42489</v>
      </c>
      <c r="C284">
        <v>7365</v>
      </c>
      <c r="D284">
        <v>4.9499998092651403</v>
      </c>
      <c r="E284">
        <v>4.9499998092651403</v>
      </c>
      <c r="F284">
        <v>0</v>
      </c>
      <c r="G284">
        <v>1.3600000143051101</v>
      </c>
      <c r="H284">
        <v>1.4099999666214</v>
      </c>
      <c r="I284">
        <v>2.1800000667571999</v>
      </c>
      <c r="J284">
        <v>0</v>
      </c>
      <c r="K284">
        <v>20</v>
      </c>
      <c r="L284">
        <v>23</v>
      </c>
      <c r="M284">
        <v>206</v>
      </c>
      <c r="N284">
        <v>1191</v>
      </c>
      <c r="O284">
        <v>1780</v>
      </c>
    </row>
    <row r="285" spans="1:15">
      <c r="A285">
        <v>2873212765</v>
      </c>
      <c r="B285" s="1">
        <v>42490</v>
      </c>
      <c r="C285">
        <v>8452</v>
      </c>
      <c r="D285">
        <v>5.6799998283386204</v>
      </c>
      <c r="E285">
        <v>5.6799998283386204</v>
      </c>
      <c r="F285">
        <v>0</v>
      </c>
      <c r="G285">
        <v>0.33000001311302202</v>
      </c>
      <c r="H285">
        <v>1.08000004291534</v>
      </c>
      <c r="I285">
        <v>4.2600002288818404</v>
      </c>
      <c r="J285">
        <v>9.9999997764825804E-3</v>
      </c>
      <c r="K285">
        <v>5</v>
      </c>
      <c r="L285">
        <v>20</v>
      </c>
      <c r="M285">
        <v>248</v>
      </c>
      <c r="N285">
        <v>1167</v>
      </c>
      <c r="O285">
        <v>1830</v>
      </c>
    </row>
    <row r="286" spans="1:15">
      <c r="A286">
        <v>2873212765</v>
      </c>
      <c r="B286" s="1">
        <v>42491</v>
      </c>
      <c r="C286">
        <v>7399</v>
      </c>
      <c r="D286">
        <v>4.9699997901916504</v>
      </c>
      <c r="E286">
        <v>4.9699997901916504</v>
      </c>
      <c r="F286">
        <v>0</v>
      </c>
      <c r="G286">
        <v>0.490000009536743</v>
      </c>
      <c r="H286">
        <v>1.03999996185303</v>
      </c>
      <c r="I286">
        <v>3.4400000572204599</v>
      </c>
      <c r="J286">
        <v>0</v>
      </c>
      <c r="K286">
        <v>7</v>
      </c>
      <c r="L286">
        <v>18</v>
      </c>
      <c r="M286">
        <v>196</v>
      </c>
      <c r="N286">
        <v>1219</v>
      </c>
      <c r="O286">
        <v>1739</v>
      </c>
    </row>
    <row r="287" spans="1:15">
      <c r="A287">
        <v>2873212765</v>
      </c>
      <c r="B287" s="1">
        <v>42492</v>
      </c>
      <c r="C287">
        <v>7525</v>
      </c>
      <c r="D287">
        <v>5.0599999427795401</v>
      </c>
      <c r="E287">
        <v>5.0599999427795401</v>
      </c>
      <c r="F287">
        <v>0</v>
      </c>
      <c r="G287">
        <v>0</v>
      </c>
      <c r="H287">
        <v>0.20999999344348899</v>
      </c>
      <c r="I287">
        <v>4.8299999237060502</v>
      </c>
      <c r="J287">
        <v>1.9999999552965199E-2</v>
      </c>
      <c r="K287">
        <v>0</v>
      </c>
      <c r="L287">
        <v>7</v>
      </c>
      <c r="M287">
        <v>334</v>
      </c>
      <c r="N287">
        <v>1099</v>
      </c>
      <c r="O287">
        <v>1878</v>
      </c>
    </row>
    <row r="288" spans="1:15">
      <c r="A288">
        <v>2873212765</v>
      </c>
      <c r="B288" s="1">
        <v>42493</v>
      </c>
      <c r="C288">
        <v>7412</v>
      </c>
      <c r="D288">
        <v>4.9800000190734899</v>
      </c>
      <c r="E288">
        <v>4.9800000190734899</v>
      </c>
      <c r="F288">
        <v>0</v>
      </c>
      <c r="G288">
        <v>5.9999998658895499E-2</v>
      </c>
      <c r="H288">
        <v>0.25</v>
      </c>
      <c r="I288">
        <v>4.6599998474121103</v>
      </c>
      <c r="J288">
        <v>9.9999997764825804E-3</v>
      </c>
      <c r="K288">
        <v>1</v>
      </c>
      <c r="L288">
        <v>6</v>
      </c>
      <c r="M288">
        <v>363</v>
      </c>
      <c r="N288">
        <v>1070</v>
      </c>
      <c r="O288">
        <v>1906</v>
      </c>
    </row>
    <row r="289" spans="1:15">
      <c r="A289">
        <v>2873212765</v>
      </c>
      <c r="B289" s="1">
        <v>42494</v>
      </c>
      <c r="C289">
        <v>8278</v>
      </c>
      <c r="D289">
        <v>5.5599999427795401</v>
      </c>
      <c r="E289">
        <v>5.5599999427795401</v>
      </c>
      <c r="F289">
        <v>0</v>
      </c>
      <c r="G289">
        <v>0</v>
      </c>
      <c r="H289">
        <v>0</v>
      </c>
      <c r="I289">
        <v>5.5599999427795401</v>
      </c>
      <c r="J289">
        <v>0</v>
      </c>
      <c r="K289">
        <v>0</v>
      </c>
      <c r="L289">
        <v>0</v>
      </c>
      <c r="M289">
        <v>420</v>
      </c>
      <c r="N289">
        <v>1020</v>
      </c>
      <c r="O289">
        <v>2015</v>
      </c>
    </row>
    <row r="290" spans="1:15">
      <c r="A290">
        <v>2873212765</v>
      </c>
      <c r="B290" s="1">
        <v>42495</v>
      </c>
      <c r="C290">
        <v>8314</v>
      </c>
      <c r="D290">
        <v>5.6100001335143999</v>
      </c>
      <c r="E290">
        <v>5.6100001335143999</v>
      </c>
      <c r="F290">
        <v>0</v>
      </c>
      <c r="G290">
        <v>0.77999997138977095</v>
      </c>
      <c r="H290">
        <v>0.80000001192092896</v>
      </c>
      <c r="I290">
        <v>4.0300002098083496</v>
      </c>
      <c r="J290">
        <v>0</v>
      </c>
      <c r="K290">
        <v>13</v>
      </c>
      <c r="L290">
        <v>23</v>
      </c>
      <c r="M290">
        <v>311</v>
      </c>
      <c r="N290">
        <v>1093</v>
      </c>
      <c r="O290">
        <v>1971</v>
      </c>
    </row>
    <row r="291" spans="1:15">
      <c r="A291">
        <v>2873212765</v>
      </c>
      <c r="B291" s="1">
        <v>42496</v>
      </c>
      <c r="C291">
        <v>7063</v>
      </c>
      <c r="D291">
        <v>4.75</v>
      </c>
      <c r="E291">
        <v>4.75</v>
      </c>
      <c r="F291">
        <v>0</v>
      </c>
      <c r="G291">
        <v>0</v>
      </c>
      <c r="H291">
        <v>0.119999997317791</v>
      </c>
      <c r="I291">
        <v>4.6100001335143999</v>
      </c>
      <c r="J291">
        <v>9.9999997764825804E-3</v>
      </c>
      <c r="K291">
        <v>0</v>
      </c>
      <c r="L291">
        <v>5</v>
      </c>
      <c r="M291">
        <v>370</v>
      </c>
      <c r="N291">
        <v>1065</v>
      </c>
      <c r="O291">
        <v>1910</v>
      </c>
    </row>
    <row r="292" spans="1:15">
      <c r="A292">
        <v>2873212765</v>
      </c>
      <c r="B292" s="1">
        <v>42497</v>
      </c>
      <c r="C292">
        <v>4940</v>
      </c>
      <c r="D292">
        <v>3.3800001144409202</v>
      </c>
      <c r="E292">
        <v>3.3800001144409202</v>
      </c>
      <c r="F292">
        <v>0</v>
      </c>
      <c r="G292">
        <v>2.2799999713897701</v>
      </c>
      <c r="H292">
        <v>0.55000001192092896</v>
      </c>
      <c r="I292">
        <v>0.55000001192092896</v>
      </c>
      <c r="J292">
        <v>0</v>
      </c>
      <c r="K292">
        <v>75</v>
      </c>
      <c r="L292">
        <v>11</v>
      </c>
      <c r="M292">
        <v>52</v>
      </c>
      <c r="N292">
        <v>1302</v>
      </c>
      <c r="O292">
        <v>1897</v>
      </c>
    </row>
    <row r="293" spans="1:15">
      <c r="A293">
        <v>2873212765</v>
      </c>
      <c r="B293" s="1">
        <v>42498</v>
      </c>
      <c r="C293">
        <v>8168</v>
      </c>
      <c r="D293">
        <v>5.53999996185303</v>
      </c>
      <c r="E293">
        <v>5.53999996185303</v>
      </c>
      <c r="F293">
        <v>0</v>
      </c>
      <c r="G293">
        <v>2.9000000953674299</v>
      </c>
      <c r="H293">
        <v>0</v>
      </c>
      <c r="I293">
        <v>2.6400001049041699</v>
      </c>
      <c r="J293">
        <v>0</v>
      </c>
      <c r="K293">
        <v>46</v>
      </c>
      <c r="L293">
        <v>0</v>
      </c>
      <c r="M293">
        <v>326</v>
      </c>
      <c r="N293">
        <v>1068</v>
      </c>
      <c r="O293">
        <v>2096</v>
      </c>
    </row>
    <row r="294" spans="1:15">
      <c r="A294">
        <v>2873212765</v>
      </c>
      <c r="B294" s="1">
        <v>42499</v>
      </c>
      <c r="C294">
        <v>7726</v>
      </c>
      <c r="D294">
        <v>5.1900000572204599</v>
      </c>
      <c r="E294">
        <v>5.1900000572204599</v>
      </c>
      <c r="F294">
        <v>0</v>
      </c>
      <c r="G294">
        <v>0</v>
      </c>
      <c r="H294">
        <v>0</v>
      </c>
      <c r="I294">
        <v>5.1900000572204599</v>
      </c>
      <c r="J294">
        <v>0</v>
      </c>
      <c r="K294">
        <v>0</v>
      </c>
      <c r="L294">
        <v>0</v>
      </c>
      <c r="M294">
        <v>345</v>
      </c>
      <c r="N294">
        <v>1095</v>
      </c>
      <c r="O294">
        <v>1906</v>
      </c>
    </row>
    <row r="295" spans="1:15">
      <c r="A295">
        <v>2873212765</v>
      </c>
      <c r="B295" s="1">
        <v>42500</v>
      </c>
      <c r="C295">
        <v>8275</v>
      </c>
      <c r="D295">
        <v>5.5599999427795401</v>
      </c>
      <c r="E295">
        <v>5.5599999427795401</v>
      </c>
      <c r="F295">
        <v>0</v>
      </c>
      <c r="G295">
        <v>0</v>
      </c>
      <c r="H295">
        <v>0</v>
      </c>
      <c r="I295">
        <v>5.5500001907348597</v>
      </c>
      <c r="J295">
        <v>9.9999997764825804E-3</v>
      </c>
      <c r="K295">
        <v>0</v>
      </c>
      <c r="L295">
        <v>0</v>
      </c>
      <c r="M295">
        <v>373</v>
      </c>
      <c r="N295">
        <v>1067</v>
      </c>
      <c r="O295">
        <v>1962</v>
      </c>
    </row>
    <row r="296" spans="1:15">
      <c r="A296">
        <v>2873212765</v>
      </c>
      <c r="B296" s="1">
        <v>42501</v>
      </c>
      <c r="C296">
        <v>6440</v>
      </c>
      <c r="D296">
        <v>4.3299999237060502</v>
      </c>
      <c r="E296">
        <v>4.3299999237060502</v>
      </c>
      <c r="F296">
        <v>0</v>
      </c>
      <c r="G296">
        <v>0</v>
      </c>
      <c r="H296">
        <v>0</v>
      </c>
      <c r="I296">
        <v>4.3200001716613796</v>
      </c>
      <c r="J296">
        <v>9.9999997764825804E-3</v>
      </c>
      <c r="K296">
        <v>0</v>
      </c>
      <c r="L296">
        <v>0</v>
      </c>
      <c r="M296">
        <v>319</v>
      </c>
      <c r="N296">
        <v>1121</v>
      </c>
      <c r="O296">
        <v>1826</v>
      </c>
    </row>
    <row r="297" spans="1:15">
      <c r="A297">
        <v>2873212765</v>
      </c>
      <c r="B297" s="1">
        <v>42502</v>
      </c>
      <c r="C297">
        <v>7566</v>
      </c>
      <c r="D297">
        <v>5.1100001335143999</v>
      </c>
      <c r="E297">
        <v>5.1100001335143999</v>
      </c>
      <c r="F297">
        <v>0</v>
      </c>
      <c r="G297">
        <v>0</v>
      </c>
      <c r="H297">
        <v>0</v>
      </c>
      <c r="I297">
        <v>5.1100001335143999</v>
      </c>
      <c r="J297">
        <v>0</v>
      </c>
      <c r="K297">
        <v>0</v>
      </c>
      <c r="L297">
        <v>0</v>
      </c>
      <c r="M297">
        <v>268</v>
      </c>
      <c r="N297">
        <v>720</v>
      </c>
      <c r="O297">
        <v>1431</v>
      </c>
    </row>
    <row r="298" spans="1:15">
      <c r="A298">
        <v>3372868164</v>
      </c>
      <c r="B298" s="1">
        <v>42472</v>
      </c>
      <c r="C298">
        <v>4747</v>
      </c>
      <c r="D298">
        <v>3.2400000095367401</v>
      </c>
      <c r="E298">
        <v>3.2400000095367401</v>
      </c>
      <c r="F298">
        <v>0</v>
      </c>
      <c r="G298">
        <v>0</v>
      </c>
      <c r="H298">
        <v>0</v>
      </c>
      <c r="I298">
        <v>3.2300000190734899</v>
      </c>
      <c r="J298">
        <v>9.9999997764825804E-3</v>
      </c>
      <c r="K298">
        <v>0</v>
      </c>
      <c r="L298">
        <v>0</v>
      </c>
      <c r="M298">
        <v>280</v>
      </c>
      <c r="N298">
        <v>1160</v>
      </c>
      <c r="O298">
        <v>1788</v>
      </c>
    </row>
    <row r="299" spans="1:15">
      <c r="A299">
        <v>3372868164</v>
      </c>
      <c r="B299" s="1">
        <v>42473</v>
      </c>
      <c r="C299">
        <v>9715</v>
      </c>
      <c r="D299">
        <v>6.6300001144409197</v>
      </c>
      <c r="E299">
        <v>6.6300001144409197</v>
      </c>
      <c r="F299">
        <v>0</v>
      </c>
      <c r="G299">
        <v>0.99000000953674305</v>
      </c>
      <c r="H299">
        <v>0.34000000357627902</v>
      </c>
      <c r="I299">
        <v>5.2699999809265101</v>
      </c>
      <c r="J299">
        <v>1.9999999552965199E-2</v>
      </c>
      <c r="K299">
        <v>16</v>
      </c>
      <c r="L299">
        <v>8</v>
      </c>
      <c r="M299">
        <v>371</v>
      </c>
      <c r="N299">
        <v>1045</v>
      </c>
      <c r="O299">
        <v>2093</v>
      </c>
    </row>
    <row r="300" spans="1:15">
      <c r="A300">
        <v>3372868164</v>
      </c>
      <c r="B300" s="1">
        <v>42474</v>
      </c>
      <c r="C300">
        <v>8844</v>
      </c>
      <c r="D300">
        <v>6.0300002098083496</v>
      </c>
      <c r="E300">
        <v>6.0300002098083496</v>
      </c>
      <c r="F300">
        <v>0</v>
      </c>
      <c r="G300">
        <v>0.34000000357627902</v>
      </c>
      <c r="H300">
        <v>1.0299999713897701</v>
      </c>
      <c r="I300">
        <v>4.6500000953674299</v>
      </c>
      <c r="J300">
        <v>9.9999997764825804E-3</v>
      </c>
      <c r="K300">
        <v>6</v>
      </c>
      <c r="L300">
        <v>25</v>
      </c>
      <c r="M300">
        <v>370</v>
      </c>
      <c r="N300">
        <v>1039</v>
      </c>
      <c r="O300">
        <v>2065</v>
      </c>
    </row>
    <row r="301" spans="1:15">
      <c r="A301">
        <v>3372868164</v>
      </c>
      <c r="B301" s="1">
        <v>42475</v>
      </c>
      <c r="C301">
        <v>7451</v>
      </c>
      <c r="D301">
        <v>5.0799999237060502</v>
      </c>
      <c r="E301">
        <v>5.0799999237060502</v>
      </c>
      <c r="F301">
        <v>0</v>
      </c>
      <c r="G301">
        <v>0</v>
      </c>
      <c r="H301">
        <v>0</v>
      </c>
      <c r="I301">
        <v>5.0599999427795401</v>
      </c>
      <c r="J301">
        <v>1.9999999552965199E-2</v>
      </c>
      <c r="K301">
        <v>0</v>
      </c>
      <c r="L301">
        <v>0</v>
      </c>
      <c r="M301">
        <v>335</v>
      </c>
      <c r="N301">
        <v>1105</v>
      </c>
      <c r="O301">
        <v>1908</v>
      </c>
    </row>
    <row r="302" spans="1:15">
      <c r="A302">
        <v>3372868164</v>
      </c>
      <c r="B302" s="1">
        <v>42476</v>
      </c>
      <c r="C302">
        <v>6905</v>
      </c>
      <c r="D302">
        <v>4.7300000190734899</v>
      </c>
      <c r="E302">
        <v>4.7300000190734899</v>
      </c>
      <c r="F302">
        <v>0</v>
      </c>
      <c r="G302">
        <v>0</v>
      </c>
      <c r="H302">
        <v>0</v>
      </c>
      <c r="I302">
        <v>4.6999998092651403</v>
      </c>
      <c r="J302">
        <v>2.9999999329447701E-2</v>
      </c>
      <c r="K302">
        <v>0</v>
      </c>
      <c r="L302">
        <v>0</v>
      </c>
      <c r="M302">
        <v>356</v>
      </c>
      <c r="N302">
        <v>1084</v>
      </c>
      <c r="O302">
        <v>1908</v>
      </c>
    </row>
    <row r="303" spans="1:15">
      <c r="A303">
        <v>3372868164</v>
      </c>
      <c r="B303" s="1">
        <v>42477</v>
      </c>
      <c r="C303">
        <v>8199</v>
      </c>
      <c r="D303">
        <v>5.8800001144409197</v>
      </c>
      <c r="E303">
        <v>5.8800001144409197</v>
      </c>
      <c r="F303">
        <v>0</v>
      </c>
      <c r="G303">
        <v>1.4099999666214</v>
      </c>
      <c r="H303">
        <v>0.10000000149011599</v>
      </c>
      <c r="I303">
        <v>4.3600001335143999</v>
      </c>
      <c r="J303">
        <v>9.9999997764825804E-3</v>
      </c>
      <c r="K303">
        <v>11</v>
      </c>
      <c r="L303">
        <v>2</v>
      </c>
      <c r="M303">
        <v>322</v>
      </c>
      <c r="N303">
        <v>1105</v>
      </c>
      <c r="O303">
        <v>1964</v>
      </c>
    </row>
    <row r="304" spans="1:15">
      <c r="A304">
        <v>3372868164</v>
      </c>
      <c r="B304" s="1">
        <v>42478</v>
      </c>
      <c r="C304">
        <v>6798</v>
      </c>
      <c r="D304">
        <v>4.6399998664856001</v>
      </c>
      <c r="E304">
        <v>4.6399998664856001</v>
      </c>
      <c r="F304">
        <v>0</v>
      </c>
      <c r="G304">
        <v>1.08000004291534</v>
      </c>
      <c r="H304">
        <v>0.20000000298023199</v>
      </c>
      <c r="I304">
        <v>3.3499999046325701</v>
      </c>
      <c r="J304">
        <v>0</v>
      </c>
      <c r="K304">
        <v>20</v>
      </c>
      <c r="L304">
        <v>7</v>
      </c>
      <c r="M304">
        <v>343</v>
      </c>
      <c r="N304">
        <v>1070</v>
      </c>
      <c r="O304">
        <v>2014</v>
      </c>
    </row>
    <row r="305" spans="1:15">
      <c r="A305">
        <v>3372868164</v>
      </c>
      <c r="B305" s="1">
        <v>42479</v>
      </c>
      <c r="C305">
        <v>7711</v>
      </c>
      <c r="D305">
        <v>5.2600002288818404</v>
      </c>
      <c r="E305">
        <v>5.2600002288818404</v>
      </c>
      <c r="F305">
        <v>0</v>
      </c>
      <c r="G305">
        <v>0</v>
      </c>
      <c r="H305">
        <v>0</v>
      </c>
      <c r="I305">
        <v>5.2399997711181596</v>
      </c>
      <c r="J305">
        <v>1.9999999552965199E-2</v>
      </c>
      <c r="K305">
        <v>0</v>
      </c>
      <c r="L305">
        <v>0</v>
      </c>
      <c r="M305">
        <v>376</v>
      </c>
      <c r="N305">
        <v>1064</v>
      </c>
      <c r="O305">
        <v>1985</v>
      </c>
    </row>
    <row r="306" spans="1:15">
      <c r="A306">
        <v>3372868164</v>
      </c>
      <c r="B306" s="1">
        <v>42480</v>
      </c>
      <c r="C306">
        <v>4880</v>
      </c>
      <c r="D306">
        <v>3.3299999237060498</v>
      </c>
      <c r="E306">
        <v>3.3299999237060498</v>
      </c>
      <c r="F306">
        <v>0</v>
      </c>
      <c r="G306">
        <v>0.83999997377395597</v>
      </c>
      <c r="H306">
        <v>9.00000035762787E-2</v>
      </c>
      <c r="I306">
        <v>2.3800001144409202</v>
      </c>
      <c r="J306">
        <v>1.9999999552965199E-2</v>
      </c>
      <c r="K306">
        <v>15</v>
      </c>
      <c r="L306">
        <v>3</v>
      </c>
      <c r="M306">
        <v>274</v>
      </c>
      <c r="N306">
        <v>1148</v>
      </c>
      <c r="O306">
        <v>1867</v>
      </c>
    </row>
    <row r="307" spans="1:15">
      <c r="A307">
        <v>3372868164</v>
      </c>
      <c r="B307" s="1">
        <v>42481</v>
      </c>
      <c r="C307">
        <v>8857</v>
      </c>
      <c r="D307">
        <v>6.0700001716613796</v>
      </c>
      <c r="E307">
        <v>6.0700001716613796</v>
      </c>
      <c r="F307">
        <v>0</v>
      </c>
      <c r="G307">
        <v>1.1499999761581401</v>
      </c>
      <c r="H307">
        <v>0.259999990463257</v>
      </c>
      <c r="I307">
        <v>4.6399998664856001</v>
      </c>
      <c r="J307">
        <v>9.9999997764825804E-3</v>
      </c>
      <c r="K307">
        <v>18</v>
      </c>
      <c r="L307">
        <v>9</v>
      </c>
      <c r="M307">
        <v>376</v>
      </c>
      <c r="N307">
        <v>1037</v>
      </c>
      <c r="O307">
        <v>2124</v>
      </c>
    </row>
    <row r="308" spans="1:15">
      <c r="A308">
        <v>3372868164</v>
      </c>
      <c r="B308" s="1">
        <v>42482</v>
      </c>
      <c r="C308">
        <v>3843</v>
      </c>
      <c r="D308">
        <v>2.6199998855590798</v>
      </c>
      <c r="E308">
        <v>2.6199998855590798</v>
      </c>
      <c r="F308">
        <v>0</v>
      </c>
      <c r="G308">
        <v>0</v>
      </c>
      <c r="H308">
        <v>0</v>
      </c>
      <c r="I308">
        <v>2.6099998950958301</v>
      </c>
      <c r="J308">
        <v>9.9999997764825804E-3</v>
      </c>
      <c r="K308">
        <v>0</v>
      </c>
      <c r="L308">
        <v>0</v>
      </c>
      <c r="M308">
        <v>206</v>
      </c>
      <c r="N308">
        <v>1234</v>
      </c>
      <c r="O308">
        <v>1669</v>
      </c>
    </row>
    <row r="309" spans="1:15">
      <c r="A309">
        <v>3372868164</v>
      </c>
      <c r="B309" s="1">
        <v>42483</v>
      </c>
      <c r="C309">
        <v>7396</v>
      </c>
      <c r="D309">
        <v>5.0700001716613796</v>
      </c>
      <c r="E309">
        <v>5.0700001716613796</v>
      </c>
      <c r="F309">
        <v>0</v>
      </c>
      <c r="G309">
        <v>1.3999999761581401</v>
      </c>
      <c r="H309">
        <v>7.9999998211860698E-2</v>
      </c>
      <c r="I309">
        <v>3.5799999237060498</v>
      </c>
      <c r="J309">
        <v>0</v>
      </c>
      <c r="K309">
        <v>20</v>
      </c>
      <c r="L309">
        <v>2</v>
      </c>
      <c r="M309">
        <v>303</v>
      </c>
      <c r="N309">
        <v>1115</v>
      </c>
      <c r="O309">
        <v>1995</v>
      </c>
    </row>
    <row r="310" spans="1:15">
      <c r="A310">
        <v>3372868164</v>
      </c>
      <c r="B310" s="1">
        <v>42484</v>
      </c>
      <c r="C310">
        <v>6731</v>
      </c>
      <c r="D310">
        <v>4.5900001525878897</v>
      </c>
      <c r="E310">
        <v>4.5900001525878897</v>
      </c>
      <c r="F310">
        <v>0</v>
      </c>
      <c r="G310">
        <v>0.88999998569488503</v>
      </c>
      <c r="H310">
        <v>0.18999999761581399</v>
      </c>
      <c r="I310">
        <v>3.4900000095367401</v>
      </c>
      <c r="J310">
        <v>1.9999999552965199E-2</v>
      </c>
      <c r="K310">
        <v>14</v>
      </c>
      <c r="L310">
        <v>7</v>
      </c>
      <c r="M310">
        <v>292</v>
      </c>
      <c r="N310">
        <v>1127</v>
      </c>
      <c r="O310">
        <v>1921</v>
      </c>
    </row>
    <row r="311" spans="1:15">
      <c r="A311">
        <v>3372868164</v>
      </c>
      <c r="B311" s="1">
        <v>42485</v>
      </c>
      <c r="C311">
        <v>5995</v>
      </c>
      <c r="D311">
        <v>4.0900001525878897</v>
      </c>
      <c r="E311">
        <v>4.0900001525878897</v>
      </c>
      <c r="F311">
        <v>0</v>
      </c>
      <c r="G311">
        <v>0</v>
      </c>
      <c r="H311">
        <v>0</v>
      </c>
      <c r="I311">
        <v>4.0900001525878897</v>
      </c>
      <c r="J311">
        <v>0</v>
      </c>
      <c r="K311">
        <v>0</v>
      </c>
      <c r="L311">
        <v>0</v>
      </c>
      <c r="M311">
        <v>416</v>
      </c>
      <c r="N311">
        <v>1024</v>
      </c>
      <c r="O311">
        <v>2010</v>
      </c>
    </row>
    <row r="312" spans="1:15">
      <c r="A312">
        <v>3372868164</v>
      </c>
      <c r="B312" s="1">
        <v>42486</v>
      </c>
      <c r="C312">
        <v>8283</v>
      </c>
      <c r="D312">
        <v>5.78999996185303</v>
      </c>
      <c r="E312">
        <v>5.78999996185303</v>
      </c>
      <c r="F312">
        <v>0</v>
      </c>
      <c r="G312">
        <v>1.8500000238418599</v>
      </c>
      <c r="H312">
        <v>5.0000000745058101E-2</v>
      </c>
      <c r="I312">
        <v>3.8699998855590798</v>
      </c>
      <c r="J312">
        <v>9.9999997764825804E-3</v>
      </c>
      <c r="K312">
        <v>22</v>
      </c>
      <c r="L312">
        <v>2</v>
      </c>
      <c r="M312">
        <v>333</v>
      </c>
      <c r="N312">
        <v>1083</v>
      </c>
      <c r="O312">
        <v>2057</v>
      </c>
    </row>
    <row r="313" spans="1:15">
      <c r="A313">
        <v>3372868164</v>
      </c>
      <c r="B313" s="1">
        <v>42487</v>
      </c>
      <c r="C313">
        <v>7904</v>
      </c>
      <c r="D313">
        <v>5.4200000762939498</v>
      </c>
      <c r="E313">
        <v>5.4200000762939498</v>
      </c>
      <c r="F313">
        <v>0</v>
      </c>
      <c r="G313">
        <v>1.58000004291534</v>
      </c>
      <c r="H313">
        <v>0.62999999523162797</v>
      </c>
      <c r="I313">
        <v>3.1900000572204599</v>
      </c>
      <c r="J313">
        <v>9.9999997764825804E-3</v>
      </c>
      <c r="K313">
        <v>24</v>
      </c>
      <c r="L313">
        <v>13</v>
      </c>
      <c r="M313">
        <v>346</v>
      </c>
      <c r="N313">
        <v>1057</v>
      </c>
      <c r="O313">
        <v>2095</v>
      </c>
    </row>
    <row r="314" spans="1:15">
      <c r="A314">
        <v>3372868164</v>
      </c>
      <c r="B314" s="1">
        <v>42488</v>
      </c>
      <c r="C314">
        <v>5512</v>
      </c>
      <c r="D314">
        <v>3.7599999904632599</v>
      </c>
      <c r="E314">
        <v>3.7599999904632599</v>
      </c>
      <c r="F314">
        <v>0</v>
      </c>
      <c r="G314">
        <v>0</v>
      </c>
      <c r="H314">
        <v>0</v>
      </c>
      <c r="I314">
        <v>3.7599999904632599</v>
      </c>
      <c r="J314">
        <v>0</v>
      </c>
      <c r="K314">
        <v>0</v>
      </c>
      <c r="L314">
        <v>0</v>
      </c>
      <c r="M314">
        <v>385</v>
      </c>
      <c r="N314">
        <v>1055</v>
      </c>
      <c r="O314">
        <v>1972</v>
      </c>
    </row>
    <row r="315" spans="1:15">
      <c r="A315">
        <v>3372868164</v>
      </c>
      <c r="B315" s="1">
        <v>42489</v>
      </c>
      <c r="C315">
        <v>9135</v>
      </c>
      <c r="D315">
        <v>6.2300000190734899</v>
      </c>
      <c r="E315">
        <v>6.2300000190734899</v>
      </c>
      <c r="F315">
        <v>0</v>
      </c>
      <c r="G315">
        <v>0</v>
      </c>
      <c r="H315">
        <v>0</v>
      </c>
      <c r="I315">
        <v>6.2199997901916504</v>
      </c>
      <c r="J315">
        <v>9.9999997764825804E-3</v>
      </c>
      <c r="K315">
        <v>0</v>
      </c>
      <c r="L315">
        <v>0</v>
      </c>
      <c r="M315">
        <v>402</v>
      </c>
      <c r="N315">
        <v>1038</v>
      </c>
      <c r="O315">
        <v>2044</v>
      </c>
    </row>
    <row r="316" spans="1:15">
      <c r="A316">
        <v>3372868164</v>
      </c>
      <c r="B316" s="1">
        <v>42490</v>
      </c>
      <c r="C316">
        <v>5250</v>
      </c>
      <c r="D316">
        <v>3.5799999237060498</v>
      </c>
      <c r="E316">
        <v>3.5799999237060498</v>
      </c>
      <c r="F316">
        <v>0</v>
      </c>
      <c r="G316">
        <v>1.0599999427795399</v>
      </c>
      <c r="H316">
        <v>9.00000035762787E-2</v>
      </c>
      <c r="I316">
        <v>2.4200000762939502</v>
      </c>
      <c r="J316">
        <v>9.9999997764825804E-3</v>
      </c>
      <c r="K316">
        <v>17</v>
      </c>
      <c r="L316">
        <v>4</v>
      </c>
      <c r="M316">
        <v>300</v>
      </c>
      <c r="N316">
        <v>1119</v>
      </c>
      <c r="O316">
        <v>1946</v>
      </c>
    </row>
    <row r="317" spans="1:15">
      <c r="A317">
        <v>3372868164</v>
      </c>
      <c r="B317" s="1">
        <v>42491</v>
      </c>
      <c r="C317">
        <v>3077</v>
      </c>
      <c r="D317">
        <v>2.0999999046325701</v>
      </c>
      <c r="E317">
        <v>2.0999999046325701</v>
      </c>
      <c r="F317">
        <v>0</v>
      </c>
      <c r="G317">
        <v>0</v>
      </c>
      <c r="H317">
        <v>0</v>
      </c>
      <c r="I317">
        <v>2.0899999141693102</v>
      </c>
      <c r="J317">
        <v>0</v>
      </c>
      <c r="K317">
        <v>0</v>
      </c>
      <c r="L317">
        <v>0</v>
      </c>
      <c r="M317">
        <v>172</v>
      </c>
      <c r="N317">
        <v>842</v>
      </c>
      <c r="O317">
        <v>1237</v>
      </c>
    </row>
    <row r="318" spans="1:15">
      <c r="A318">
        <v>3977333714</v>
      </c>
      <c r="B318" s="1">
        <v>42472</v>
      </c>
      <c r="C318">
        <v>8856</v>
      </c>
      <c r="D318">
        <v>5.9800000190734899</v>
      </c>
      <c r="E318">
        <v>5.9800000190734899</v>
      </c>
      <c r="F318">
        <v>0</v>
      </c>
      <c r="G318">
        <v>3.0599999427795401</v>
      </c>
      <c r="H318">
        <v>0.91000002622604403</v>
      </c>
      <c r="I318">
        <v>2.0099999904632599</v>
      </c>
      <c r="J318">
        <v>0</v>
      </c>
      <c r="K318">
        <v>44</v>
      </c>
      <c r="L318">
        <v>19</v>
      </c>
      <c r="M318">
        <v>131</v>
      </c>
      <c r="N318">
        <v>777</v>
      </c>
      <c r="O318">
        <v>1450</v>
      </c>
    </row>
    <row r="319" spans="1:15">
      <c r="A319">
        <v>3977333714</v>
      </c>
      <c r="B319" s="1">
        <v>42473</v>
      </c>
      <c r="C319">
        <v>10035</v>
      </c>
      <c r="D319">
        <v>6.71000003814697</v>
      </c>
      <c r="E319">
        <v>6.71000003814697</v>
      </c>
      <c r="F319">
        <v>0</v>
      </c>
      <c r="G319">
        <v>2.0299999713897701</v>
      </c>
      <c r="H319">
        <v>2.1300001144409202</v>
      </c>
      <c r="I319">
        <v>2.5499999523162802</v>
      </c>
      <c r="J319">
        <v>0</v>
      </c>
      <c r="K319">
        <v>31</v>
      </c>
      <c r="L319">
        <v>46</v>
      </c>
      <c r="M319">
        <v>153</v>
      </c>
      <c r="N319">
        <v>754</v>
      </c>
      <c r="O319">
        <v>1495</v>
      </c>
    </row>
    <row r="320" spans="1:15">
      <c r="A320">
        <v>3977333714</v>
      </c>
      <c r="B320" s="1">
        <v>42474</v>
      </c>
      <c r="C320">
        <v>7641</v>
      </c>
      <c r="D320">
        <v>5.1100001335143999</v>
      </c>
      <c r="E320">
        <v>5.1100001335143999</v>
      </c>
      <c r="F320">
        <v>0</v>
      </c>
      <c r="G320">
        <v>0.31999999284744302</v>
      </c>
      <c r="H320">
        <v>0.97000002861022905</v>
      </c>
      <c r="I320">
        <v>3.8199999332428001</v>
      </c>
      <c r="J320">
        <v>0</v>
      </c>
      <c r="K320">
        <v>5</v>
      </c>
      <c r="L320">
        <v>23</v>
      </c>
      <c r="M320">
        <v>214</v>
      </c>
      <c r="N320">
        <v>801</v>
      </c>
      <c r="O320">
        <v>1433</v>
      </c>
    </row>
    <row r="321" spans="1:15">
      <c r="A321">
        <v>3977333714</v>
      </c>
      <c r="B321" s="1">
        <v>42475</v>
      </c>
      <c r="C321">
        <v>9010</v>
      </c>
      <c r="D321">
        <v>6.0599999427795401</v>
      </c>
      <c r="E321">
        <v>6.0599999427795401</v>
      </c>
      <c r="F321">
        <v>0</v>
      </c>
      <c r="G321">
        <v>1.04999995231628</v>
      </c>
      <c r="H321">
        <v>1.75</v>
      </c>
      <c r="I321">
        <v>3.2599999904632599</v>
      </c>
      <c r="J321">
        <v>0</v>
      </c>
      <c r="K321">
        <v>15</v>
      </c>
      <c r="L321">
        <v>42</v>
      </c>
      <c r="M321">
        <v>183</v>
      </c>
      <c r="N321">
        <v>644</v>
      </c>
      <c r="O321">
        <v>1468</v>
      </c>
    </row>
    <row r="322" spans="1:15">
      <c r="A322">
        <v>3977333714</v>
      </c>
      <c r="B322" s="1">
        <v>42476</v>
      </c>
      <c r="C322">
        <v>13459</v>
      </c>
      <c r="D322">
        <v>9</v>
      </c>
      <c r="E322">
        <v>9</v>
      </c>
      <c r="F322">
        <v>0</v>
      </c>
      <c r="G322">
        <v>2.0299999713897701</v>
      </c>
      <c r="H322">
        <v>4</v>
      </c>
      <c r="I322">
        <v>2.9700000286102299</v>
      </c>
      <c r="J322">
        <v>0</v>
      </c>
      <c r="K322">
        <v>31</v>
      </c>
      <c r="L322">
        <v>83</v>
      </c>
      <c r="M322">
        <v>153</v>
      </c>
      <c r="N322">
        <v>663</v>
      </c>
      <c r="O322">
        <v>1625</v>
      </c>
    </row>
    <row r="323" spans="1:15">
      <c r="A323">
        <v>3977333714</v>
      </c>
      <c r="B323" s="1">
        <v>42477</v>
      </c>
      <c r="C323">
        <v>10415</v>
      </c>
      <c r="D323">
        <v>6.9699997901916504</v>
      </c>
      <c r="E323">
        <v>6.9699997901916504</v>
      </c>
      <c r="F323">
        <v>0</v>
      </c>
      <c r="G323">
        <v>0.69999998807907104</v>
      </c>
      <c r="H323">
        <v>2.3499999046325701</v>
      </c>
      <c r="I323">
        <v>3.9200000762939502</v>
      </c>
      <c r="J323">
        <v>0</v>
      </c>
      <c r="K323">
        <v>11</v>
      </c>
      <c r="L323">
        <v>58</v>
      </c>
      <c r="M323">
        <v>205</v>
      </c>
      <c r="N323">
        <v>600</v>
      </c>
      <c r="O323">
        <v>1529</v>
      </c>
    </row>
    <row r="324" spans="1:15">
      <c r="A324">
        <v>3977333714</v>
      </c>
      <c r="B324" s="1">
        <v>42478</v>
      </c>
      <c r="C324">
        <v>11663</v>
      </c>
      <c r="D324">
        <v>7.8000001907348597</v>
      </c>
      <c r="E324">
        <v>7.8000001907348597</v>
      </c>
      <c r="F324">
        <v>0</v>
      </c>
      <c r="G324">
        <v>0.25</v>
      </c>
      <c r="H324">
        <v>3.7300000190734899</v>
      </c>
      <c r="I324">
        <v>3.8199999332428001</v>
      </c>
      <c r="J324">
        <v>0</v>
      </c>
      <c r="K324">
        <v>4</v>
      </c>
      <c r="L324">
        <v>95</v>
      </c>
      <c r="M324">
        <v>214</v>
      </c>
      <c r="N324">
        <v>605</v>
      </c>
      <c r="O324">
        <v>1584</v>
      </c>
    </row>
    <row r="325" spans="1:15">
      <c r="A325">
        <v>3977333714</v>
      </c>
      <c r="B325" s="1">
        <v>42479</v>
      </c>
      <c r="C325">
        <v>12414</v>
      </c>
      <c r="D325">
        <v>8.7799997329711896</v>
      </c>
      <c r="E325">
        <v>8.7799997329711896</v>
      </c>
      <c r="F325">
        <v>0</v>
      </c>
      <c r="G325">
        <v>2.2400000095367401</v>
      </c>
      <c r="H325">
        <v>2.4500000476837198</v>
      </c>
      <c r="I325">
        <v>3.96000003814697</v>
      </c>
      <c r="J325">
        <v>0</v>
      </c>
      <c r="K325">
        <v>19</v>
      </c>
      <c r="L325">
        <v>67</v>
      </c>
      <c r="M325">
        <v>221</v>
      </c>
      <c r="N325">
        <v>738</v>
      </c>
      <c r="O325">
        <v>1638</v>
      </c>
    </row>
    <row r="326" spans="1:15">
      <c r="A326">
        <v>3977333714</v>
      </c>
      <c r="B326" s="1">
        <v>42480</v>
      </c>
      <c r="C326">
        <v>11658</v>
      </c>
      <c r="D326">
        <v>7.8299999237060502</v>
      </c>
      <c r="E326">
        <v>7.8299999237060502</v>
      </c>
      <c r="F326">
        <v>0</v>
      </c>
      <c r="G326">
        <v>0.20000000298023199</v>
      </c>
      <c r="H326">
        <v>4.3499999046325701</v>
      </c>
      <c r="I326">
        <v>3.2799999713897701</v>
      </c>
      <c r="J326">
        <v>0</v>
      </c>
      <c r="K326">
        <v>2</v>
      </c>
      <c r="L326">
        <v>98</v>
      </c>
      <c r="M326">
        <v>164</v>
      </c>
      <c r="N326">
        <v>845</v>
      </c>
      <c r="O326">
        <v>1554</v>
      </c>
    </row>
    <row r="327" spans="1:15">
      <c r="A327">
        <v>3977333714</v>
      </c>
      <c r="B327" s="1">
        <v>42481</v>
      </c>
      <c r="C327">
        <v>6093</v>
      </c>
      <c r="D327">
        <v>4.0799999237060502</v>
      </c>
      <c r="E327">
        <v>4.0799999237060502</v>
      </c>
      <c r="F327">
        <v>0</v>
      </c>
      <c r="G327">
        <v>0</v>
      </c>
      <c r="H327">
        <v>0</v>
      </c>
      <c r="I327">
        <v>4.0599999427795401</v>
      </c>
      <c r="J327">
        <v>0</v>
      </c>
      <c r="K327">
        <v>0</v>
      </c>
      <c r="L327">
        <v>0</v>
      </c>
      <c r="M327">
        <v>242</v>
      </c>
      <c r="N327">
        <v>712</v>
      </c>
      <c r="O327">
        <v>1397</v>
      </c>
    </row>
    <row r="328" spans="1:15">
      <c r="A328">
        <v>3977333714</v>
      </c>
      <c r="B328" s="1">
        <v>42482</v>
      </c>
      <c r="C328">
        <v>8911</v>
      </c>
      <c r="D328">
        <v>5.96000003814697</v>
      </c>
      <c r="E328">
        <v>5.96000003814697</v>
      </c>
      <c r="F328">
        <v>0</v>
      </c>
      <c r="G328">
        <v>2.3299999237060498</v>
      </c>
      <c r="H328">
        <v>0.57999998331069902</v>
      </c>
      <c r="I328">
        <v>3.0599999427795401</v>
      </c>
      <c r="J328">
        <v>0</v>
      </c>
      <c r="K328">
        <v>33</v>
      </c>
      <c r="L328">
        <v>12</v>
      </c>
      <c r="M328">
        <v>188</v>
      </c>
      <c r="N328">
        <v>731</v>
      </c>
      <c r="O328">
        <v>1481</v>
      </c>
    </row>
    <row r="329" spans="1:15">
      <c r="A329">
        <v>3977333714</v>
      </c>
      <c r="B329" s="1">
        <v>42483</v>
      </c>
      <c r="C329">
        <v>12058</v>
      </c>
      <c r="D329">
        <v>8.0699996948242205</v>
      </c>
      <c r="E329">
        <v>8.0699996948242205</v>
      </c>
      <c r="F329">
        <v>0</v>
      </c>
      <c r="G329">
        <v>0</v>
      </c>
      <c r="H329">
        <v>4.2199997901916504</v>
      </c>
      <c r="I329">
        <v>3.8499999046325701</v>
      </c>
      <c r="J329">
        <v>0</v>
      </c>
      <c r="K329">
        <v>0</v>
      </c>
      <c r="L329">
        <v>92</v>
      </c>
      <c r="M329">
        <v>252</v>
      </c>
      <c r="N329">
        <v>724</v>
      </c>
      <c r="O329">
        <v>1638</v>
      </c>
    </row>
    <row r="330" spans="1:15">
      <c r="A330">
        <v>3977333714</v>
      </c>
      <c r="B330" s="1">
        <v>42484</v>
      </c>
      <c r="C330">
        <v>14112</v>
      </c>
      <c r="D330">
        <v>10</v>
      </c>
      <c r="E330">
        <v>10</v>
      </c>
      <c r="F330">
        <v>0</v>
      </c>
      <c r="G330">
        <v>3.2699999809265101</v>
      </c>
      <c r="H330">
        <v>4.5599999427795401</v>
      </c>
      <c r="I330">
        <v>2.1700000762939502</v>
      </c>
      <c r="J330">
        <v>0</v>
      </c>
      <c r="K330">
        <v>30</v>
      </c>
      <c r="L330">
        <v>95</v>
      </c>
      <c r="M330">
        <v>129</v>
      </c>
      <c r="N330">
        <v>660</v>
      </c>
      <c r="O330">
        <v>1655</v>
      </c>
    </row>
    <row r="331" spans="1:15">
      <c r="A331">
        <v>3977333714</v>
      </c>
      <c r="B331" s="1">
        <v>42485</v>
      </c>
      <c r="C331">
        <v>11177</v>
      </c>
      <c r="D331">
        <v>8.4799995422363299</v>
      </c>
      <c r="E331">
        <v>8.4799995422363299</v>
      </c>
      <c r="F331">
        <v>0</v>
      </c>
      <c r="G331">
        <v>5.6199998855590803</v>
      </c>
      <c r="H331">
        <v>0.43000000715255698</v>
      </c>
      <c r="I331">
        <v>2.4100000858306898</v>
      </c>
      <c r="J331">
        <v>0</v>
      </c>
      <c r="K331">
        <v>50</v>
      </c>
      <c r="L331">
        <v>9</v>
      </c>
      <c r="M331">
        <v>133</v>
      </c>
      <c r="N331">
        <v>781</v>
      </c>
      <c r="O331">
        <v>1570</v>
      </c>
    </row>
    <row r="332" spans="1:15">
      <c r="A332">
        <v>3977333714</v>
      </c>
      <c r="B332" s="1">
        <v>42486</v>
      </c>
      <c r="C332">
        <v>11388</v>
      </c>
      <c r="D332">
        <v>7.6199998855590803</v>
      </c>
      <c r="E332">
        <v>7.6199998855590803</v>
      </c>
      <c r="F332">
        <v>0</v>
      </c>
      <c r="G332">
        <v>0.44999998807907099</v>
      </c>
      <c r="H332">
        <v>4.2199997901916504</v>
      </c>
      <c r="I332">
        <v>2.9500000476837198</v>
      </c>
      <c r="J332">
        <v>0</v>
      </c>
      <c r="K332">
        <v>7</v>
      </c>
      <c r="L332">
        <v>95</v>
      </c>
      <c r="M332">
        <v>170</v>
      </c>
      <c r="N332">
        <v>797</v>
      </c>
      <c r="O332">
        <v>1551</v>
      </c>
    </row>
    <row r="333" spans="1:15">
      <c r="A333">
        <v>3977333714</v>
      </c>
      <c r="B333" s="1">
        <v>42487</v>
      </c>
      <c r="C333">
        <v>7193</v>
      </c>
      <c r="D333">
        <v>5.03999996185303</v>
      </c>
      <c r="E333">
        <v>5.03999996185303</v>
      </c>
      <c r="F333">
        <v>0</v>
      </c>
      <c r="G333">
        <v>0</v>
      </c>
      <c r="H333">
        <v>0.41999998688697798</v>
      </c>
      <c r="I333">
        <v>4.6199998855590803</v>
      </c>
      <c r="J333">
        <v>0</v>
      </c>
      <c r="K333">
        <v>0</v>
      </c>
      <c r="L333">
        <v>10</v>
      </c>
      <c r="M333">
        <v>176</v>
      </c>
      <c r="N333">
        <v>714</v>
      </c>
      <c r="O333">
        <v>1377</v>
      </c>
    </row>
    <row r="334" spans="1:15">
      <c r="A334">
        <v>3977333714</v>
      </c>
      <c r="B334" s="1">
        <v>42488</v>
      </c>
      <c r="C334">
        <v>7114</v>
      </c>
      <c r="D334">
        <v>4.8800001144409197</v>
      </c>
      <c r="E334">
        <v>4.8800001144409197</v>
      </c>
      <c r="F334">
        <v>0</v>
      </c>
      <c r="G334">
        <v>1.37000000476837</v>
      </c>
      <c r="H334">
        <v>0.28999999165535001</v>
      </c>
      <c r="I334">
        <v>3.2200000286102299</v>
      </c>
      <c r="J334">
        <v>0</v>
      </c>
      <c r="K334">
        <v>15</v>
      </c>
      <c r="L334">
        <v>8</v>
      </c>
      <c r="M334">
        <v>190</v>
      </c>
      <c r="N334">
        <v>804</v>
      </c>
      <c r="O334">
        <v>1407</v>
      </c>
    </row>
    <row r="335" spans="1:15">
      <c r="A335">
        <v>3977333714</v>
      </c>
      <c r="B335" s="1">
        <v>42489</v>
      </c>
      <c r="C335">
        <v>10645</v>
      </c>
      <c r="D335">
        <v>7.75</v>
      </c>
      <c r="E335">
        <v>7.75</v>
      </c>
      <c r="F335">
        <v>0</v>
      </c>
      <c r="G335">
        <v>3.7400000095367401</v>
      </c>
      <c r="H335">
        <v>1.29999995231628</v>
      </c>
      <c r="I335">
        <v>2.71000003814697</v>
      </c>
      <c r="J335">
        <v>0</v>
      </c>
      <c r="K335">
        <v>36</v>
      </c>
      <c r="L335">
        <v>32</v>
      </c>
      <c r="M335">
        <v>150</v>
      </c>
      <c r="N335">
        <v>744</v>
      </c>
      <c r="O335">
        <v>1545</v>
      </c>
    </row>
    <row r="336" spans="1:15">
      <c r="A336">
        <v>3977333714</v>
      </c>
      <c r="B336" s="1">
        <v>42490</v>
      </c>
      <c r="C336">
        <v>13238</v>
      </c>
      <c r="D336">
        <v>9.1999998092651403</v>
      </c>
      <c r="E336">
        <v>9.1999998092651403</v>
      </c>
      <c r="F336">
        <v>0</v>
      </c>
      <c r="G336">
        <v>3.6900000572204599</v>
      </c>
      <c r="H336">
        <v>2.0999999046325701</v>
      </c>
      <c r="I336">
        <v>3.4100000858306898</v>
      </c>
      <c r="J336">
        <v>0</v>
      </c>
      <c r="K336">
        <v>43</v>
      </c>
      <c r="L336">
        <v>52</v>
      </c>
      <c r="M336">
        <v>194</v>
      </c>
      <c r="N336">
        <v>687</v>
      </c>
      <c r="O336">
        <v>1650</v>
      </c>
    </row>
    <row r="337" spans="1:15">
      <c r="A337">
        <v>3977333714</v>
      </c>
      <c r="B337" s="1">
        <v>42491</v>
      </c>
      <c r="C337">
        <v>10414</v>
      </c>
      <c r="D337">
        <v>7.0700001716613796</v>
      </c>
      <c r="E337">
        <v>7.0700001716613796</v>
      </c>
      <c r="F337">
        <v>0</v>
      </c>
      <c r="G337">
        <v>2.6700000762939502</v>
      </c>
      <c r="H337">
        <v>1.9800000190734901</v>
      </c>
      <c r="I337">
        <v>2.4100000858306898</v>
      </c>
      <c r="J337">
        <v>0</v>
      </c>
      <c r="K337">
        <v>41</v>
      </c>
      <c r="L337">
        <v>40</v>
      </c>
      <c r="M337">
        <v>124</v>
      </c>
      <c r="N337">
        <v>691</v>
      </c>
      <c r="O337">
        <v>1501</v>
      </c>
    </row>
    <row r="338" spans="1:15">
      <c r="A338">
        <v>3977333714</v>
      </c>
      <c r="B338" s="1">
        <v>42492</v>
      </c>
      <c r="C338">
        <v>16520</v>
      </c>
      <c r="D338">
        <v>11.050000190734901</v>
      </c>
      <c r="E338">
        <v>11.050000190734901</v>
      </c>
      <c r="F338">
        <v>0</v>
      </c>
      <c r="G338">
        <v>1.53999996185303</v>
      </c>
      <c r="H338">
        <v>6.4800000190734899</v>
      </c>
      <c r="I338">
        <v>3.0199999809265101</v>
      </c>
      <c r="J338">
        <v>0</v>
      </c>
      <c r="K338">
        <v>24</v>
      </c>
      <c r="L338">
        <v>143</v>
      </c>
      <c r="M338">
        <v>176</v>
      </c>
      <c r="N338">
        <v>713</v>
      </c>
      <c r="O338">
        <v>1760</v>
      </c>
    </row>
    <row r="339" spans="1:15">
      <c r="A339">
        <v>3977333714</v>
      </c>
      <c r="B339" s="1">
        <v>42493</v>
      </c>
      <c r="C339">
        <v>14335</v>
      </c>
      <c r="D339">
        <v>9.5900001525878906</v>
      </c>
      <c r="E339">
        <v>9.5900001525878906</v>
      </c>
      <c r="F339">
        <v>0</v>
      </c>
      <c r="G339">
        <v>3.3199999332428001</v>
      </c>
      <c r="H339">
        <v>1.7400000095367401</v>
      </c>
      <c r="I339">
        <v>4.5300002098083496</v>
      </c>
      <c r="J339">
        <v>0</v>
      </c>
      <c r="K339">
        <v>47</v>
      </c>
      <c r="L339">
        <v>41</v>
      </c>
      <c r="M339">
        <v>258</v>
      </c>
      <c r="N339">
        <v>594</v>
      </c>
      <c r="O339">
        <v>1710</v>
      </c>
    </row>
    <row r="340" spans="1:15">
      <c r="A340">
        <v>3977333714</v>
      </c>
      <c r="B340" s="1">
        <v>42494</v>
      </c>
      <c r="C340">
        <v>13559</v>
      </c>
      <c r="D340">
        <v>9.4399995803833008</v>
      </c>
      <c r="E340">
        <v>9.4399995803833008</v>
      </c>
      <c r="F340">
        <v>0</v>
      </c>
      <c r="G340">
        <v>1.8099999427795399</v>
      </c>
      <c r="H340">
        <v>4.5799999237060502</v>
      </c>
      <c r="I340">
        <v>2.8900001049041699</v>
      </c>
      <c r="J340">
        <v>0</v>
      </c>
      <c r="K340">
        <v>14</v>
      </c>
      <c r="L340">
        <v>96</v>
      </c>
      <c r="M340">
        <v>142</v>
      </c>
      <c r="N340">
        <v>852</v>
      </c>
      <c r="O340">
        <v>1628</v>
      </c>
    </row>
    <row r="341" spans="1:15">
      <c r="A341">
        <v>3977333714</v>
      </c>
      <c r="B341" s="1">
        <v>42495</v>
      </c>
      <c r="C341">
        <v>12312</v>
      </c>
      <c r="D341">
        <v>8.5799999237060494</v>
      </c>
      <c r="E341">
        <v>8.5799999237060494</v>
      </c>
      <c r="F341">
        <v>0</v>
      </c>
      <c r="G341">
        <v>1.7599999904632599</v>
      </c>
      <c r="H341">
        <v>4.1100001335143999</v>
      </c>
      <c r="I341">
        <v>2.71000003814697</v>
      </c>
      <c r="J341">
        <v>0</v>
      </c>
      <c r="K341">
        <v>14</v>
      </c>
      <c r="L341">
        <v>88</v>
      </c>
      <c r="M341">
        <v>178</v>
      </c>
      <c r="N341">
        <v>680</v>
      </c>
      <c r="O341">
        <v>1618</v>
      </c>
    </row>
    <row r="342" spans="1:15">
      <c r="A342">
        <v>3977333714</v>
      </c>
      <c r="B342" s="1">
        <v>42496</v>
      </c>
      <c r="C342">
        <v>11677</v>
      </c>
      <c r="D342">
        <v>8.2799997329711896</v>
      </c>
      <c r="E342">
        <v>8.2799997329711896</v>
      </c>
      <c r="F342">
        <v>0</v>
      </c>
      <c r="G342">
        <v>3.1099998950958301</v>
      </c>
      <c r="H342">
        <v>2.5099999904632599</v>
      </c>
      <c r="I342">
        <v>2.6700000762939502</v>
      </c>
      <c r="J342">
        <v>0</v>
      </c>
      <c r="K342">
        <v>29</v>
      </c>
      <c r="L342">
        <v>55</v>
      </c>
      <c r="M342">
        <v>168</v>
      </c>
      <c r="N342">
        <v>676</v>
      </c>
      <c r="O342">
        <v>1590</v>
      </c>
    </row>
    <row r="343" spans="1:15">
      <c r="A343">
        <v>3977333714</v>
      </c>
      <c r="B343" s="1">
        <v>42497</v>
      </c>
      <c r="C343">
        <v>11550</v>
      </c>
      <c r="D343">
        <v>7.7300000190734899</v>
      </c>
      <c r="E343">
        <v>7.7300000190734899</v>
      </c>
      <c r="F343">
        <v>0</v>
      </c>
      <c r="G343">
        <v>0</v>
      </c>
      <c r="H343">
        <v>4.1300001144409197</v>
      </c>
      <c r="I343">
        <v>3.5899999141693102</v>
      </c>
      <c r="J343">
        <v>0</v>
      </c>
      <c r="K343">
        <v>0</v>
      </c>
      <c r="L343">
        <v>86</v>
      </c>
      <c r="M343">
        <v>208</v>
      </c>
      <c r="N343">
        <v>703</v>
      </c>
      <c r="O343">
        <v>1574</v>
      </c>
    </row>
    <row r="344" spans="1:15">
      <c r="A344">
        <v>3977333714</v>
      </c>
      <c r="B344" s="1">
        <v>42498</v>
      </c>
      <c r="C344">
        <v>13585</v>
      </c>
      <c r="D344">
        <v>9.0900001525878906</v>
      </c>
      <c r="E344">
        <v>9.0900001525878906</v>
      </c>
      <c r="F344">
        <v>0</v>
      </c>
      <c r="G344">
        <v>0.68000000715255704</v>
      </c>
      <c r="H344">
        <v>5.2399997711181596</v>
      </c>
      <c r="I344">
        <v>3.1700000762939502</v>
      </c>
      <c r="J344">
        <v>0</v>
      </c>
      <c r="K344">
        <v>9</v>
      </c>
      <c r="L344">
        <v>116</v>
      </c>
      <c r="M344">
        <v>171</v>
      </c>
      <c r="N344">
        <v>688</v>
      </c>
      <c r="O344">
        <v>1633</v>
      </c>
    </row>
    <row r="345" spans="1:15">
      <c r="A345">
        <v>3977333714</v>
      </c>
      <c r="B345" s="1">
        <v>42499</v>
      </c>
      <c r="C345">
        <v>14687</v>
      </c>
      <c r="D345">
        <v>10.079999923706101</v>
      </c>
      <c r="E345">
        <v>10.079999923706101</v>
      </c>
      <c r="F345">
        <v>0</v>
      </c>
      <c r="G345">
        <v>0.769999980926514</v>
      </c>
      <c r="H345">
        <v>5.5999999046325701</v>
      </c>
      <c r="I345">
        <v>3.5499999523162802</v>
      </c>
      <c r="J345">
        <v>0</v>
      </c>
      <c r="K345">
        <v>8</v>
      </c>
      <c r="L345">
        <v>122</v>
      </c>
      <c r="M345">
        <v>151</v>
      </c>
      <c r="N345">
        <v>1159</v>
      </c>
      <c r="O345">
        <v>1667</v>
      </c>
    </row>
    <row r="346" spans="1:15">
      <c r="A346">
        <v>3977333714</v>
      </c>
      <c r="B346" s="1">
        <v>42500</v>
      </c>
      <c r="C346">
        <v>13072</v>
      </c>
      <c r="D346">
        <v>8.7799997329711896</v>
      </c>
      <c r="E346">
        <v>8.7799997329711896</v>
      </c>
      <c r="F346">
        <v>0</v>
      </c>
      <c r="G346">
        <v>7.0000000298023196E-2</v>
      </c>
      <c r="H346">
        <v>5.4000000953674299</v>
      </c>
      <c r="I346">
        <v>3.3099999427795401</v>
      </c>
      <c r="J346">
        <v>0</v>
      </c>
      <c r="K346">
        <v>1</v>
      </c>
      <c r="L346">
        <v>115</v>
      </c>
      <c r="M346">
        <v>196</v>
      </c>
      <c r="N346">
        <v>676</v>
      </c>
      <c r="O346">
        <v>1630</v>
      </c>
    </row>
    <row r="347" spans="1:15">
      <c r="A347">
        <v>3977333714</v>
      </c>
      <c r="B347" s="1">
        <v>42501</v>
      </c>
      <c r="C347">
        <v>746</v>
      </c>
      <c r="D347">
        <v>0.5</v>
      </c>
      <c r="E347">
        <v>0.5</v>
      </c>
      <c r="F347">
        <v>0</v>
      </c>
      <c r="G347">
        <v>0.37000000476837203</v>
      </c>
      <c r="H347">
        <v>0</v>
      </c>
      <c r="I347">
        <v>0.129999995231628</v>
      </c>
      <c r="J347">
        <v>0</v>
      </c>
      <c r="K347">
        <v>4</v>
      </c>
      <c r="L347">
        <v>0</v>
      </c>
      <c r="M347">
        <v>9</v>
      </c>
      <c r="N347">
        <v>13</v>
      </c>
      <c r="O347">
        <v>52</v>
      </c>
    </row>
    <row r="348" spans="1:15">
      <c r="A348">
        <v>4020332650</v>
      </c>
      <c r="B348" s="1">
        <v>42472</v>
      </c>
      <c r="C348">
        <v>8539</v>
      </c>
      <c r="D348">
        <v>6.1199998855590803</v>
      </c>
      <c r="E348">
        <v>6.1199998855590803</v>
      </c>
      <c r="F348">
        <v>0</v>
      </c>
      <c r="G348">
        <v>0.15000000596046401</v>
      </c>
      <c r="H348">
        <v>0.239999994635582</v>
      </c>
      <c r="I348">
        <v>5.6799998283386204</v>
      </c>
      <c r="J348">
        <v>0</v>
      </c>
      <c r="K348">
        <v>4</v>
      </c>
      <c r="L348">
        <v>15</v>
      </c>
      <c r="M348">
        <v>331</v>
      </c>
      <c r="N348">
        <v>712</v>
      </c>
      <c r="O348">
        <v>3654</v>
      </c>
    </row>
    <row r="349" spans="1:15">
      <c r="A349">
        <v>4020332650</v>
      </c>
      <c r="B349" s="1">
        <v>42473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1440</v>
      </c>
      <c r="O349">
        <v>1981</v>
      </c>
    </row>
    <row r="350" spans="1:15">
      <c r="A350">
        <v>4020332650</v>
      </c>
      <c r="B350" s="1">
        <v>42474</v>
      </c>
      <c r="C350">
        <v>108</v>
      </c>
      <c r="D350">
        <v>7.9999998211860698E-2</v>
      </c>
      <c r="E350">
        <v>7.9999998211860698E-2</v>
      </c>
      <c r="F350">
        <v>0</v>
      </c>
      <c r="G350">
        <v>0</v>
      </c>
      <c r="H350">
        <v>0</v>
      </c>
      <c r="I350">
        <v>2.9999999329447701E-2</v>
      </c>
      <c r="J350">
        <v>0</v>
      </c>
      <c r="K350">
        <v>0</v>
      </c>
      <c r="L350">
        <v>0</v>
      </c>
      <c r="M350">
        <v>3</v>
      </c>
      <c r="N350">
        <v>1437</v>
      </c>
      <c r="O350">
        <v>2011</v>
      </c>
    </row>
    <row r="351" spans="1:15">
      <c r="A351">
        <v>4020332650</v>
      </c>
      <c r="B351" s="1">
        <v>42475</v>
      </c>
      <c r="C351">
        <v>1882</v>
      </c>
      <c r="D351">
        <v>1.3500000238418599</v>
      </c>
      <c r="E351">
        <v>1.3500000238418599</v>
      </c>
      <c r="F351">
        <v>0</v>
      </c>
      <c r="G351">
        <v>0.20999999344348899</v>
      </c>
      <c r="H351">
        <v>0.36000001430511502</v>
      </c>
      <c r="I351">
        <v>0.769999980926514</v>
      </c>
      <c r="J351">
        <v>0</v>
      </c>
      <c r="K351">
        <v>36</v>
      </c>
      <c r="L351">
        <v>18</v>
      </c>
      <c r="M351">
        <v>87</v>
      </c>
      <c r="N351">
        <v>1299</v>
      </c>
      <c r="O351">
        <v>2951</v>
      </c>
    </row>
    <row r="352" spans="1:15">
      <c r="A352">
        <v>4020332650</v>
      </c>
      <c r="B352" s="1">
        <v>42476</v>
      </c>
      <c r="C352">
        <v>1982</v>
      </c>
      <c r="D352">
        <v>1.41999995708466</v>
      </c>
      <c r="E352">
        <v>1.41999995708466</v>
      </c>
      <c r="F352">
        <v>0</v>
      </c>
      <c r="G352">
        <v>0.44999998807907099</v>
      </c>
      <c r="H352">
        <v>0.37000000476837203</v>
      </c>
      <c r="I352">
        <v>0.58999997377395597</v>
      </c>
      <c r="J352">
        <v>0</v>
      </c>
      <c r="K352">
        <v>65</v>
      </c>
      <c r="L352">
        <v>21</v>
      </c>
      <c r="M352">
        <v>55</v>
      </c>
      <c r="N352">
        <v>1222</v>
      </c>
      <c r="O352">
        <v>3051</v>
      </c>
    </row>
    <row r="353" spans="1:15">
      <c r="A353">
        <v>4020332650</v>
      </c>
      <c r="B353" s="1">
        <v>42477</v>
      </c>
      <c r="C353">
        <v>16</v>
      </c>
      <c r="D353">
        <v>9.9999997764825804E-3</v>
      </c>
      <c r="E353">
        <v>9.9999997764825804E-3</v>
      </c>
      <c r="F353">
        <v>0</v>
      </c>
      <c r="G353">
        <v>0</v>
      </c>
      <c r="H353">
        <v>0</v>
      </c>
      <c r="I353">
        <v>9.9999997764825804E-3</v>
      </c>
      <c r="J353">
        <v>0</v>
      </c>
      <c r="K353">
        <v>0</v>
      </c>
      <c r="L353">
        <v>0</v>
      </c>
      <c r="M353">
        <v>2</v>
      </c>
      <c r="N353">
        <v>1438</v>
      </c>
      <c r="O353">
        <v>1990</v>
      </c>
    </row>
    <row r="354" spans="1:15">
      <c r="A354">
        <v>4020332650</v>
      </c>
      <c r="B354" s="1">
        <v>42478</v>
      </c>
      <c r="C354">
        <v>62</v>
      </c>
      <c r="D354">
        <v>3.9999999105930301E-2</v>
      </c>
      <c r="E354">
        <v>3.9999999105930301E-2</v>
      </c>
      <c r="F354">
        <v>0</v>
      </c>
      <c r="G354">
        <v>0</v>
      </c>
      <c r="H354">
        <v>0</v>
      </c>
      <c r="I354">
        <v>3.9999999105930301E-2</v>
      </c>
      <c r="J354">
        <v>0</v>
      </c>
      <c r="K354">
        <v>0</v>
      </c>
      <c r="L354">
        <v>0</v>
      </c>
      <c r="M354">
        <v>2</v>
      </c>
      <c r="N354">
        <v>1438</v>
      </c>
      <c r="O354">
        <v>1995</v>
      </c>
    </row>
    <row r="355" spans="1:15">
      <c r="A355">
        <v>4020332650</v>
      </c>
      <c r="B355" s="1">
        <v>42479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1440</v>
      </c>
      <c r="O355">
        <v>1980</v>
      </c>
    </row>
    <row r="356" spans="1:15">
      <c r="A356">
        <v>4020332650</v>
      </c>
      <c r="B356" s="1">
        <v>42480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1440</v>
      </c>
      <c r="O356">
        <v>1980</v>
      </c>
    </row>
    <row r="357" spans="1:15">
      <c r="A357">
        <v>4020332650</v>
      </c>
      <c r="B357" s="1">
        <v>42481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1440</v>
      </c>
      <c r="O357">
        <v>1980</v>
      </c>
    </row>
    <row r="358" spans="1:15">
      <c r="A358">
        <v>4020332650</v>
      </c>
      <c r="B358" s="1">
        <v>42482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1440</v>
      </c>
      <c r="O358">
        <v>1980</v>
      </c>
    </row>
    <row r="359" spans="1:15">
      <c r="A359">
        <v>4020332650</v>
      </c>
      <c r="B359" s="1">
        <v>42483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1440</v>
      </c>
      <c r="O359">
        <v>1980</v>
      </c>
    </row>
    <row r="360" spans="1:15">
      <c r="A360">
        <v>4020332650</v>
      </c>
      <c r="B360" s="1">
        <v>42484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1440</v>
      </c>
      <c r="O360">
        <v>1980</v>
      </c>
    </row>
    <row r="361" spans="1:15">
      <c r="A361">
        <v>4020332650</v>
      </c>
      <c r="B361" s="1">
        <v>42485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1440</v>
      </c>
      <c r="O361">
        <v>1980</v>
      </c>
    </row>
    <row r="362" spans="1:15">
      <c r="A362">
        <v>4020332650</v>
      </c>
      <c r="B362" s="1">
        <v>42486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1440</v>
      </c>
      <c r="O362">
        <v>1980</v>
      </c>
    </row>
    <row r="363" spans="1:15">
      <c r="A363">
        <v>4020332650</v>
      </c>
      <c r="B363" s="1">
        <v>42487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1440</v>
      </c>
      <c r="O363">
        <v>1980</v>
      </c>
    </row>
    <row r="364" spans="1:15">
      <c r="A364">
        <v>4020332650</v>
      </c>
      <c r="B364" s="1">
        <v>42488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1440</v>
      </c>
      <c r="O364">
        <v>1980</v>
      </c>
    </row>
    <row r="365" spans="1:15">
      <c r="A365">
        <v>4020332650</v>
      </c>
      <c r="B365" s="1">
        <v>42489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1440</v>
      </c>
      <c r="O365">
        <v>1980</v>
      </c>
    </row>
    <row r="366" spans="1:15">
      <c r="A366">
        <v>4020332650</v>
      </c>
      <c r="B366" s="1">
        <v>42490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1440</v>
      </c>
      <c r="O366">
        <v>1980</v>
      </c>
    </row>
    <row r="367" spans="1:15">
      <c r="A367">
        <v>4020332650</v>
      </c>
      <c r="B367" s="1">
        <v>42491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1440</v>
      </c>
      <c r="O367">
        <v>1980</v>
      </c>
    </row>
    <row r="368" spans="1:15">
      <c r="A368">
        <v>4020332650</v>
      </c>
      <c r="B368" s="1">
        <v>42492</v>
      </c>
      <c r="C368">
        <v>475</v>
      </c>
      <c r="D368">
        <v>0.34000000357627902</v>
      </c>
      <c r="E368">
        <v>0.34000000357627902</v>
      </c>
      <c r="F368">
        <v>0</v>
      </c>
      <c r="G368">
        <v>0</v>
      </c>
      <c r="H368">
        <v>3.9999999105930301E-2</v>
      </c>
      <c r="I368">
        <v>0.28999999165535001</v>
      </c>
      <c r="J368">
        <v>0</v>
      </c>
      <c r="K368">
        <v>0</v>
      </c>
      <c r="L368">
        <v>11</v>
      </c>
      <c r="M368">
        <v>31</v>
      </c>
      <c r="N368">
        <v>1350</v>
      </c>
      <c r="O368">
        <v>2207</v>
      </c>
    </row>
    <row r="369" spans="1:15">
      <c r="A369">
        <v>4020332650</v>
      </c>
      <c r="B369" s="1">
        <v>42493</v>
      </c>
      <c r="C369">
        <v>4496</v>
      </c>
      <c r="D369">
        <v>3.2200000286102299</v>
      </c>
      <c r="E369">
        <v>3.2200000286102299</v>
      </c>
      <c r="F369">
        <v>0</v>
      </c>
      <c r="G369">
        <v>0</v>
      </c>
      <c r="H369">
        <v>0</v>
      </c>
      <c r="I369">
        <v>3.1500000953674299</v>
      </c>
      <c r="J369">
        <v>5.0000000745058101E-2</v>
      </c>
      <c r="K369">
        <v>0</v>
      </c>
      <c r="L369">
        <v>0</v>
      </c>
      <c r="M369">
        <v>174</v>
      </c>
      <c r="N369">
        <v>950</v>
      </c>
      <c r="O369">
        <v>2828</v>
      </c>
    </row>
    <row r="370" spans="1:15">
      <c r="A370">
        <v>4020332650</v>
      </c>
      <c r="B370" s="1">
        <v>42494</v>
      </c>
      <c r="C370">
        <v>10252</v>
      </c>
      <c r="D370">
        <v>7.3499999046325701</v>
      </c>
      <c r="E370">
        <v>7.3499999046325701</v>
      </c>
      <c r="F370">
        <v>0</v>
      </c>
      <c r="G370">
        <v>0.67000001668930098</v>
      </c>
      <c r="H370">
        <v>1.03999996185303</v>
      </c>
      <c r="I370">
        <v>5.5799999237060502</v>
      </c>
      <c r="J370">
        <v>0</v>
      </c>
      <c r="K370">
        <v>13</v>
      </c>
      <c r="L370">
        <v>46</v>
      </c>
      <c r="M370">
        <v>346</v>
      </c>
      <c r="N370">
        <v>531</v>
      </c>
      <c r="O370">
        <v>3879</v>
      </c>
    </row>
    <row r="371" spans="1:15">
      <c r="A371">
        <v>4020332650</v>
      </c>
      <c r="B371" s="1">
        <v>42495</v>
      </c>
      <c r="C371">
        <v>11728</v>
      </c>
      <c r="D371">
        <v>8.4300003051757795</v>
      </c>
      <c r="E371">
        <v>8.4300003051757795</v>
      </c>
      <c r="F371">
        <v>0</v>
      </c>
      <c r="G371">
        <v>2.6199998855590798</v>
      </c>
      <c r="H371">
        <v>1.6799999475479099</v>
      </c>
      <c r="I371">
        <v>4.03999996185303</v>
      </c>
      <c r="J371">
        <v>7.0000000298023196E-2</v>
      </c>
      <c r="K371">
        <v>38</v>
      </c>
      <c r="L371">
        <v>42</v>
      </c>
      <c r="M371">
        <v>196</v>
      </c>
      <c r="N371">
        <v>916</v>
      </c>
      <c r="O371">
        <v>3429</v>
      </c>
    </row>
    <row r="372" spans="1:15">
      <c r="A372">
        <v>4020332650</v>
      </c>
      <c r="B372" s="1">
        <v>42496</v>
      </c>
      <c r="C372">
        <v>4369</v>
      </c>
      <c r="D372">
        <v>3.1300001144409202</v>
      </c>
      <c r="E372">
        <v>3.1300001144409202</v>
      </c>
      <c r="F372">
        <v>0</v>
      </c>
      <c r="G372">
        <v>0</v>
      </c>
      <c r="H372">
        <v>0</v>
      </c>
      <c r="I372">
        <v>3.0999999046325701</v>
      </c>
      <c r="J372">
        <v>9.9999997764825804E-3</v>
      </c>
      <c r="K372">
        <v>0</v>
      </c>
      <c r="L372">
        <v>0</v>
      </c>
      <c r="M372">
        <v>177</v>
      </c>
      <c r="N372">
        <v>855</v>
      </c>
      <c r="O372">
        <v>2704</v>
      </c>
    </row>
    <row r="373" spans="1:15">
      <c r="A373">
        <v>4020332650</v>
      </c>
      <c r="B373" s="1">
        <v>42497</v>
      </c>
      <c r="C373">
        <v>6132</v>
      </c>
      <c r="D373">
        <v>4.4000000953674299</v>
      </c>
      <c r="E373">
        <v>4.4000000953674299</v>
      </c>
      <c r="F373">
        <v>0</v>
      </c>
      <c r="G373">
        <v>0</v>
      </c>
      <c r="H373">
        <v>0</v>
      </c>
      <c r="I373">
        <v>3.5799999237060498</v>
      </c>
      <c r="J373">
        <v>0</v>
      </c>
      <c r="K373">
        <v>0</v>
      </c>
      <c r="L373">
        <v>0</v>
      </c>
      <c r="M373">
        <v>184</v>
      </c>
      <c r="N373">
        <v>1256</v>
      </c>
      <c r="O373">
        <v>2975</v>
      </c>
    </row>
    <row r="374" spans="1:15">
      <c r="A374">
        <v>4020332650</v>
      </c>
      <c r="B374" s="1">
        <v>42498</v>
      </c>
      <c r="C374">
        <v>5862</v>
      </c>
      <c r="D374">
        <v>4.1999998092651403</v>
      </c>
      <c r="E374">
        <v>4.1999998092651403</v>
      </c>
      <c r="F374">
        <v>0</v>
      </c>
      <c r="G374">
        <v>0</v>
      </c>
      <c r="H374">
        <v>0</v>
      </c>
      <c r="I374">
        <v>4.1500000953674299</v>
      </c>
      <c r="J374">
        <v>0</v>
      </c>
      <c r="K374">
        <v>0</v>
      </c>
      <c r="L374">
        <v>0</v>
      </c>
      <c r="M374">
        <v>263</v>
      </c>
      <c r="N374">
        <v>775</v>
      </c>
      <c r="O374">
        <v>3089</v>
      </c>
    </row>
    <row r="375" spans="1:15">
      <c r="A375">
        <v>4020332650</v>
      </c>
      <c r="B375" s="1">
        <v>42499</v>
      </c>
      <c r="C375">
        <v>4556</v>
      </c>
      <c r="D375">
        <v>3.2699999809265101</v>
      </c>
      <c r="E375">
        <v>3.2699999809265101</v>
      </c>
      <c r="F375">
        <v>0</v>
      </c>
      <c r="G375">
        <v>0.20000000298023199</v>
      </c>
      <c r="H375">
        <v>0.119999997317791</v>
      </c>
      <c r="I375">
        <v>2.9400000572204599</v>
      </c>
      <c r="J375">
        <v>0</v>
      </c>
      <c r="K375">
        <v>3</v>
      </c>
      <c r="L375">
        <v>5</v>
      </c>
      <c r="M375">
        <v>173</v>
      </c>
      <c r="N375">
        <v>1225</v>
      </c>
      <c r="O375">
        <v>2785</v>
      </c>
    </row>
    <row r="376" spans="1:15">
      <c r="A376">
        <v>4020332650</v>
      </c>
      <c r="B376" s="1">
        <v>42500</v>
      </c>
      <c r="C376">
        <v>5546</v>
      </c>
      <c r="D376">
        <v>3.9800000190734899</v>
      </c>
      <c r="E376">
        <v>3.9800000190734899</v>
      </c>
      <c r="F376">
        <v>0</v>
      </c>
      <c r="G376">
        <v>0</v>
      </c>
      <c r="H376">
        <v>0</v>
      </c>
      <c r="I376">
        <v>3.8699998855590798</v>
      </c>
      <c r="J376">
        <v>3.9999999105930301E-2</v>
      </c>
      <c r="K376">
        <v>0</v>
      </c>
      <c r="L376">
        <v>0</v>
      </c>
      <c r="M376">
        <v>206</v>
      </c>
      <c r="N376">
        <v>774</v>
      </c>
      <c r="O376">
        <v>2926</v>
      </c>
    </row>
    <row r="377" spans="1:15">
      <c r="A377">
        <v>4020332650</v>
      </c>
      <c r="B377" s="1">
        <v>42501</v>
      </c>
      <c r="C377">
        <v>3689</v>
      </c>
      <c r="D377">
        <v>2.6500000953674299</v>
      </c>
      <c r="E377">
        <v>2.6500000953674299</v>
      </c>
      <c r="F377">
        <v>0</v>
      </c>
      <c r="G377">
        <v>0.109999999403954</v>
      </c>
      <c r="H377">
        <v>0.17000000178813901</v>
      </c>
      <c r="I377">
        <v>2.3299999237060498</v>
      </c>
      <c r="J377">
        <v>0</v>
      </c>
      <c r="K377">
        <v>2</v>
      </c>
      <c r="L377">
        <v>8</v>
      </c>
      <c r="M377">
        <v>134</v>
      </c>
      <c r="N377">
        <v>1296</v>
      </c>
      <c r="O377">
        <v>2645</v>
      </c>
    </row>
    <row r="378" spans="1:15">
      <c r="A378">
        <v>4020332650</v>
      </c>
      <c r="B378" s="1">
        <v>42502</v>
      </c>
      <c r="C378">
        <v>590</v>
      </c>
      <c r="D378">
        <v>0.41999998688697798</v>
      </c>
      <c r="E378">
        <v>0.41999998688697798</v>
      </c>
      <c r="F378">
        <v>0</v>
      </c>
      <c r="G378">
        <v>0</v>
      </c>
      <c r="H378">
        <v>0</v>
      </c>
      <c r="I378">
        <v>0.40999999642372098</v>
      </c>
      <c r="J378">
        <v>0</v>
      </c>
      <c r="K378">
        <v>0</v>
      </c>
      <c r="L378">
        <v>0</v>
      </c>
      <c r="M378">
        <v>21</v>
      </c>
      <c r="N378">
        <v>721</v>
      </c>
      <c r="O378">
        <v>1120</v>
      </c>
    </row>
    <row r="379" spans="1:15">
      <c r="A379">
        <v>4057192912</v>
      </c>
      <c r="B379" s="1">
        <v>42472</v>
      </c>
      <c r="C379">
        <v>5394</v>
      </c>
      <c r="D379">
        <v>4.0300002098083496</v>
      </c>
      <c r="E379">
        <v>4.0300002098083496</v>
      </c>
      <c r="F379">
        <v>0</v>
      </c>
      <c r="G379">
        <v>0</v>
      </c>
      <c r="H379">
        <v>0</v>
      </c>
      <c r="I379">
        <v>3.9400000572204599</v>
      </c>
      <c r="J379">
        <v>0</v>
      </c>
      <c r="K379">
        <v>0</v>
      </c>
      <c r="L379">
        <v>0</v>
      </c>
      <c r="M379">
        <v>164</v>
      </c>
      <c r="N379">
        <v>1276</v>
      </c>
      <c r="O379">
        <v>2286</v>
      </c>
    </row>
    <row r="380" spans="1:15">
      <c r="A380">
        <v>4057192912</v>
      </c>
      <c r="B380" s="1">
        <v>42473</v>
      </c>
      <c r="C380">
        <v>5974</v>
      </c>
      <c r="D380">
        <v>4.4699997901916504</v>
      </c>
      <c r="E380">
        <v>4.4699997901916504</v>
      </c>
      <c r="F380">
        <v>0</v>
      </c>
      <c r="G380">
        <v>0</v>
      </c>
      <c r="H380">
        <v>0</v>
      </c>
      <c r="I380">
        <v>4.3699998855590803</v>
      </c>
      <c r="J380">
        <v>0</v>
      </c>
      <c r="K380">
        <v>0</v>
      </c>
      <c r="L380">
        <v>0</v>
      </c>
      <c r="M380">
        <v>160</v>
      </c>
      <c r="N380">
        <v>1280</v>
      </c>
      <c r="O380">
        <v>2306</v>
      </c>
    </row>
    <row r="381" spans="1:15">
      <c r="A381">
        <v>4057192912</v>
      </c>
      <c r="B381" s="1">
        <v>42474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1440</v>
      </c>
      <c r="O381">
        <v>1776</v>
      </c>
    </row>
    <row r="382" spans="1:15">
      <c r="A382">
        <v>4057192912</v>
      </c>
      <c r="B382" s="1">
        <v>42475</v>
      </c>
      <c r="C382">
        <v>3984</v>
      </c>
      <c r="D382">
        <v>2.9500000476837198</v>
      </c>
      <c r="E382">
        <v>2.9500000476837198</v>
      </c>
      <c r="F382">
        <v>0</v>
      </c>
      <c r="G382">
        <v>0.20999999344348899</v>
      </c>
      <c r="H382">
        <v>0.259999990463257</v>
      </c>
      <c r="I382">
        <v>2.4400000572204599</v>
      </c>
      <c r="J382">
        <v>0</v>
      </c>
      <c r="K382">
        <v>3</v>
      </c>
      <c r="L382">
        <v>6</v>
      </c>
      <c r="M382">
        <v>88</v>
      </c>
      <c r="N382">
        <v>873</v>
      </c>
      <c r="O382">
        <v>1527</v>
      </c>
    </row>
    <row r="383" spans="1:15">
      <c r="A383">
        <v>4319703577</v>
      </c>
      <c r="B383" s="1">
        <v>42472</v>
      </c>
      <c r="C383">
        <v>7753</v>
      </c>
      <c r="D383">
        <v>5.1999998092651403</v>
      </c>
      <c r="E383">
        <v>5.1999998092651403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1440</v>
      </c>
      <c r="O383">
        <v>2115</v>
      </c>
    </row>
    <row r="384" spans="1:15">
      <c r="A384">
        <v>4319703577</v>
      </c>
      <c r="B384" s="1">
        <v>42473</v>
      </c>
      <c r="C384">
        <v>8204</v>
      </c>
      <c r="D384">
        <v>5.5</v>
      </c>
      <c r="E384">
        <v>5.5</v>
      </c>
      <c r="F384">
        <v>0</v>
      </c>
      <c r="G384">
        <v>0.52999997138977095</v>
      </c>
      <c r="H384">
        <v>0.58999997377395597</v>
      </c>
      <c r="I384">
        <v>1.3099999427795399</v>
      </c>
      <c r="J384">
        <v>0</v>
      </c>
      <c r="K384">
        <v>8</v>
      </c>
      <c r="L384">
        <v>15</v>
      </c>
      <c r="M384">
        <v>96</v>
      </c>
      <c r="N384">
        <v>1234</v>
      </c>
      <c r="O384">
        <v>2135</v>
      </c>
    </row>
    <row r="385" spans="1:15">
      <c r="A385">
        <v>4319703577</v>
      </c>
      <c r="B385" s="1">
        <v>42474</v>
      </c>
      <c r="C385">
        <v>10210</v>
      </c>
      <c r="D385">
        <v>6.8800001144409197</v>
      </c>
      <c r="E385">
        <v>6.8800001144409197</v>
      </c>
      <c r="F385">
        <v>0</v>
      </c>
      <c r="G385">
        <v>0.109999999403954</v>
      </c>
      <c r="H385">
        <v>0.33000001311302202</v>
      </c>
      <c r="I385">
        <v>6.4400000572204599</v>
      </c>
      <c r="J385">
        <v>0</v>
      </c>
      <c r="K385">
        <v>1</v>
      </c>
      <c r="L385">
        <v>9</v>
      </c>
      <c r="M385">
        <v>339</v>
      </c>
      <c r="N385">
        <v>589</v>
      </c>
      <c r="O385">
        <v>2302</v>
      </c>
    </row>
    <row r="386" spans="1:15">
      <c r="A386">
        <v>4319703577</v>
      </c>
      <c r="B386" s="1">
        <v>42475</v>
      </c>
      <c r="C386">
        <v>5664</v>
      </c>
      <c r="D386">
        <v>3.7999999523162802</v>
      </c>
      <c r="E386">
        <v>3.7999999523162802</v>
      </c>
      <c r="F386">
        <v>0</v>
      </c>
      <c r="G386">
        <v>0</v>
      </c>
      <c r="H386">
        <v>0</v>
      </c>
      <c r="I386">
        <v>3.7999999523162802</v>
      </c>
      <c r="J386">
        <v>0</v>
      </c>
      <c r="K386">
        <v>0</v>
      </c>
      <c r="L386">
        <v>0</v>
      </c>
      <c r="M386">
        <v>228</v>
      </c>
      <c r="N386">
        <v>752</v>
      </c>
      <c r="O386">
        <v>1985</v>
      </c>
    </row>
    <row r="387" spans="1:15">
      <c r="A387">
        <v>4319703577</v>
      </c>
      <c r="B387" s="1">
        <v>42476</v>
      </c>
      <c r="C387">
        <v>4744</v>
      </c>
      <c r="D387">
        <v>3.1800000667571999</v>
      </c>
      <c r="E387">
        <v>3.1800000667571999</v>
      </c>
      <c r="F387">
        <v>0</v>
      </c>
      <c r="G387">
        <v>0</v>
      </c>
      <c r="H387">
        <v>0</v>
      </c>
      <c r="I387">
        <v>3.1800000667571999</v>
      </c>
      <c r="J387">
        <v>0</v>
      </c>
      <c r="K387">
        <v>0</v>
      </c>
      <c r="L387">
        <v>0</v>
      </c>
      <c r="M387">
        <v>194</v>
      </c>
      <c r="N387">
        <v>724</v>
      </c>
      <c r="O387">
        <v>1884</v>
      </c>
    </row>
    <row r="388" spans="1:15">
      <c r="A388">
        <v>4319703577</v>
      </c>
      <c r="B388" s="1">
        <v>42477</v>
      </c>
      <c r="C388">
        <v>29</v>
      </c>
      <c r="D388">
        <v>1.9999999552965199E-2</v>
      </c>
      <c r="E388">
        <v>1.9999999552965199E-2</v>
      </c>
      <c r="F388">
        <v>0</v>
      </c>
      <c r="G388">
        <v>0</v>
      </c>
      <c r="H388">
        <v>0</v>
      </c>
      <c r="I388">
        <v>1.9999999552965199E-2</v>
      </c>
      <c r="J388">
        <v>0</v>
      </c>
      <c r="K388">
        <v>0</v>
      </c>
      <c r="L388">
        <v>0</v>
      </c>
      <c r="M388">
        <v>3</v>
      </c>
      <c r="N388">
        <v>1363</v>
      </c>
      <c r="O388">
        <v>1464</v>
      </c>
    </row>
    <row r="389" spans="1:15">
      <c r="A389">
        <v>4319703577</v>
      </c>
      <c r="B389" s="1">
        <v>42478</v>
      </c>
      <c r="C389">
        <v>2276</v>
      </c>
      <c r="D389">
        <v>1.54999995231628</v>
      </c>
      <c r="E389">
        <v>1.54999995231628</v>
      </c>
      <c r="F389">
        <v>0</v>
      </c>
      <c r="G389">
        <v>7.0000000298023196E-2</v>
      </c>
      <c r="H389">
        <v>0.33000001311302202</v>
      </c>
      <c r="I389">
        <v>1.12000000476837</v>
      </c>
      <c r="J389">
        <v>0</v>
      </c>
      <c r="K389">
        <v>1</v>
      </c>
      <c r="L389">
        <v>9</v>
      </c>
      <c r="M389">
        <v>58</v>
      </c>
      <c r="N389">
        <v>824</v>
      </c>
      <c r="O389">
        <v>1632</v>
      </c>
    </row>
    <row r="390" spans="1:15">
      <c r="A390">
        <v>4319703577</v>
      </c>
      <c r="B390" s="1">
        <v>42479</v>
      </c>
      <c r="C390">
        <v>8925</v>
      </c>
      <c r="D390">
        <v>5.9899997711181596</v>
      </c>
      <c r="E390">
        <v>5.9899997711181596</v>
      </c>
      <c r="F390">
        <v>0</v>
      </c>
      <c r="G390">
        <v>0</v>
      </c>
      <c r="H390">
        <v>0</v>
      </c>
      <c r="I390">
        <v>5.9899997711181596</v>
      </c>
      <c r="J390">
        <v>0</v>
      </c>
      <c r="K390">
        <v>0</v>
      </c>
      <c r="L390">
        <v>0</v>
      </c>
      <c r="M390">
        <v>311</v>
      </c>
      <c r="N390">
        <v>604</v>
      </c>
      <c r="O390">
        <v>2200</v>
      </c>
    </row>
    <row r="391" spans="1:15">
      <c r="A391">
        <v>4319703577</v>
      </c>
      <c r="B391" s="1">
        <v>42480</v>
      </c>
      <c r="C391">
        <v>8954</v>
      </c>
      <c r="D391">
        <v>6.0100002288818404</v>
      </c>
      <c r="E391">
        <v>6.0100002288818404</v>
      </c>
      <c r="F391">
        <v>0</v>
      </c>
      <c r="G391">
        <v>0</v>
      </c>
      <c r="H391">
        <v>0.68000000715255704</v>
      </c>
      <c r="I391">
        <v>5.3099999427795401</v>
      </c>
      <c r="J391">
        <v>0</v>
      </c>
      <c r="K391">
        <v>0</v>
      </c>
      <c r="L391">
        <v>18</v>
      </c>
      <c r="M391">
        <v>306</v>
      </c>
      <c r="N391">
        <v>671</v>
      </c>
      <c r="O391">
        <v>2220</v>
      </c>
    </row>
    <row r="392" spans="1:15">
      <c r="A392">
        <v>4319703577</v>
      </c>
      <c r="B392" s="1">
        <v>42481</v>
      </c>
      <c r="C392">
        <v>3702</v>
      </c>
      <c r="D392">
        <v>2.4800000190734899</v>
      </c>
      <c r="E392">
        <v>2.4800000190734899</v>
      </c>
      <c r="F392">
        <v>0</v>
      </c>
      <c r="G392">
        <v>0</v>
      </c>
      <c r="H392">
        <v>0</v>
      </c>
      <c r="I392">
        <v>0.34999999403953602</v>
      </c>
      <c r="J392">
        <v>0</v>
      </c>
      <c r="K392">
        <v>0</v>
      </c>
      <c r="L392">
        <v>0</v>
      </c>
      <c r="M392">
        <v>34</v>
      </c>
      <c r="N392">
        <v>1265</v>
      </c>
      <c r="O392">
        <v>1792</v>
      </c>
    </row>
    <row r="393" spans="1:15">
      <c r="A393">
        <v>4319703577</v>
      </c>
      <c r="B393" s="1">
        <v>42482</v>
      </c>
      <c r="C393">
        <v>4500</v>
      </c>
      <c r="D393">
        <v>3.0199999809265101</v>
      </c>
      <c r="E393">
        <v>3.0199999809265101</v>
      </c>
      <c r="F393">
        <v>0</v>
      </c>
      <c r="G393">
        <v>5.9999998658895499E-2</v>
      </c>
      <c r="H393">
        <v>0.81000000238418601</v>
      </c>
      <c r="I393">
        <v>2.1500000953674299</v>
      </c>
      <c r="J393">
        <v>0</v>
      </c>
      <c r="K393">
        <v>1</v>
      </c>
      <c r="L393">
        <v>19</v>
      </c>
      <c r="M393">
        <v>176</v>
      </c>
      <c r="N393">
        <v>709</v>
      </c>
      <c r="O393">
        <v>1886</v>
      </c>
    </row>
    <row r="394" spans="1:15">
      <c r="A394">
        <v>4319703577</v>
      </c>
      <c r="B394" s="1">
        <v>42483</v>
      </c>
      <c r="C394">
        <v>4935</v>
      </c>
      <c r="D394">
        <v>3.3099999427795401</v>
      </c>
      <c r="E394">
        <v>3.3099999427795401</v>
      </c>
      <c r="F394">
        <v>0</v>
      </c>
      <c r="G394">
        <v>0</v>
      </c>
      <c r="H394">
        <v>0</v>
      </c>
      <c r="I394">
        <v>3.3099999427795401</v>
      </c>
      <c r="J394">
        <v>0</v>
      </c>
      <c r="K394">
        <v>0</v>
      </c>
      <c r="L394">
        <v>0</v>
      </c>
      <c r="M394">
        <v>233</v>
      </c>
      <c r="N394">
        <v>546</v>
      </c>
      <c r="O394">
        <v>1945</v>
      </c>
    </row>
    <row r="395" spans="1:15">
      <c r="A395">
        <v>4319703577</v>
      </c>
      <c r="B395" s="1">
        <v>42484</v>
      </c>
      <c r="C395">
        <v>4081</v>
      </c>
      <c r="D395">
        <v>2.7400000095367401</v>
      </c>
      <c r="E395">
        <v>2.7400000095367401</v>
      </c>
      <c r="F395">
        <v>0</v>
      </c>
      <c r="G395">
        <v>5.9999998658895499E-2</v>
      </c>
      <c r="H395">
        <v>0.20000000298023199</v>
      </c>
      <c r="I395">
        <v>2.4700000286102299</v>
      </c>
      <c r="J395">
        <v>0</v>
      </c>
      <c r="K395">
        <v>1</v>
      </c>
      <c r="L395">
        <v>5</v>
      </c>
      <c r="M395">
        <v>191</v>
      </c>
      <c r="N395">
        <v>692</v>
      </c>
      <c r="O395">
        <v>1880</v>
      </c>
    </row>
    <row r="396" spans="1:15">
      <c r="A396">
        <v>4319703577</v>
      </c>
      <c r="B396" s="1">
        <v>42485</v>
      </c>
      <c r="C396">
        <v>9259</v>
      </c>
      <c r="D396">
        <v>6.21000003814697</v>
      </c>
      <c r="E396">
        <v>6.21000003814697</v>
      </c>
      <c r="F396">
        <v>0</v>
      </c>
      <c r="G396">
        <v>0</v>
      </c>
      <c r="H396">
        <v>0.28000000119209301</v>
      </c>
      <c r="I396">
        <v>5.9299998283386204</v>
      </c>
      <c r="J396">
        <v>0</v>
      </c>
      <c r="K396">
        <v>0</v>
      </c>
      <c r="L396">
        <v>8</v>
      </c>
      <c r="M396">
        <v>390</v>
      </c>
      <c r="N396">
        <v>544</v>
      </c>
      <c r="O396">
        <v>2314</v>
      </c>
    </row>
    <row r="397" spans="1:15">
      <c r="A397">
        <v>4319703577</v>
      </c>
      <c r="B397" s="1">
        <v>42486</v>
      </c>
      <c r="C397">
        <v>9899</v>
      </c>
      <c r="D397">
        <v>6.6399998664856001</v>
      </c>
      <c r="E397">
        <v>6.6399998664856001</v>
      </c>
      <c r="F397">
        <v>0</v>
      </c>
      <c r="G397">
        <v>0.56999999284744296</v>
      </c>
      <c r="H397">
        <v>0.92000001668930098</v>
      </c>
      <c r="I397">
        <v>5.1500000953674299</v>
      </c>
      <c r="J397">
        <v>0</v>
      </c>
      <c r="K397">
        <v>8</v>
      </c>
      <c r="L397">
        <v>21</v>
      </c>
      <c r="M397">
        <v>288</v>
      </c>
      <c r="N397">
        <v>649</v>
      </c>
      <c r="O397">
        <v>2236</v>
      </c>
    </row>
    <row r="398" spans="1:15">
      <c r="A398">
        <v>4319703577</v>
      </c>
      <c r="B398" s="1">
        <v>42487</v>
      </c>
      <c r="C398">
        <v>10780</v>
      </c>
      <c r="D398">
        <v>7.2300000190734899</v>
      </c>
      <c r="E398">
        <v>7.2300000190734899</v>
      </c>
      <c r="F398">
        <v>0</v>
      </c>
      <c r="G398">
        <v>0.40999999642372098</v>
      </c>
      <c r="H398">
        <v>1.91999995708466</v>
      </c>
      <c r="I398">
        <v>4.9099998474121103</v>
      </c>
      <c r="J398">
        <v>0</v>
      </c>
      <c r="K398">
        <v>6</v>
      </c>
      <c r="L398">
        <v>47</v>
      </c>
      <c r="M398">
        <v>300</v>
      </c>
      <c r="N398">
        <v>680</v>
      </c>
      <c r="O398">
        <v>2324</v>
      </c>
    </row>
    <row r="399" spans="1:15">
      <c r="A399">
        <v>4319703577</v>
      </c>
      <c r="B399" s="1">
        <v>42488</v>
      </c>
      <c r="C399">
        <v>10817</v>
      </c>
      <c r="D399">
        <v>7.2800002098083496</v>
      </c>
      <c r="E399">
        <v>7.2800002098083496</v>
      </c>
      <c r="F399">
        <v>0</v>
      </c>
      <c r="G399">
        <v>1.0099999904632599</v>
      </c>
      <c r="H399">
        <v>0.33000001311302202</v>
      </c>
      <c r="I399">
        <v>5.9400000572204599</v>
      </c>
      <c r="J399">
        <v>0</v>
      </c>
      <c r="K399">
        <v>13</v>
      </c>
      <c r="L399">
        <v>8</v>
      </c>
      <c r="M399">
        <v>359</v>
      </c>
      <c r="N399">
        <v>552</v>
      </c>
      <c r="O399">
        <v>2367</v>
      </c>
    </row>
    <row r="400" spans="1:15">
      <c r="A400">
        <v>4319703577</v>
      </c>
      <c r="B400" s="1">
        <v>42489</v>
      </c>
      <c r="C400">
        <v>7990</v>
      </c>
      <c r="D400">
        <v>5.3600001335143999</v>
      </c>
      <c r="E400">
        <v>5.3600001335143999</v>
      </c>
      <c r="F400">
        <v>0</v>
      </c>
      <c r="G400">
        <v>0.44999998807907099</v>
      </c>
      <c r="H400">
        <v>0.79000002145767201</v>
      </c>
      <c r="I400">
        <v>4.1199998855590803</v>
      </c>
      <c r="J400">
        <v>0</v>
      </c>
      <c r="K400">
        <v>6</v>
      </c>
      <c r="L400">
        <v>18</v>
      </c>
      <c r="M400">
        <v>289</v>
      </c>
      <c r="N400">
        <v>624</v>
      </c>
      <c r="O400">
        <v>2175</v>
      </c>
    </row>
    <row r="401" spans="1:15">
      <c r="A401">
        <v>4319703577</v>
      </c>
      <c r="B401" s="1">
        <v>42490</v>
      </c>
      <c r="C401">
        <v>8221</v>
      </c>
      <c r="D401">
        <v>5.5199999809265101</v>
      </c>
      <c r="E401">
        <v>5.5199999809265101</v>
      </c>
      <c r="F401">
        <v>0</v>
      </c>
      <c r="G401">
        <v>0.40000000596046398</v>
      </c>
      <c r="H401">
        <v>1.6100000143051101</v>
      </c>
      <c r="I401">
        <v>3.5099999904632599</v>
      </c>
      <c r="J401">
        <v>0</v>
      </c>
      <c r="K401">
        <v>6</v>
      </c>
      <c r="L401">
        <v>38</v>
      </c>
      <c r="M401">
        <v>196</v>
      </c>
      <c r="N401">
        <v>695</v>
      </c>
      <c r="O401">
        <v>2092</v>
      </c>
    </row>
    <row r="402" spans="1:15">
      <c r="A402">
        <v>4319703577</v>
      </c>
      <c r="B402" s="1">
        <v>42491</v>
      </c>
      <c r="C402">
        <v>1251</v>
      </c>
      <c r="D402">
        <v>0.83999997377395597</v>
      </c>
      <c r="E402">
        <v>0.83999997377395597</v>
      </c>
      <c r="F402">
        <v>0</v>
      </c>
      <c r="G402">
        <v>0</v>
      </c>
      <c r="H402">
        <v>0</v>
      </c>
      <c r="I402">
        <v>0.83999997377395597</v>
      </c>
      <c r="J402">
        <v>0</v>
      </c>
      <c r="K402">
        <v>0</v>
      </c>
      <c r="L402">
        <v>0</v>
      </c>
      <c r="M402">
        <v>67</v>
      </c>
      <c r="N402">
        <v>836</v>
      </c>
      <c r="O402">
        <v>1593</v>
      </c>
    </row>
    <row r="403" spans="1:15">
      <c r="A403">
        <v>4319703577</v>
      </c>
      <c r="B403" s="1">
        <v>42492</v>
      </c>
      <c r="C403">
        <v>9261</v>
      </c>
      <c r="D403">
        <v>6.2399997711181596</v>
      </c>
      <c r="E403">
        <v>6.2399997711181596</v>
      </c>
      <c r="F403">
        <v>0</v>
      </c>
      <c r="G403">
        <v>0</v>
      </c>
      <c r="H403">
        <v>0.43999999761581399</v>
      </c>
      <c r="I403">
        <v>5.71000003814697</v>
      </c>
      <c r="J403">
        <v>0</v>
      </c>
      <c r="K403">
        <v>0</v>
      </c>
      <c r="L403">
        <v>11</v>
      </c>
      <c r="M403">
        <v>344</v>
      </c>
      <c r="N403">
        <v>585</v>
      </c>
      <c r="O403">
        <v>2270</v>
      </c>
    </row>
    <row r="404" spans="1:15">
      <c r="A404">
        <v>4319703577</v>
      </c>
      <c r="B404" s="1">
        <v>42493</v>
      </c>
      <c r="C404">
        <v>9648</v>
      </c>
      <c r="D404">
        <v>6.4699997901916504</v>
      </c>
      <c r="E404">
        <v>6.4699997901916504</v>
      </c>
      <c r="F404">
        <v>0</v>
      </c>
      <c r="G404">
        <v>0.57999998331069902</v>
      </c>
      <c r="H404">
        <v>1.0700000524520901</v>
      </c>
      <c r="I404">
        <v>4.8299999237060502</v>
      </c>
      <c r="J404">
        <v>0</v>
      </c>
      <c r="K404">
        <v>8</v>
      </c>
      <c r="L404">
        <v>26</v>
      </c>
      <c r="M404">
        <v>287</v>
      </c>
      <c r="N404">
        <v>669</v>
      </c>
      <c r="O404">
        <v>2235</v>
      </c>
    </row>
    <row r="405" spans="1:15">
      <c r="A405">
        <v>4319703577</v>
      </c>
      <c r="B405" s="1">
        <v>42494</v>
      </c>
      <c r="C405">
        <v>10429</v>
      </c>
      <c r="D405">
        <v>7.0199999809265101</v>
      </c>
      <c r="E405">
        <v>7.0199999809265101</v>
      </c>
      <c r="F405">
        <v>0</v>
      </c>
      <c r="G405">
        <v>0.58999997377395597</v>
      </c>
      <c r="H405">
        <v>0.57999998331069902</v>
      </c>
      <c r="I405">
        <v>5.8499999046325701</v>
      </c>
      <c r="J405">
        <v>0</v>
      </c>
      <c r="K405">
        <v>8</v>
      </c>
      <c r="L405">
        <v>13</v>
      </c>
      <c r="M405">
        <v>313</v>
      </c>
      <c r="N405">
        <v>1106</v>
      </c>
      <c r="O405">
        <v>2282</v>
      </c>
    </row>
    <row r="406" spans="1:15">
      <c r="A406">
        <v>4319703577</v>
      </c>
      <c r="B406" s="1">
        <v>42495</v>
      </c>
      <c r="C406">
        <v>13658</v>
      </c>
      <c r="D406">
        <v>9.4899997711181605</v>
      </c>
      <c r="E406">
        <v>9.4899997711181605</v>
      </c>
      <c r="F406">
        <v>0</v>
      </c>
      <c r="G406">
        <v>2.6300001144409202</v>
      </c>
      <c r="H406">
        <v>1.4099999666214</v>
      </c>
      <c r="I406">
        <v>5.4499998092651403</v>
      </c>
      <c r="J406">
        <v>0</v>
      </c>
      <c r="K406">
        <v>27</v>
      </c>
      <c r="L406">
        <v>34</v>
      </c>
      <c r="M406">
        <v>328</v>
      </c>
      <c r="N406">
        <v>957</v>
      </c>
      <c r="O406">
        <v>2530</v>
      </c>
    </row>
    <row r="407" spans="1:15">
      <c r="A407">
        <v>4319703577</v>
      </c>
      <c r="B407" s="1">
        <v>42496</v>
      </c>
      <c r="C407">
        <v>9524</v>
      </c>
      <c r="D407">
        <v>6.4200000762939498</v>
      </c>
      <c r="E407">
        <v>6.4200000762939498</v>
      </c>
      <c r="F407">
        <v>0</v>
      </c>
      <c r="G407">
        <v>0.40999999642372098</v>
      </c>
      <c r="H407">
        <v>0.46999999880790699</v>
      </c>
      <c r="I407">
        <v>5.46000003814697</v>
      </c>
      <c r="J407">
        <v>0</v>
      </c>
      <c r="K407">
        <v>6</v>
      </c>
      <c r="L407">
        <v>11</v>
      </c>
      <c r="M407">
        <v>314</v>
      </c>
      <c r="N407">
        <v>692</v>
      </c>
      <c r="O407">
        <v>2266</v>
      </c>
    </row>
    <row r="408" spans="1:15">
      <c r="A408">
        <v>4319703577</v>
      </c>
      <c r="B408" s="1">
        <v>42497</v>
      </c>
      <c r="C408">
        <v>7937</v>
      </c>
      <c r="D408">
        <v>5.3299999237060502</v>
      </c>
      <c r="E408">
        <v>5.3299999237060502</v>
      </c>
      <c r="F408">
        <v>0</v>
      </c>
      <c r="G408">
        <v>0.18999999761581399</v>
      </c>
      <c r="H408">
        <v>1.04999995231628</v>
      </c>
      <c r="I408">
        <v>4.0799999237060502</v>
      </c>
      <c r="J408">
        <v>0</v>
      </c>
      <c r="K408">
        <v>3</v>
      </c>
      <c r="L408">
        <v>28</v>
      </c>
      <c r="M408">
        <v>279</v>
      </c>
      <c r="N408">
        <v>586</v>
      </c>
      <c r="O408">
        <v>2158</v>
      </c>
    </row>
    <row r="409" spans="1:15">
      <c r="A409">
        <v>4319703577</v>
      </c>
      <c r="B409" s="1">
        <v>42498</v>
      </c>
      <c r="C409">
        <v>3672</v>
      </c>
      <c r="D409">
        <v>2.46000003814697</v>
      </c>
      <c r="E409">
        <v>2.46000003814697</v>
      </c>
      <c r="F409">
        <v>0</v>
      </c>
      <c r="G409">
        <v>0</v>
      </c>
      <c r="H409">
        <v>0</v>
      </c>
      <c r="I409">
        <v>2.46000003814697</v>
      </c>
      <c r="J409">
        <v>0</v>
      </c>
      <c r="K409">
        <v>0</v>
      </c>
      <c r="L409">
        <v>0</v>
      </c>
      <c r="M409">
        <v>153</v>
      </c>
      <c r="N409">
        <v>603</v>
      </c>
      <c r="O409">
        <v>1792</v>
      </c>
    </row>
    <row r="410" spans="1:15">
      <c r="A410">
        <v>4319703577</v>
      </c>
      <c r="B410" s="1">
        <v>42499</v>
      </c>
      <c r="C410">
        <v>10378</v>
      </c>
      <c r="D410">
        <v>6.96000003814697</v>
      </c>
      <c r="E410">
        <v>6.96000003814697</v>
      </c>
      <c r="F410">
        <v>0</v>
      </c>
      <c r="G410">
        <v>0.140000000596046</v>
      </c>
      <c r="H410">
        <v>0.56000000238418601</v>
      </c>
      <c r="I410">
        <v>6.25</v>
      </c>
      <c r="J410">
        <v>0</v>
      </c>
      <c r="K410">
        <v>2</v>
      </c>
      <c r="L410">
        <v>14</v>
      </c>
      <c r="M410">
        <v>374</v>
      </c>
      <c r="N410">
        <v>490</v>
      </c>
      <c r="O410">
        <v>2345</v>
      </c>
    </row>
    <row r="411" spans="1:15">
      <c r="A411">
        <v>4319703577</v>
      </c>
      <c r="B411" s="1">
        <v>42500</v>
      </c>
      <c r="C411">
        <v>9487</v>
      </c>
      <c r="D411">
        <v>6.3699998855590803</v>
      </c>
      <c r="E411">
        <v>6.3699998855590803</v>
      </c>
      <c r="F411">
        <v>0</v>
      </c>
      <c r="G411">
        <v>0.20999999344348899</v>
      </c>
      <c r="H411">
        <v>0.46000000834464999</v>
      </c>
      <c r="I411">
        <v>5.6999998092651403</v>
      </c>
      <c r="J411">
        <v>0</v>
      </c>
      <c r="K411">
        <v>3</v>
      </c>
      <c r="L411">
        <v>12</v>
      </c>
      <c r="M411">
        <v>329</v>
      </c>
      <c r="N411">
        <v>555</v>
      </c>
      <c r="O411">
        <v>2260</v>
      </c>
    </row>
    <row r="412" spans="1:15">
      <c r="A412">
        <v>4319703577</v>
      </c>
      <c r="B412" s="1">
        <v>42501</v>
      </c>
      <c r="C412">
        <v>9129</v>
      </c>
      <c r="D412">
        <v>6.1300001144409197</v>
      </c>
      <c r="E412">
        <v>6.1300001144409197</v>
      </c>
      <c r="F412">
        <v>0</v>
      </c>
      <c r="G412">
        <v>0.20000000298023199</v>
      </c>
      <c r="H412">
        <v>0.74000000953674305</v>
      </c>
      <c r="I412">
        <v>5.1799998283386204</v>
      </c>
      <c r="J412">
        <v>0</v>
      </c>
      <c r="K412">
        <v>3</v>
      </c>
      <c r="L412">
        <v>18</v>
      </c>
      <c r="M412">
        <v>311</v>
      </c>
      <c r="N412">
        <v>574</v>
      </c>
      <c r="O412">
        <v>2232</v>
      </c>
    </row>
    <row r="413" spans="1:15">
      <c r="A413">
        <v>4319703577</v>
      </c>
      <c r="B413" s="1">
        <v>42502</v>
      </c>
      <c r="C413">
        <v>17</v>
      </c>
      <c r="D413">
        <v>9.9999997764825804E-3</v>
      </c>
      <c r="E413">
        <v>9.9999997764825804E-3</v>
      </c>
      <c r="F413">
        <v>0</v>
      </c>
      <c r="G413">
        <v>0</v>
      </c>
      <c r="H413">
        <v>0</v>
      </c>
      <c r="I413">
        <v>9.9999997764825804E-3</v>
      </c>
      <c r="J413">
        <v>0</v>
      </c>
      <c r="K413">
        <v>0</v>
      </c>
      <c r="L413">
        <v>0</v>
      </c>
      <c r="M413">
        <v>2</v>
      </c>
      <c r="N413">
        <v>0</v>
      </c>
      <c r="O413">
        <v>257</v>
      </c>
    </row>
    <row r="414" spans="1:15">
      <c r="A414">
        <v>4388161847</v>
      </c>
      <c r="B414" s="1">
        <v>42472</v>
      </c>
      <c r="C414">
        <v>10122</v>
      </c>
      <c r="D414">
        <v>7.7800002098083496</v>
      </c>
      <c r="E414">
        <v>7.7800002098083496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1440</v>
      </c>
      <c r="O414">
        <v>2955</v>
      </c>
    </row>
    <row r="415" spans="1:15">
      <c r="A415">
        <v>4388161847</v>
      </c>
      <c r="B415" s="1">
        <v>42473</v>
      </c>
      <c r="C415">
        <v>10993</v>
      </c>
      <c r="D415">
        <v>8.4499998092651403</v>
      </c>
      <c r="E415">
        <v>8.4499998092651403</v>
      </c>
      <c r="F415">
        <v>0</v>
      </c>
      <c r="G415">
        <v>5.9999998658895499E-2</v>
      </c>
      <c r="H415">
        <v>0.62999999523162797</v>
      </c>
      <c r="I415">
        <v>3.8800001144409202</v>
      </c>
      <c r="J415">
        <v>0</v>
      </c>
      <c r="K415">
        <v>1</v>
      </c>
      <c r="L415">
        <v>14</v>
      </c>
      <c r="M415">
        <v>150</v>
      </c>
      <c r="N415">
        <v>1275</v>
      </c>
      <c r="O415">
        <v>3092</v>
      </c>
    </row>
    <row r="416" spans="1:15">
      <c r="A416">
        <v>4388161847</v>
      </c>
      <c r="B416" s="1">
        <v>42474</v>
      </c>
      <c r="C416">
        <v>8863</v>
      </c>
      <c r="D416">
        <v>6.8200001716613796</v>
      </c>
      <c r="E416">
        <v>6.8200001716613796</v>
      </c>
      <c r="F416">
        <v>0</v>
      </c>
      <c r="G416">
        <v>0.129999995231628</v>
      </c>
      <c r="H416">
        <v>1.0700000524520901</v>
      </c>
      <c r="I416">
        <v>5.6199998855590803</v>
      </c>
      <c r="J416">
        <v>0</v>
      </c>
      <c r="K416">
        <v>10</v>
      </c>
      <c r="L416">
        <v>35</v>
      </c>
      <c r="M416">
        <v>219</v>
      </c>
      <c r="N416">
        <v>945</v>
      </c>
      <c r="O416">
        <v>2998</v>
      </c>
    </row>
    <row r="417" spans="1:15">
      <c r="A417">
        <v>4388161847</v>
      </c>
      <c r="B417" s="1">
        <v>42475</v>
      </c>
      <c r="C417">
        <v>8758</v>
      </c>
      <c r="D417">
        <v>6.7300000190734899</v>
      </c>
      <c r="E417">
        <v>6.7300000190734899</v>
      </c>
      <c r="F417">
        <v>0</v>
      </c>
      <c r="G417">
        <v>0</v>
      </c>
      <c r="H417">
        <v>0</v>
      </c>
      <c r="I417">
        <v>6.7300000190734899</v>
      </c>
      <c r="J417">
        <v>0</v>
      </c>
      <c r="K417">
        <v>0</v>
      </c>
      <c r="L417">
        <v>0</v>
      </c>
      <c r="M417">
        <v>299</v>
      </c>
      <c r="N417">
        <v>837</v>
      </c>
      <c r="O417">
        <v>3066</v>
      </c>
    </row>
    <row r="418" spans="1:15">
      <c r="A418">
        <v>4388161847</v>
      </c>
      <c r="B418" s="1">
        <v>42476</v>
      </c>
      <c r="C418">
        <v>6580</v>
      </c>
      <c r="D418">
        <v>5.0599999427795401</v>
      </c>
      <c r="E418">
        <v>5.0599999427795401</v>
      </c>
      <c r="F418">
        <v>0</v>
      </c>
      <c r="G418">
        <v>0.20999999344348899</v>
      </c>
      <c r="H418">
        <v>0.40000000596046398</v>
      </c>
      <c r="I418">
        <v>4.4499998092651403</v>
      </c>
      <c r="J418">
        <v>0</v>
      </c>
      <c r="K418">
        <v>6</v>
      </c>
      <c r="L418">
        <v>9</v>
      </c>
      <c r="M418">
        <v>253</v>
      </c>
      <c r="N418">
        <v>609</v>
      </c>
      <c r="O418">
        <v>3073</v>
      </c>
    </row>
    <row r="419" spans="1:15">
      <c r="A419">
        <v>4388161847</v>
      </c>
      <c r="B419" s="1">
        <v>42477</v>
      </c>
      <c r="C419">
        <v>4660</v>
      </c>
      <c r="D419">
        <v>3.5799999237060498</v>
      </c>
      <c r="E419">
        <v>3.5799999237060498</v>
      </c>
      <c r="F419">
        <v>0</v>
      </c>
      <c r="G419">
        <v>0</v>
      </c>
      <c r="H419">
        <v>0</v>
      </c>
      <c r="I419">
        <v>3.5799999237060498</v>
      </c>
      <c r="J419">
        <v>0</v>
      </c>
      <c r="K419">
        <v>0</v>
      </c>
      <c r="L419">
        <v>0</v>
      </c>
      <c r="M419">
        <v>201</v>
      </c>
      <c r="N419">
        <v>721</v>
      </c>
      <c r="O419">
        <v>2572</v>
      </c>
    </row>
    <row r="420" spans="1:15">
      <c r="A420">
        <v>4388161847</v>
      </c>
      <c r="B420" s="1">
        <v>42478</v>
      </c>
      <c r="C420">
        <v>11009</v>
      </c>
      <c r="D420">
        <v>9.1000003814697301</v>
      </c>
      <c r="E420">
        <v>9.1000003814697301</v>
      </c>
      <c r="F420">
        <v>0</v>
      </c>
      <c r="G420">
        <v>3.5599999427795401</v>
      </c>
      <c r="H420">
        <v>0.40000000596046398</v>
      </c>
      <c r="I420">
        <v>5.1399998664856001</v>
      </c>
      <c r="J420">
        <v>0</v>
      </c>
      <c r="K420">
        <v>27</v>
      </c>
      <c r="L420">
        <v>8</v>
      </c>
      <c r="M420">
        <v>239</v>
      </c>
      <c r="N420">
        <v>1017</v>
      </c>
      <c r="O420">
        <v>3274</v>
      </c>
    </row>
    <row r="421" spans="1:15">
      <c r="A421">
        <v>4388161847</v>
      </c>
      <c r="B421" s="1">
        <v>42479</v>
      </c>
      <c r="C421">
        <v>10181</v>
      </c>
      <c r="D421">
        <v>7.8299999237060502</v>
      </c>
      <c r="E421">
        <v>7.8299999237060502</v>
      </c>
      <c r="F421">
        <v>0</v>
      </c>
      <c r="G421">
        <v>1.37000000476837</v>
      </c>
      <c r="H421">
        <v>0.68999999761581399</v>
      </c>
      <c r="I421">
        <v>5.7699999809265101</v>
      </c>
      <c r="J421">
        <v>0</v>
      </c>
      <c r="K421">
        <v>20</v>
      </c>
      <c r="L421">
        <v>16</v>
      </c>
      <c r="M421">
        <v>249</v>
      </c>
      <c r="N421">
        <v>704</v>
      </c>
      <c r="O421">
        <v>3015</v>
      </c>
    </row>
    <row r="422" spans="1:15">
      <c r="A422">
        <v>4388161847</v>
      </c>
      <c r="B422" s="1">
        <v>42480</v>
      </c>
      <c r="C422">
        <v>10553</v>
      </c>
      <c r="D422">
        <v>8.1199998855590803</v>
      </c>
      <c r="E422">
        <v>8.1199998855590803</v>
      </c>
      <c r="F422">
        <v>0</v>
      </c>
      <c r="G422">
        <v>1.1000000238418599</v>
      </c>
      <c r="H422">
        <v>1.7200000286102299</v>
      </c>
      <c r="I422">
        <v>5.28999996185303</v>
      </c>
      <c r="J422">
        <v>0</v>
      </c>
      <c r="K422">
        <v>19</v>
      </c>
      <c r="L422">
        <v>42</v>
      </c>
      <c r="M422">
        <v>228</v>
      </c>
      <c r="N422">
        <v>696</v>
      </c>
      <c r="O422">
        <v>3083</v>
      </c>
    </row>
    <row r="423" spans="1:15">
      <c r="A423">
        <v>4388161847</v>
      </c>
      <c r="B423" s="1">
        <v>42481</v>
      </c>
      <c r="C423">
        <v>10055</v>
      </c>
      <c r="D423">
        <v>7.7300000190734899</v>
      </c>
      <c r="E423">
        <v>7.7300000190734899</v>
      </c>
      <c r="F423">
        <v>0</v>
      </c>
      <c r="G423">
        <v>0.37000000476837203</v>
      </c>
      <c r="H423">
        <v>0.38999998569488498</v>
      </c>
      <c r="I423">
        <v>6.9800000190734899</v>
      </c>
      <c r="J423">
        <v>0</v>
      </c>
      <c r="K423">
        <v>7</v>
      </c>
      <c r="L423">
        <v>12</v>
      </c>
      <c r="M423">
        <v>272</v>
      </c>
      <c r="N423">
        <v>853</v>
      </c>
      <c r="O423">
        <v>3069</v>
      </c>
    </row>
    <row r="424" spans="1:15">
      <c r="A424">
        <v>4388161847</v>
      </c>
      <c r="B424" s="1">
        <v>42482</v>
      </c>
      <c r="C424">
        <v>12139</v>
      </c>
      <c r="D424">
        <v>9.3400001525878906</v>
      </c>
      <c r="E424">
        <v>9.3400001525878906</v>
      </c>
      <c r="F424">
        <v>0</v>
      </c>
      <c r="G424">
        <v>3.2999999523162802</v>
      </c>
      <c r="H424">
        <v>1.1100000143051101</v>
      </c>
      <c r="I424">
        <v>4.9200000762939498</v>
      </c>
      <c r="J424">
        <v>0</v>
      </c>
      <c r="K424">
        <v>77</v>
      </c>
      <c r="L424">
        <v>25</v>
      </c>
      <c r="M424">
        <v>220</v>
      </c>
      <c r="N424">
        <v>945</v>
      </c>
      <c r="O424">
        <v>3544</v>
      </c>
    </row>
    <row r="425" spans="1:15">
      <c r="A425">
        <v>4388161847</v>
      </c>
      <c r="B425" s="1">
        <v>42483</v>
      </c>
      <c r="C425">
        <v>13236</v>
      </c>
      <c r="D425">
        <v>10.180000305175801</v>
      </c>
      <c r="E425">
        <v>10.180000305175801</v>
      </c>
      <c r="F425">
        <v>0</v>
      </c>
      <c r="G425">
        <v>4.5</v>
      </c>
      <c r="H425">
        <v>0.31999999284744302</v>
      </c>
      <c r="I425">
        <v>5.3499999046325701</v>
      </c>
      <c r="J425">
        <v>0</v>
      </c>
      <c r="K425">
        <v>58</v>
      </c>
      <c r="L425">
        <v>5</v>
      </c>
      <c r="M425">
        <v>215</v>
      </c>
      <c r="N425">
        <v>749</v>
      </c>
      <c r="O425">
        <v>3306</v>
      </c>
    </row>
    <row r="426" spans="1:15">
      <c r="A426">
        <v>4388161847</v>
      </c>
      <c r="B426" s="1">
        <v>42484</v>
      </c>
      <c r="C426">
        <v>10243</v>
      </c>
      <c r="D426">
        <v>7.8800001144409197</v>
      </c>
      <c r="E426">
        <v>7.8800001144409197</v>
      </c>
      <c r="F426">
        <v>0</v>
      </c>
      <c r="G426">
        <v>1.08000004291534</v>
      </c>
      <c r="H426">
        <v>0.50999999046325695</v>
      </c>
      <c r="I426">
        <v>6.3000001907348597</v>
      </c>
      <c r="J426">
        <v>0</v>
      </c>
      <c r="K426">
        <v>14</v>
      </c>
      <c r="L426">
        <v>8</v>
      </c>
      <c r="M426">
        <v>239</v>
      </c>
      <c r="N426">
        <v>584</v>
      </c>
      <c r="O426">
        <v>2885</v>
      </c>
    </row>
    <row r="427" spans="1:15">
      <c r="A427">
        <v>4388161847</v>
      </c>
      <c r="B427" s="1">
        <v>42485</v>
      </c>
      <c r="C427">
        <v>12961</v>
      </c>
      <c r="D427">
        <v>9.9700002670288104</v>
      </c>
      <c r="E427">
        <v>9.9700002670288104</v>
      </c>
      <c r="F427">
        <v>0</v>
      </c>
      <c r="G427">
        <v>0.730000019073486</v>
      </c>
      <c r="H427">
        <v>1.3999999761581401</v>
      </c>
      <c r="I427">
        <v>7.8400001525878897</v>
      </c>
      <c r="J427">
        <v>0</v>
      </c>
      <c r="K427">
        <v>11</v>
      </c>
      <c r="L427">
        <v>31</v>
      </c>
      <c r="M427">
        <v>301</v>
      </c>
      <c r="N427">
        <v>1054</v>
      </c>
      <c r="O427">
        <v>3288</v>
      </c>
    </row>
    <row r="428" spans="1:15">
      <c r="A428">
        <v>4388161847</v>
      </c>
      <c r="B428" s="1">
        <v>42486</v>
      </c>
      <c r="C428">
        <v>9461</v>
      </c>
      <c r="D428">
        <v>7.2800002098083496</v>
      </c>
      <c r="E428">
        <v>7.2800002098083496</v>
      </c>
      <c r="F428">
        <v>0</v>
      </c>
      <c r="G428">
        <v>0.93999999761581399</v>
      </c>
      <c r="H428">
        <v>1.0599999427795399</v>
      </c>
      <c r="I428">
        <v>5.2699999809265101</v>
      </c>
      <c r="J428">
        <v>0</v>
      </c>
      <c r="K428">
        <v>14</v>
      </c>
      <c r="L428">
        <v>23</v>
      </c>
      <c r="M428">
        <v>224</v>
      </c>
      <c r="N428">
        <v>673</v>
      </c>
      <c r="O428">
        <v>2929</v>
      </c>
    </row>
    <row r="429" spans="1:15">
      <c r="A429">
        <v>4388161847</v>
      </c>
      <c r="B429" s="1">
        <v>42487</v>
      </c>
      <c r="C429">
        <v>11193</v>
      </c>
      <c r="D429">
        <v>8.6099996566772496</v>
      </c>
      <c r="E429">
        <v>8.6099996566772496</v>
      </c>
      <c r="F429">
        <v>0</v>
      </c>
      <c r="G429">
        <v>0.69999998807907104</v>
      </c>
      <c r="H429">
        <v>2.5099999904632599</v>
      </c>
      <c r="I429">
        <v>5.3899998664856001</v>
      </c>
      <c r="J429">
        <v>0</v>
      </c>
      <c r="K429">
        <v>11</v>
      </c>
      <c r="L429">
        <v>48</v>
      </c>
      <c r="M429">
        <v>241</v>
      </c>
      <c r="N429">
        <v>684</v>
      </c>
      <c r="O429">
        <v>3074</v>
      </c>
    </row>
    <row r="430" spans="1:15">
      <c r="A430">
        <v>4388161847</v>
      </c>
      <c r="B430" s="1">
        <v>42488</v>
      </c>
      <c r="C430">
        <v>10074</v>
      </c>
      <c r="D430">
        <v>7.75</v>
      </c>
      <c r="E430">
        <v>7.75</v>
      </c>
      <c r="F430">
        <v>0</v>
      </c>
      <c r="G430">
        <v>1.28999996185303</v>
      </c>
      <c r="H430">
        <v>0.43000000715255698</v>
      </c>
      <c r="I430">
        <v>6.0300002098083496</v>
      </c>
      <c r="J430">
        <v>0</v>
      </c>
      <c r="K430">
        <v>19</v>
      </c>
      <c r="L430">
        <v>9</v>
      </c>
      <c r="M430">
        <v>234</v>
      </c>
      <c r="N430">
        <v>878</v>
      </c>
      <c r="O430">
        <v>2969</v>
      </c>
    </row>
    <row r="431" spans="1:15">
      <c r="A431">
        <v>4388161847</v>
      </c>
      <c r="B431" s="1">
        <v>42489</v>
      </c>
      <c r="C431">
        <v>9232</v>
      </c>
      <c r="D431">
        <v>7.0999999046325701</v>
      </c>
      <c r="E431">
        <v>7.0999999046325701</v>
      </c>
      <c r="F431">
        <v>0</v>
      </c>
      <c r="G431">
        <v>0.80000001192092896</v>
      </c>
      <c r="H431">
        <v>0.88999998569488503</v>
      </c>
      <c r="I431">
        <v>5.4200000762939498</v>
      </c>
      <c r="J431">
        <v>0</v>
      </c>
      <c r="K431">
        <v>13</v>
      </c>
      <c r="L431">
        <v>16</v>
      </c>
      <c r="M431">
        <v>236</v>
      </c>
      <c r="N431">
        <v>1175</v>
      </c>
      <c r="O431">
        <v>2979</v>
      </c>
    </row>
    <row r="432" spans="1:15">
      <c r="A432">
        <v>4388161847</v>
      </c>
      <c r="B432" s="1">
        <v>42490</v>
      </c>
      <c r="C432">
        <v>12533</v>
      </c>
      <c r="D432">
        <v>9.6400003433227504</v>
      </c>
      <c r="E432">
        <v>9.6400003433227504</v>
      </c>
      <c r="F432">
        <v>0</v>
      </c>
      <c r="G432">
        <v>0.69999998807907104</v>
      </c>
      <c r="H432">
        <v>2</v>
      </c>
      <c r="I432">
        <v>6.9400000572204599</v>
      </c>
      <c r="J432">
        <v>0</v>
      </c>
      <c r="K432">
        <v>14</v>
      </c>
      <c r="L432">
        <v>43</v>
      </c>
      <c r="M432">
        <v>300</v>
      </c>
      <c r="N432">
        <v>537</v>
      </c>
      <c r="O432">
        <v>3283</v>
      </c>
    </row>
    <row r="433" spans="1:15">
      <c r="A433">
        <v>4388161847</v>
      </c>
      <c r="B433" s="1">
        <v>42491</v>
      </c>
      <c r="C433">
        <v>10255</v>
      </c>
      <c r="D433">
        <v>7.8899998664856001</v>
      </c>
      <c r="E433">
        <v>7.8899998664856001</v>
      </c>
      <c r="F433">
        <v>0</v>
      </c>
      <c r="G433">
        <v>1.0099999904632599</v>
      </c>
      <c r="H433">
        <v>0.68000000715255704</v>
      </c>
      <c r="I433">
        <v>6.1999998092651403</v>
      </c>
      <c r="J433">
        <v>0</v>
      </c>
      <c r="K433">
        <v>12</v>
      </c>
      <c r="L433">
        <v>15</v>
      </c>
      <c r="M433">
        <v>241</v>
      </c>
      <c r="N433">
        <v>579</v>
      </c>
      <c r="O433">
        <v>2926</v>
      </c>
    </row>
    <row r="434" spans="1:15">
      <c r="A434">
        <v>4388161847</v>
      </c>
      <c r="B434" s="1">
        <v>42492</v>
      </c>
      <c r="C434">
        <v>10096</v>
      </c>
      <c r="D434">
        <v>8.3999996185302699</v>
      </c>
      <c r="E434">
        <v>8.3999996185302699</v>
      </c>
      <c r="F434">
        <v>0</v>
      </c>
      <c r="G434">
        <v>3.7699999809265101</v>
      </c>
      <c r="H434">
        <v>7.9999998211860698E-2</v>
      </c>
      <c r="I434">
        <v>4.5500001907348597</v>
      </c>
      <c r="J434">
        <v>0</v>
      </c>
      <c r="K434">
        <v>33</v>
      </c>
      <c r="L434">
        <v>4</v>
      </c>
      <c r="M434">
        <v>204</v>
      </c>
      <c r="N434">
        <v>935</v>
      </c>
      <c r="O434">
        <v>3147</v>
      </c>
    </row>
    <row r="435" spans="1:15">
      <c r="A435">
        <v>4388161847</v>
      </c>
      <c r="B435" s="1">
        <v>42493</v>
      </c>
      <c r="C435">
        <v>12727</v>
      </c>
      <c r="D435">
        <v>9.7899999618530291</v>
      </c>
      <c r="E435">
        <v>9.7899999618530291</v>
      </c>
      <c r="F435">
        <v>0</v>
      </c>
      <c r="G435">
        <v>1.12999999523163</v>
      </c>
      <c r="H435">
        <v>0.77999997138977095</v>
      </c>
      <c r="I435">
        <v>7.8800001144409197</v>
      </c>
      <c r="J435">
        <v>0</v>
      </c>
      <c r="K435">
        <v>18</v>
      </c>
      <c r="L435">
        <v>18</v>
      </c>
      <c r="M435">
        <v>306</v>
      </c>
      <c r="N435">
        <v>984</v>
      </c>
      <c r="O435">
        <v>3290</v>
      </c>
    </row>
    <row r="436" spans="1:15">
      <c r="A436">
        <v>4388161847</v>
      </c>
      <c r="B436" s="1">
        <v>42494</v>
      </c>
      <c r="C436">
        <v>12375</v>
      </c>
      <c r="D436">
        <v>9.5200004577636701</v>
      </c>
      <c r="E436">
        <v>9.5200004577636701</v>
      </c>
      <c r="F436">
        <v>0</v>
      </c>
      <c r="G436">
        <v>2.78999996185303</v>
      </c>
      <c r="H436">
        <v>0.93000000715255704</v>
      </c>
      <c r="I436">
        <v>5.8000001907348597</v>
      </c>
      <c r="J436">
        <v>0</v>
      </c>
      <c r="K436">
        <v>35</v>
      </c>
      <c r="L436">
        <v>21</v>
      </c>
      <c r="M436">
        <v>251</v>
      </c>
      <c r="N436">
        <v>632</v>
      </c>
      <c r="O436">
        <v>3162</v>
      </c>
    </row>
    <row r="437" spans="1:15">
      <c r="A437">
        <v>4388161847</v>
      </c>
      <c r="B437" s="1">
        <v>42495</v>
      </c>
      <c r="C437">
        <v>9603</v>
      </c>
      <c r="D437">
        <v>7.3800001144409197</v>
      </c>
      <c r="E437">
        <v>7.3800001144409197</v>
      </c>
      <c r="F437">
        <v>0</v>
      </c>
      <c r="G437">
        <v>0.62999999523162797</v>
      </c>
      <c r="H437">
        <v>1.66999995708466</v>
      </c>
      <c r="I437">
        <v>5.0900001525878897</v>
      </c>
      <c r="J437">
        <v>0</v>
      </c>
      <c r="K437">
        <v>12</v>
      </c>
      <c r="L437">
        <v>39</v>
      </c>
      <c r="M437">
        <v>199</v>
      </c>
      <c r="N437">
        <v>896</v>
      </c>
      <c r="O437">
        <v>2899</v>
      </c>
    </row>
    <row r="438" spans="1:15">
      <c r="A438">
        <v>4388161847</v>
      </c>
      <c r="B438" s="1">
        <v>42496</v>
      </c>
      <c r="C438">
        <v>13175</v>
      </c>
      <c r="D438">
        <v>10.1300001144409</v>
      </c>
      <c r="E438">
        <v>10.1300001144409</v>
      </c>
      <c r="F438">
        <v>0</v>
      </c>
      <c r="G438">
        <v>2.1099998950958301</v>
      </c>
      <c r="H438">
        <v>2.0899999141693102</v>
      </c>
      <c r="I438">
        <v>5.9299998283386204</v>
      </c>
      <c r="J438">
        <v>0</v>
      </c>
      <c r="K438">
        <v>33</v>
      </c>
      <c r="L438">
        <v>45</v>
      </c>
      <c r="M438">
        <v>262</v>
      </c>
      <c r="N438">
        <v>1100</v>
      </c>
      <c r="O438">
        <v>3425</v>
      </c>
    </row>
    <row r="439" spans="1:15">
      <c r="A439">
        <v>4388161847</v>
      </c>
      <c r="B439" s="1">
        <v>42497</v>
      </c>
      <c r="C439">
        <v>22770</v>
      </c>
      <c r="D439">
        <v>17.540000915527301</v>
      </c>
      <c r="E439">
        <v>17.540000915527301</v>
      </c>
      <c r="F439">
        <v>0</v>
      </c>
      <c r="G439">
        <v>9.4499998092651403</v>
      </c>
      <c r="H439">
        <v>2.7699999809265101</v>
      </c>
      <c r="I439">
        <v>5.3299999237060502</v>
      </c>
      <c r="J439">
        <v>0</v>
      </c>
      <c r="K439">
        <v>120</v>
      </c>
      <c r="L439">
        <v>56</v>
      </c>
      <c r="M439">
        <v>260</v>
      </c>
      <c r="N439">
        <v>508</v>
      </c>
      <c r="O439">
        <v>4022</v>
      </c>
    </row>
    <row r="440" spans="1:15">
      <c r="A440">
        <v>4388161847</v>
      </c>
      <c r="B440" s="1">
        <v>42498</v>
      </c>
      <c r="C440">
        <v>17298</v>
      </c>
      <c r="D440">
        <v>14.3800001144409</v>
      </c>
      <c r="E440">
        <v>14.3800001144409</v>
      </c>
      <c r="F440">
        <v>0</v>
      </c>
      <c r="G440">
        <v>9.8900003433227504</v>
      </c>
      <c r="H440">
        <v>1.2599999904632599</v>
      </c>
      <c r="I440">
        <v>3.2300000190734899</v>
      </c>
      <c r="J440">
        <v>0</v>
      </c>
      <c r="K440">
        <v>107</v>
      </c>
      <c r="L440">
        <v>38</v>
      </c>
      <c r="M440">
        <v>178</v>
      </c>
      <c r="N440">
        <v>576</v>
      </c>
      <c r="O440">
        <v>3934</v>
      </c>
    </row>
    <row r="441" spans="1:15">
      <c r="A441">
        <v>4388161847</v>
      </c>
      <c r="B441" s="1">
        <v>42499</v>
      </c>
      <c r="C441">
        <v>10218</v>
      </c>
      <c r="D441">
        <v>7.8600001335143999</v>
      </c>
      <c r="E441">
        <v>7.8600001335143999</v>
      </c>
      <c r="F441">
        <v>0</v>
      </c>
      <c r="G441">
        <v>0.34000000357627902</v>
      </c>
      <c r="H441">
        <v>0.730000019073486</v>
      </c>
      <c r="I441">
        <v>6.78999996185303</v>
      </c>
      <c r="J441">
        <v>0</v>
      </c>
      <c r="K441">
        <v>6</v>
      </c>
      <c r="L441">
        <v>19</v>
      </c>
      <c r="M441">
        <v>258</v>
      </c>
      <c r="N441">
        <v>1020</v>
      </c>
      <c r="O441">
        <v>3013</v>
      </c>
    </row>
    <row r="442" spans="1:15">
      <c r="A442">
        <v>4388161847</v>
      </c>
      <c r="B442" s="1">
        <v>42500</v>
      </c>
      <c r="C442">
        <v>10299</v>
      </c>
      <c r="D442">
        <v>7.9200000762939498</v>
      </c>
      <c r="E442">
        <v>7.9200000762939498</v>
      </c>
      <c r="F442">
        <v>0</v>
      </c>
      <c r="G442">
        <v>0.81000000238418601</v>
      </c>
      <c r="H442">
        <v>0.64999997615814198</v>
      </c>
      <c r="I442">
        <v>6.46000003814697</v>
      </c>
      <c r="J442">
        <v>0</v>
      </c>
      <c r="K442">
        <v>13</v>
      </c>
      <c r="L442">
        <v>14</v>
      </c>
      <c r="M442">
        <v>267</v>
      </c>
      <c r="N442">
        <v>648</v>
      </c>
      <c r="O442">
        <v>3061</v>
      </c>
    </row>
    <row r="443" spans="1:15">
      <c r="A443">
        <v>4388161847</v>
      </c>
      <c r="B443" s="1">
        <v>42501</v>
      </c>
      <c r="C443">
        <v>10201</v>
      </c>
      <c r="D443">
        <v>7.8400001525878897</v>
      </c>
      <c r="E443">
        <v>7.8400001525878897</v>
      </c>
      <c r="F443">
        <v>0</v>
      </c>
      <c r="G443">
        <v>0.52999997138977095</v>
      </c>
      <c r="H443">
        <v>0.79000002145767201</v>
      </c>
      <c r="I443">
        <v>6.5300002098083496</v>
      </c>
      <c r="J443">
        <v>0</v>
      </c>
      <c r="K443">
        <v>8</v>
      </c>
      <c r="L443">
        <v>18</v>
      </c>
      <c r="M443">
        <v>256</v>
      </c>
      <c r="N443">
        <v>858</v>
      </c>
      <c r="O443">
        <v>2954</v>
      </c>
    </row>
    <row r="444" spans="1:15">
      <c r="A444">
        <v>4388161847</v>
      </c>
      <c r="B444" s="1">
        <v>42502</v>
      </c>
      <c r="C444">
        <v>3369</v>
      </c>
      <c r="D444">
        <v>2.5899999141693102</v>
      </c>
      <c r="E444">
        <v>2.5899999141693102</v>
      </c>
      <c r="F444">
        <v>0</v>
      </c>
      <c r="G444">
        <v>0</v>
      </c>
      <c r="H444">
        <v>0</v>
      </c>
      <c r="I444">
        <v>2.5899999141693102</v>
      </c>
      <c r="J444">
        <v>0</v>
      </c>
      <c r="K444">
        <v>0</v>
      </c>
      <c r="L444">
        <v>0</v>
      </c>
      <c r="M444">
        <v>108</v>
      </c>
      <c r="N444">
        <v>825</v>
      </c>
      <c r="O444">
        <v>1623</v>
      </c>
    </row>
    <row r="445" spans="1:15">
      <c r="A445">
        <v>4445114986</v>
      </c>
      <c r="B445" s="1">
        <v>42472</v>
      </c>
      <c r="C445">
        <v>3276</v>
      </c>
      <c r="D445">
        <v>2.2000000476837198</v>
      </c>
      <c r="E445">
        <v>2.2000000476837198</v>
      </c>
      <c r="F445">
        <v>0</v>
      </c>
      <c r="G445">
        <v>0</v>
      </c>
      <c r="H445">
        <v>0</v>
      </c>
      <c r="I445">
        <v>2.2000000476837198</v>
      </c>
      <c r="J445">
        <v>0</v>
      </c>
      <c r="K445">
        <v>0</v>
      </c>
      <c r="L445">
        <v>0</v>
      </c>
      <c r="M445">
        <v>196</v>
      </c>
      <c r="N445">
        <v>787</v>
      </c>
      <c r="O445">
        <v>2113</v>
      </c>
    </row>
    <row r="446" spans="1:15">
      <c r="A446">
        <v>4445114986</v>
      </c>
      <c r="B446" s="1">
        <v>42473</v>
      </c>
      <c r="C446">
        <v>2961</v>
      </c>
      <c r="D446">
        <v>1.9900000095367401</v>
      </c>
      <c r="E446">
        <v>1.9900000095367401</v>
      </c>
      <c r="F446">
        <v>0</v>
      </c>
      <c r="G446">
        <v>0</v>
      </c>
      <c r="H446">
        <v>0</v>
      </c>
      <c r="I446">
        <v>1.9900000095367401</v>
      </c>
      <c r="J446">
        <v>0</v>
      </c>
      <c r="K446">
        <v>0</v>
      </c>
      <c r="L446">
        <v>0</v>
      </c>
      <c r="M446">
        <v>194</v>
      </c>
      <c r="N446">
        <v>840</v>
      </c>
      <c r="O446">
        <v>2095</v>
      </c>
    </row>
    <row r="447" spans="1:15">
      <c r="A447">
        <v>4445114986</v>
      </c>
      <c r="B447" s="1">
        <v>42474</v>
      </c>
      <c r="C447">
        <v>3974</v>
      </c>
      <c r="D447">
        <v>2.6700000762939502</v>
      </c>
      <c r="E447">
        <v>2.6700000762939502</v>
      </c>
      <c r="F447">
        <v>0</v>
      </c>
      <c r="G447">
        <v>0</v>
      </c>
      <c r="H447">
        <v>0</v>
      </c>
      <c r="I447">
        <v>2.6700000762939502</v>
      </c>
      <c r="J447">
        <v>0</v>
      </c>
      <c r="K447">
        <v>0</v>
      </c>
      <c r="L447">
        <v>0</v>
      </c>
      <c r="M447">
        <v>231</v>
      </c>
      <c r="N447">
        <v>717</v>
      </c>
      <c r="O447">
        <v>2194</v>
      </c>
    </row>
    <row r="448" spans="1:15">
      <c r="A448">
        <v>4445114986</v>
      </c>
      <c r="B448" s="1">
        <v>42475</v>
      </c>
      <c r="C448">
        <v>7198</v>
      </c>
      <c r="D448">
        <v>4.8299999237060502</v>
      </c>
      <c r="E448">
        <v>4.8299999237060502</v>
      </c>
      <c r="F448">
        <v>0</v>
      </c>
      <c r="G448">
        <v>0</v>
      </c>
      <c r="H448">
        <v>0</v>
      </c>
      <c r="I448">
        <v>4.8299999237060502</v>
      </c>
      <c r="J448">
        <v>0</v>
      </c>
      <c r="K448">
        <v>0</v>
      </c>
      <c r="L448">
        <v>0</v>
      </c>
      <c r="M448">
        <v>350</v>
      </c>
      <c r="N448">
        <v>711</v>
      </c>
      <c r="O448">
        <v>2496</v>
      </c>
    </row>
    <row r="449" spans="1:15">
      <c r="A449">
        <v>4445114986</v>
      </c>
      <c r="B449" s="1">
        <v>42476</v>
      </c>
      <c r="C449">
        <v>3945</v>
      </c>
      <c r="D449">
        <v>2.6500000953674299</v>
      </c>
      <c r="E449">
        <v>2.6500000953674299</v>
      </c>
      <c r="F449">
        <v>0</v>
      </c>
      <c r="G449">
        <v>0</v>
      </c>
      <c r="H449">
        <v>0</v>
      </c>
      <c r="I449">
        <v>2.6500000953674299</v>
      </c>
      <c r="J449">
        <v>0</v>
      </c>
      <c r="K449">
        <v>0</v>
      </c>
      <c r="L449">
        <v>0</v>
      </c>
      <c r="M449">
        <v>225</v>
      </c>
      <c r="N449">
        <v>716</v>
      </c>
      <c r="O449">
        <v>2180</v>
      </c>
    </row>
    <row r="450" spans="1:15">
      <c r="A450">
        <v>4445114986</v>
      </c>
      <c r="B450" s="1">
        <v>42477</v>
      </c>
      <c r="C450">
        <v>2268</v>
      </c>
      <c r="D450">
        <v>1.5199999809265099</v>
      </c>
      <c r="E450">
        <v>1.5199999809265099</v>
      </c>
      <c r="F450">
        <v>0</v>
      </c>
      <c r="G450">
        <v>0</v>
      </c>
      <c r="H450">
        <v>0</v>
      </c>
      <c r="I450">
        <v>1.5199999809265099</v>
      </c>
      <c r="J450">
        <v>0</v>
      </c>
      <c r="K450">
        <v>0</v>
      </c>
      <c r="L450">
        <v>0</v>
      </c>
      <c r="M450">
        <v>114</v>
      </c>
      <c r="N450">
        <v>1219</v>
      </c>
      <c r="O450">
        <v>1933</v>
      </c>
    </row>
    <row r="451" spans="1:15">
      <c r="A451">
        <v>4445114986</v>
      </c>
      <c r="B451" s="1">
        <v>42478</v>
      </c>
      <c r="C451">
        <v>6155</v>
      </c>
      <c r="D451">
        <v>4.2399997711181596</v>
      </c>
      <c r="E451">
        <v>4.2399997711181596</v>
      </c>
      <c r="F451">
        <v>0</v>
      </c>
      <c r="G451">
        <v>2</v>
      </c>
      <c r="H451">
        <v>0.28999999165535001</v>
      </c>
      <c r="I451">
        <v>1.95000004768372</v>
      </c>
      <c r="J451">
        <v>0</v>
      </c>
      <c r="K451">
        <v>25</v>
      </c>
      <c r="L451">
        <v>6</v>
      </c>
      <c r="M451">
        <v>162</v>
      </c>
      <c r="N451">
        <v>1247</v>
      </c>
      <c r="O451">
        <v>2248</v>
      </c>
    </row>
    <row r="452" spans="1:15">
      <c r="A452">
        <v>4445114986</v>
      </c>
      <c r="B452" s="1">
        <v>42479</v>
      </c>
      <c r="C452">
        <v>2064</v>
      </c>
      <c r="D452">
        <v>1.3899999856948899</v>
      </c>
      <c r="E452">
        <v>1.3899999856948899</v>
      </c>
      <c r="F452">
        <v>0</v>
      </c>
      <c r="G452">
        <v>0</v>
      </c>
      <c r="H452">
        <v>0</v>
      </c>
      <c r="I452">
        <v>1.3899999856948899</v>
      </c>
      <c r="J452">
        <v>0</v>
      </c>
      <c r="K452">
        <v>0</v>
      </c>
      <c r="L452">
        <v>0</v>
      </c>
      <c r="M452">
        <v>121</v>
      </c>
      <c r="N452">
        <v>895</v>
      </c>
      <c r="O452">
        <v>1954</v>
      </c>
    </row>
    <row r="453" spans="1:15">
      <c r="A453">
        <v>4445114986</v>
      </c>
      <c r="B453" s="1">
        <v>42480</v>
      </c>
      <c r="C453">
        <v>2072</v>
      </c>
      <c r="D453">
        <v>1.3899999856948899</v>
      </c>
      <c r="E453">
        <v>1.3899999856948899</v>
      </c>
      <c r="F453">
        <v>0</v>
      </c>
      <c r="G453">
        <v>0</v>
      </c>
      <c r="H453">
        <v>0</v>
      </c>
      <c r="I453">
        <v>1.3899999856948899</v>
      </c>
      <c r="J453">
        <v>0</v>
      </c>
      <c r="K453">
        <v>0</v>
      </c>
      <c r="L453">
        <v>0</v>
      </c>
      <c r="M453">
        <v>137</v>
      </c>
      <c r="N453">
        <v>841</v>
      </c>
      <c r="O453">
        <v>1974</v>
      </c>
    </row>
    <row r="454" spans="1:15">
      <c r="A454">
        <v>4445114986</v>
      </c>
      <c r="B454" s="1">
        <v>42481</v>
      </c>
      <c r="C454">
        <v>3809</v>
      </c>
      <c r="D454">
        <v>2.5599999427795401</v>
      </c>
      <c r="E454">
        <v>2.5599999427795401</v>
      </c>
      <c r="F454">
        <v>0</v>
      </c>
      <c r="G454">
        <v>0</v>
      </c>
      <c r="H454">
        <v>0</v>
      </c>
      <c r="I454">
        <v>2.53999996185303</v>
      </c>
      <c r="J454">
        <v>0</v>
      </c>
      <c r="K454">
        <v>0</v>
      </c>
      <c r="L454">
        <v>0</v>
      </c>
      <c r="M454">
        <v>215</v>
      </c>
      <c r="N454">
        <v>756</v>
      </c>
      <c r="O454">
        <v>2150</v>
      </c>
    </row>
    <row r="455" spans="1:15">
      <c r="A455">
        <v>4445114986</v>
      </c>
      <c r="B455" s="1">
        <v>42482</v>
      </c>
      <c r="C455">
        <v>6831</v>
      </c>
      <c r="D455">
        <v>4.5799999237060502</v>
      </c>
      <c r="E455">
        <v>4.5799999237060502</v>
      </c>
      <c r="F455">
        <v>0</v>
      </c>
      <c r="G455">
        <v>0</v>
      </c>
      <c r="H455">
        <v>0</v>
      </c>
      <c r="I455">
        <v>4.5799999237060502</v>
      </c>
      <c r="J455">
        <v>0</v>
      </c>
      <c r="K455">
        <v>0</v>
      </c>
      <c r="L455">
        <v>0</v>
      </c>
      <c r="M455">
        <v>317</v>
      </c>
      <c r="N455">
        <v>706</v>
      </c>
      <c r="O455">
        <v>2432</v>
      </c>
    </row>
    <row r="456" spans="1:15">
      <c r="A456">
        <v>4445114986</v>
      </c>
      <c r="B456" s="1">
        <v>42483</v>
      </c>
      <c r="C456">
        <v>4363</v>
      </c>
      <c r="D456">
        <v>2.9300000667571999</v>
      </c>
      <c r="E456">
        <v>2.9300000667571999</v>
      </c>
      <c r="F456">
        <v>0</v>
      </c>
      <c r="G456">
        <v>0</v>
      </c>
      <c r="H456">
        <v>0</v>
      </c>
      <c r="I456">
        <v>2.9300000667571999</v>
      </c>
      <c r="J456">
        <v>0</v>
      </c>
      <c r="K456">
        <v>0</v>
      </c>
      <c r="L456">
        <v>0</v>
      </c>
      <c r="M456">
        <v>201</v>
      </c>
      <c r="N456">
        <v>1239</v>
      </c>
      <c r="O456">
        <v>2149</v>
      </c>
    </row>
    <row r="457" spans="1:15">
      <c r="A457">
        <v>4445114986</v>
      </c>
      <c r="B457" s="1">
        <v>42484</v>
      </c>
      <c r="C457">
        <v>5002</v>
      </c>
      <c r="D457">
        <v>3.3599998950958301</v>
      </c>
      <c r="E457">
        <v>3.3599998950958301</v>
      </c>
      <c r="F457">
        <v>0</v>
      </c>
      <c r="G457">
        <v>0</v>
      </c>
      <c r="H457">
        <v>0</v>
      </c>
      <c r="I457">
        <v>3.3599998950958301</v>
      </c>
      <c r="J457">
        <v>0</v>
      </c>
      <c r="K457">
        <v>0</v>
      </c>
      <c r="L457">
        <v>0</v>
      </c>
      <c r="M457">
        <v>244</v>
      </c>
      <c r="N457">
        <v>1196</v>
      </c>
      <c r="O457">
        <v>2247</v>
      </c>
    </row>
    <row r="458" spans="1:15">
      <c r="A458">
        <v>4445114986</v>
      </c>
      <c r="B458" s="1">
        <v>42485</v>
      </c>
      <c r="C458">
        <v>3385</v>
      </c>
      <c r="D458">
        <v>2.2699999809265101</v>
      </c>
      <c r="E458">
        <v>2.2699999809265101</v>
      </c>
      <c r="F458">
        <v>0</v>
      </c>
      <c r="G458">
        <v>0</v>
      </c>
      <c r="H458">
        <v>0</v>
      </c>
      <c r="I458">
        <v>2.2699999809265101</v>
      </c>
      <c r="J458">
        <v>0</v>
      </c>
      <c r="K458">
        <v>0</v>
      </c>
      <c r="L458">
        <v>0</v>
      </c>
      <c r="M458">
        <v>179</v>
      </c>
      <c r="N458">
        <v>916</v>
      </c>
      <c r="O458">
        <v>2070</v>
      </c>
    </row>
    <row r="459" spans="1:15">
      <c r="A459">
        <v>4445114986</v>
      </c>
      <c r="B459" s="1">
        <v>42486</v>
      </c>
      <c r="C459">
        <v>6326</v>
      </c>
      <c r="D459">
        <v>4.4099998474121103</v>
      </c>
      <c r="E459">
        <v>4.4099998474121103</v>
      </c>
      <c r="F459">
        <v>0</v>
      </c>
      <c r="G459">
        <v>2.4100000858306898</v>
      </c>
      <c r="H459">
        <v>3.9999999105930301E-2</v>
      </c>
      <c r="I459">
        <v>1.96000003814697</v>
      </c>
      <c r="J459">
        <v>0</v>
      </c>
      <c r="K459">
        <v>29</v>
      </c>
      <c r="L459">
        <v>1</v>
      </c>
      <c r="M459">
        <v>180</v>
      </c>
      <c r="N459">
        <v>839</v>
      </c>
      <c r="O459">
        <v>2291</v>
      </c>
    </row>
    <row r="460" spans="1:15">
      <c r="A460">
        <v>4445114986</v>
      </c>
      <c r="B460" s="1">
        <v>42487</v>
      </c>
      <c r="C460">
        <v>7243</v>
      </c>
      <c r="D460">
        <v>5.0300002098083496</v>
      </c>
      <c r="E460">
        <v>5.0300002098083496</v>
      </c>
      <c r="F460">
        <v>0</v>
      </c>
      <c r="G460">
        <v>2.6199998855590798</v>
      </c>
      <c r="H460">
        <v>2.9999999329447701E-2</v>
      </c>
      <c r="I460">
        <v>2.3800001144409202</v>
      </c>
      <c r="J460">
        <v>0</v>
      </c>
      <c r="K460">
        <v>32</v>
      </c>
      <c r="L460">
        <v>1</v>
      </c>
      <c r="M460">
        <v>194</v>
      </c>
      <c r="N460">
        <v>839</v>
      </c>
      <c r="O460">
        <v>2361</v>
      </c>
    </row>
    <row r="461" spans="1:15">
      <c r="A461">
        <v>4445114986</v>
      </c>
      <c r="B461" s="1">
        <v>42488</v>
      </c>
      <c r="C461">
        <v>4493</v>
      </c>
      <c r="D461">
        <v>3.0099999904632599</v>
      </c>
      <c r="E461">
        <v>3.0099999904632599</v>
      </c>
      <c r="F461">
        <v>0</v>
      </c>
      <c r="G461">
        <v>0</v>
      </c>
      <c r="H461">
        <v>0</v>
      </c>
      <c r="I461">
        <v>3.0099999904632599</v>
      </c>
      <c r="J461">
        <v>0</v>
      </c>
      <c r="K461">
        <v>0</v>
      </c>
      <c r="L461">
        <v>0</v>
      </c>
      <c r="M461">
        <v>236</v>
      </c>
      <c r="N461">
        <v>762</v>
      </c>
      <c r="O461">
        <v>2203</v>
      </c>
    </row>
    <row r="462" spans="1:15">
      <c r="A462">
        <v>4445114986</v>
      </c>
      <c r="B462" s="1">
        <v>42489</v>
      </c>
      <c r="C462">
        <v>4676</v>
      </c>
      <c r="D462">
        <v>3.1400001049041699</v>
      </c>
      <c r="E462">
        <v>3.1400001049041699</v>
      </c>
      <c r="F462">
        <v>0</v>
      </c>
      <c r="G462">
        <v>0</v>
      </c>
      <c r="H462">
        <v>0</v>
      </c>
      <c r="I462">
        <v>3.1300001144409202</v>
      </c>
      <c r="J462">
        <v>0</v>
      </c>
      <c r="K462">
        <v>0</v>
      </c>
      <c r="L462">
        <v>0</v>
      </c>
      <c r="M462">
        <v>226</v>
      </c>
      <c r="N462">
        <v>1106</v>
      </c>
      <c r="O462">
        <v>2196</v>
      </c>
    </row>
    <row r="463" spans="1:15">
      <c r="A463">
        <v>4445114986</v>
      </c>
      <c r="B463" s="1">
        <v>42490</v>
      </c>
      <c r="C463">
        <v>6222</v>
      </c>
      <c r="D463">
        <v>4.1799998283386204</v>
      </c>
      <c r="E463">
        <v>4.1799998283386204</v>
      </c>
      <c r="F463">
        <v>0</v>
      </c>
      <c r="G463">
        <v>0</v>
      </c>
      <c r="H463">
        <v>0</v>
      </c>
      <c r="I463">
        <v>4.1799998283386204</v>
      </c>
      <c r="J463">
        <v>0</v>
      </c>
      <c r="K463">
        <v>0</v>
      </c>
      <c r="L463">
        <v>0</v>
      </c>
      <c r="M463">
        <v>290</v>
      </c>
      <c r="N463">
        <v>797</v>
      </c>
      <c r="O463">
        <v>2363</v>
      </c>
    </row>
    <row r="464" spans="1:15">
      <c r="A464">
        <v>4445114986</v>
      </c>
      <c r="B464" s="1">
        <v>42491</v>
      </c>
      <c r="C464">
        <v>5232</v>
      </c>
      <c r="D464">
        <v>3.5099999904632599</v>
      </c>
      <c r="E464">
        <v>3.5099999904632599</v>
      </c>
      <c r="F464">
        <v>0</v>
      </c>
      <c r="G464">
        <v>0</v>
      </c>
      <c r="H464">
        <v>0</v>
      </c>
      <c r="I464">
        <v>3.5099999904632599</v>
      </c>
      <c r="J464">
        <v>0</v>
      </c>
      <c r="K464">
        <v>0</v>
      </c>
      <c r="L464">
        <v>0</v>
      </c>
      <c r="M464">
        <v>240</v>
      </c>
      <c r="N464">
        <v>741</v>
      </c>
      <c r="O464">
        <v>2246</v>
      </c>
    </row>
    <row r="465" spans="1:15">
      <c r="A465">
        <v>4445114986</v>
      </c>
      <c r="B465" s="1">
        <v>42492</v>
      </c>
      <c r="C465">
        <v>6910</v>
      </c>
      <c r="D465">
        <v>4.75</v>
      </c>
      <c r="E465">
        <v>4.75</v>
      </c>
      <c r="F465">
        <v>0</v>
      </c>
      <c r="G465">
        <v>2.21000003814697</v>
      </c>
      <c r="H465">
        <v>0.18999999761581399</v>
      </c>
      <c r="I465">
        <v>2.3499999046325701</v>
      </c>
      <c r="J465">
        <v>0</v>
      </c>
      <c r="K465">
        <v>27</v>
      </c>
      <c r="L465">
        <v>4</v>
      </c>
      <c r="M465">
        <v>200</v>
      </c>
      <c r="N465">
        <v>667</v>
      </c>
      <c r="O465">
        <v>2336</v>
      </c>
    </row>
    <row r="466" spans="1:15">
      <c r="A466">
        <v>4445114986</v>
      </c>
      <c r="B466" s="1">
        <v>42493</v>
      </c>
      <c r="C466">
        <v>7502</v>
      </c>
      <c r="D466">
        <v>5.1799998283386204</v>
      </c>
      <c r="E466">
        <v>5.1799998283386204</v>
      </c>
      <c r="F466">
        <v>0</v>
      </c>
      <c r="G466">
        <v>2.4800000190734899</v>
      </c>
      <c r="H466">
        <v>0.109999999403954</v>
      </c>
      <c r="I466">
        <v>2.5799999237060498</v>
      </c>
      <c r="J466">
        <v>0</v>
      </c>
      <c r="K466">
        <v>30</v>
      </c>
      <c r="L466">
        <v>2</v>
      </c>
      <c r="M466">
        <v>233</v>
      </c>
      <c r="N466">
        <v>725</v>
      </c>
      <c r="O466">
        <v>2421</v>
      </c>
    </row>
    <row r="467" spans="1:15">
      <c r="A467">
        <v>4445114986</v>
      </c>
      <c r="B467" s="1">
        <v>42494</v>
      </c>
      <c r="C467">
        <v>2923</v>
      </c>
      <c r="D467">
        <v>1.96000003814697</v>
      </c>
      <c r="E467">
        <v>1.96000003814697</v>
      </c>
      <c r="F467">
        <v>0</v>
      </c>
      <c r="G467">
        <v>0</v>
      </c>
      <c r="H467">
        <v>0</v>
      </c>
      <c r="I467">
        <v>1.96000003814697</v>
      </c>
      <c r="J467">
        <v>0</v>
      </c>
      <c r="K467">
        <v>0</v>
      </c>
      <c r="L467">
        <v>0</v>
      </c>
      <c r="M467">
        <v>180</v>
      </c>
      <c r="N467">
        <v>897</v>
      </c>
      <c r="O467">
        <v>2070</v>
      </c>
    </row>
    <row r="468" spans="1:15">
      <c r="A468">
        <v>4445114986</v>
      </c>
      <c r="B468" s="1">
        <v>42495</v>
      </c>
      <c r="C468">
        <v>3800</v>
      </c>
      <c r="D468">
        <v>2.5499999523162802</v>
      </c>
      <c r="E468">
        <v>2.5499999523162802</v>
      </c>
      <c r="F468">
        <v>0</v>
      </c>
      <c r="G468">
        <v>0.119999997317791</v>
      </c>
      <c r="H468">
        <v>0.239999994635582</v>
      </c>
      <c r="I468">
        <v>2.1800000667571999</v>
      </c>
      <c r="J468">
        <v>0</v>
      </c>
      <c r="K468">
        <v>2</v>
      </c>
      <c r="L468">
        <v>6</v>
      </c>
      <c r="M468">
        <v>185</v>
      </c>
      <c r="N468">
        <v>734</v>
      </c>
      <c r="O468">
        <v>2120</v>
      </c>
    </row>
    <row r="469" spans="1:15">
      <c r="A469">
        <v>4445114986</v>
      </c>
      <c r="B469" s="1">
        <v>42496</v>
      </c>
      <c r="C469">
        <v>4514</v>
      </c>
      <c r="D469">
        <v>3.0299999713897701</v>
      </c>
      <c r="E469">
        <v>3.0299999713897701</v>
      </c>
      <c r="F469">
        <v>0</v>
      </c>
      <c r="G469">
        <v>0</v>
      </c>
      <c r="H469">
        <v>0</v>
      </c>
      <c r="I469">
        <v>3.0299999713897701</v>
      </c>
      <c r="J469">
        <v>0</v>
      </c>
      <c r="K469">
        <v>0</v>
      </c>
      <c r="L469">
        <v>0</v>
      </c>
      <c r="M469">
        <v>229</v>
      </c>
      <c r="N469">
        <v>809</v>
      </c>
      <c r="O469">
        <v>2211</v>
      </c>
    </row>
    <row r="470" spans="1:15">
      <c r="A470">
        <v>4445114986</v>
      </c>
      <c r="B470" s="1">
        <v>42497</v>
      </c>
      <c r="C470">
        <v>5183</v>
      </c>
      <c r="D470">
        <v>3.5899999141693102</v>
      </c>
      <c r="E470">
        <v>3.5899999141693102</v>
      </c>
      <c r="F470">
        <v>0</v>
      </c>
      <c r="G470">
        <v>2.1300001144409202</v>
      </c>
      <c r="H470">
        <v>0.18999999761581399</v>
      </c>
      <c r="I470">
        <v>1.25</v>
      </c>
      <c r="J470">
        <v>0</v>
      </c>
      <c r="K470">
        <v>26</v>
      </c>
      <c r="L470">
        <v>4</v>
      </c>
      <c r="M470">
        <v>108</v>
      </c>
      <c r="N470">
        <v>866</v>
      </c>
      <c r="O470">
        <v>2123</v>
      </c>
    </row>
    <row r="471" spans="1:15">
      <c r="A471">
        <v>4445114986</v>
      </c>
      <c r="B471" s="1">
        <v>42498</v>
      </c>
      <c r="C471">
        <v>7303</v>
      </c>
      <c r="D471">
        <v>4.9000000953674299</v>
      </c>
      <c r="E471">
        <v>4.9000000953674299</v>
      </c>
      <c r="F471">
        <v>0</v>
      </c>
      <c r="G471">
        <v>0</v>
      </c>
      <c r="H471">
        <v>0.25</v>
      </c>
      <c r="I471">
        <v>4.6500000953674299</v>
      </c>
      <c r="J471">
        <v>0</v>
      </c>
      <c r="K471">
        <v>0</v>
      </c>
      <c r="L471">
        <v>8</v>
      </c>
      <c r="M471">
        <v>308</v>
      </c>
      <c r="N471">
        <v>733</v>
      </c>
      <c r="O471">
        <v>2423</v>
      </c>
    </row>
    <row r="472" spans="1:15">
      <c r="A472">
        <v>4445114986</v>
      </c>
      <c r="B472" s="1">
        <v>42499</v>
      </c>
      <c r="C472">
        <v>5275</v>
      </c>
      <c r="D472">
        <v>3.53999996185303</v>
      </c>
      <c r="E472">
        <v>3.53999996185303</v>
      </c>
      <c r="F472">
        <v>0</v>
      </c>
      <c r="G472">
        <v>0</v>
      </c>
      <c r="H472">
        <v>0</v>
      </c>
      <c r="I472">
        <v>3.53999996185303</v>
      </c>
      <c r="J472">
        <v>0</v>
      </c>
      <c r="K472">
        <v>0</v>
      </c>
      <c r="L472">
        <v>0</v>
      </c>
      <c r="M472">
        <v>266</v>
      </c>
      <c r="N472">
        <v>641</v>
      </c>
      <c r="O472">
        <v>2281</v>
      </c>
    </row>
    <row r="473" spans="1:15">
      <c r="A473">
        <v>4445114986</v>
      </c>
      <c r="B473" s="1">
        <v>42500</v>
      </c>
      <c r="C473">
        <v>3915</v>
      </c>
      <c r="D473">
        <v>2.6300001144409202</v>
      </c>
      <c r="E473">
        <v>2.6300001144409202</v>
      </c>
      <c r="F473">
        <v>0</v>
      </c>
      <c r="G473">
        <v>0</v>
      </c>
      <c r="H473">
        <v>0</v>
      </c>
      <c r="I473">
        <v>2.6300001144409202</v>
      </c>
      <c r="J473">
        <v>0</v>
      </c>
      <c r="K473">
        <v>0</v>
      </c>
      <c r="L473">
        <v>0</v>
      </c>
      <c r="M473">
        <v>231</v>
      </c>
      <c r="N473">
        <v>783</v>
      </c>
      <c r="O473">
        <v>2181</v>
      </c>
    </row>
    <row r="474" spans="1:15">
      <c r="A474">
        <v>4445114986</v>
      </c>
      <c r="B474" s="1">
        <v>42501</v>
      </c>
      <c r="C474">
        <v>9105</v>
      </c>
      <c r="D474">
        <v>6.1100001335143999</v>
      </c>
      <c r="E474">
        <v>6.1100001335143999</v>
      </c>
      <c r="F474">
        <v>0</v>
      </c>
      <c r="G474">
        <v>2.25</v>
      </c>
      <c r="H474">
        <v>1</v>
      </c>
      <c r="I474">
        <v>2.8599998950958301</v>
      </c>
      <c r="J474">
        <v>0</v>
      </c>
      <c r="K474">
        <v>34</v>
      </c>
      <c r="L474">
        <v>22</v>
      </c>
      <c r="M474">
        <v>232</v>
      </c>
      <c r="N474">
        <v>622</v>
      </c>
      <c r="O474">
        <v>2499</v>
      </c>
    </row>
    <row r="475" spans="1:15">
      <c r="A475">
        <v>4445114986</v>
      </c>
      <c r="B475" s="1">
        <v>42502</v>
      </c>
      <c r="C475">
        <v>768</v>
      </c>
      <c r="D475">
        <v>0.519999980926514</v>
      </c>
      <c r="E475">
        <v>0.519999980926514</v>
      </c>
      <c r="F475">
        <v>0</v>
      </c>
      <c r="G475">
        <v>0</v>
      </c>
      <c r="H475">
        <v>0</v>
      </c>
      <c r="I475">
        <v>0.519999980926514</v>
      </c>
      <c r="J475">
        <v>0</v>
      </c>
      <c r="K475">
        <v>0</v>
      </c>
      <c r="L475">
        <v>0</v>
      </c>
      <c r="M475">
        <v>58</v>
      </c>
      <c r="N475">
        <v>380</v>
      </c>
      <c r="O475">
        <v>1212</v>
      </c>
    </row>
    <row r="476" spans="1:15">
      <c r="A476">
        <v>4558609924</v>
      </c>
      <c r="B476" s="1">
        <v>42472</v>
      </c>
      <c r="C476">
        <v>5135</v>
      </c>
      <c r="D476">
        <v>3.3900001049041699</v>
      </c>
      <c r="E476">
        <v>3.3900001049041699</v>
      </c>
      <c r="F476">
        <v>0</v>
      </c>
      <c r="G476">
        <v>0</v>
      </c>
      <c r="H476">
        <v>0</v>
      </c>
      <c r="I476">
        <v>3.3900001049041699</v>
      </c>
      <c r="J476">
        <v>0</v>
      </c>
      <c r="K476">
        <v>0</v>
      </c>
      <c r="L476">
        <v>0</v>
      </c>
      <c r="M476">
        <v>318</v>
      </c>
      <c r="N476">
        <v>1122</v>
      </c>
      <c r="O476">
        <v>1909</v>
      </c>
    </row>
    <row r="477" spans="1:15">
      <c r="A477">
        <v>4558609924</v>
      </c>
      <c r="B477" s="1">
        <v>42473</v>
      </c>
      <c r="C477">
        <v>4978</v>
      </c>
      <c r="D477">
        <v>3.28999996185303</v>
      </c>
      <c r="E477">
        <v>3.28999996185303</v>
      </c>
      <c r="F477">
        <v>0</v>
      </c>
      <c r="G477">
        <v>1.2400000095367401</v>
      </c>
      <c r="H477">
        <v>0.43999999761581399</v>
      </c>
      <c r="I477">
        <v>1.6100000143051101</v>
      </c>
      <c r="J477">
        <v>0</v>
      </c>
      <c r="K477">
        <v>19</v>
      </c>
      <c r="L477">
        <v>7</v>
      </c>
      <c r="M477">
        <v>127</v>
      </c>
      <c r="N477">
        <v>1287</v>
      </c>
      <c r="O477">
        <v>1722</v>
      </c>
    </row>
    <row r="478" spans="1:15">
      <c r="A478">
        <v>4558609924</v>
      </c>
      <c r="B478" s="1">
        <v>42474</v>
      </c>
      <c r="C478">
        <v>6799</v>
      </c>
      <c r="D478">
        <v>4.4899997711181596</v>
      </c>
      <c r="E478">
        <v>4.4899997711181596</v>
      </c>
      <c r="F478">
        <v>0</v>
      </c>
      <c r="G478">
        <v>0</v>
      </c>
      <c r="H478">
        <v>0</v>
      </c>
      <c r="I478">
        <v>4.4899997711181596</v>
      </c>
      <c r="J478">
        <v>0</v>
      </c>
      <c r="K478">
        <v>0</v>
      </c>
      <c r="L478">
        <v>0</v>
      </c>
      <c r="M478">
        <v>279</v>
      </c>
      <c r="N478">
        <v>1161</v>
      </c>
      <c r="O478">
        <v>1922</v>
      </c>
    </row>
    <row r="479" spans="1:15">
      <c r="A479">
        <v>4558609924</v>
      </c>
      <c r="B479" s="1">
        <v>42475</v>
      </c>
      <c r="C479">
        <v>7795</v>
      </c>
      <c r="D479">
        <v>5.1500000953674299</v>
      </c>
      <c r="E479">
        <v>5.1500000953674299</v>
      </c>
      <c r="F479">
        <v>0</v>
      </c>
      <c r="G479">
        <v>0.58999997377395597</v>
      </c>
      <c r="H479">
        <v>0.83999997377395597</v>
      </c>
      <c r="I479">
        <v>3.7300000190734899</v>
      </c>
      <c r="J479">
        <v>0</v>
      </c>
      <c r="K479">
        <v>17</v>
      </c>
      <c r="L479">
        <v>30</v>
      </c>
      <c r="M479">
        <v>262</v>
      </c>
      <c r="N479">
        <v>1131</v>
      </c>
      <c r="O479">
        <v>2121</v>
      </c>
    </row>
    <row r="480" spans="1:15">
      <c r="A480">
        <v>4558609924</v>
      </c>
      <c r="B480" s="1">
        <v>42476</v>
      </c>
      <c r="C480">
        <v>7289</v>
      </c>
      <c r="D480">
        <v>4.8200001716613796</v>
      </c>
      <c r="E480">
        <v>4.8200001716613796</v>
      </c>
      <c r="F480">
        <v>0</v>
      </c>
      <c r="G480">
        <v>0.55000001192092896</v>
      </c>
      <c r="H480">
        <v>0.75</v>
      </c>
      <c r="I480">
        <v>3.5</v>
      </c>
      <c r="J480">
        <v>0</v>
      </c>
      <c r="K480">
        <v>8</v>
      </c>
      <c r="L480">
        <v>12</v>
      </c>
      <c r="M480">
        <v>308</v>
      </c>
      <c r="N480">
        <v>1112</v>
      </c>
      <c r="O480">
        <v>1997</v>
      </c>
    </row>
    <row r="481" spans="1:15">
      <c r="A481">
        <v>4558609924</v>
      </c>
      <c r="B481" s="1">
        <v>42477</v>
      </c>
      <c r="C481">
        <v>9634</v>
      </c>
      <c r="D481">
        <v>6.4000000953674299</v>
      </c>
      <c r="E481">
        <v>6.4000000953674299</v>
      </c>
      <c r="F481">
        <v>0</v>
      </c>
      <c r="G481">
        <v>0.55000001192092896</v>
      </c>
      <c r="H481">
        <v>1.1399999856948899</v>
      </c>
      <c r="I481">
        <v>4.71000003814697</v>
      </c>
      <c r="J481">
        <v>0</v>
      </c>
      <c r="K481">
        <v>7</v>
      </c>
      <c r="L481">
        <v>19</v>
      </c>
      <c r="M481">
        <v>304</v>
      </c>
      <c r="N481">
        <v>1110</v>
      </c>
      <c r="O481">
        <v>2117</v>
      </c>
    </row>
    <row r="482" spans="1:15">
      <c r="A482">
        <v>4558609924</v>
      </c>
      <c r="B482" s="1">
        <v>42478</v>
      </c>
      <c r="C482">
        <v>8940</v>
      </c>
      <c r="D482">
        <v>5.9099998474121103</v>
      </c>
      <c r="E482">
        <v>5.9099998474121103</v>
      </c>
      <c r="F482">
        <v>0</v>
      </c>
      <c r="G482">
        <v>0.980000019073486</v>
      </c>
      <c r="H482">
        <v>0.93000000715255704</v>
      </c>
      <c r="I482">
        <v>4</v>
      </c>
      <c r="J482">
        <v>0</v>
      </c>
      <c r="K482">
        <v>14</v>
      </c>
      <c r="L482">
        <v>15</v>
      </c>
      <c r="M482">
        <v>331</v>
      </c>
      <c r="N482">
        <v>1080</v>
      </c>
      <c r="O482">
        <v>2116</v>
      </c>
    </row>
    <row r="483" spans="1:15">
      <c r="A483">
        <v>4558609924</v>
      </c>
      <c r="B483" s="1">
        <v>42479</v>
      </c>
      <c r="C483">
        <v>5401</v>
      </c>
      <c r="D483">
        <v>3.5699999332428001</v>
      </c>
      <c r="E483">
        <v>3.5699999332428001</v>
      </c>
      <c r="F483">
        <v>0</v>
      </c>
      <c r="G483">
        <v>5.0000000745058101E-2</v>
      </c>
      <c r="H483">
        <v>0.36000001430511502</v>
      </c>
      <c r="I483">
        <v>3.1600000858306898</v>
      </c>
      <c r="J483">
        <v>0</v>
      </c>
      <c r="K483">
        <v>1</v>
      </c>
      <c r="L483">
        <v>9</v>
      </c>
      <c r="M483">
        <v>248</v>
      </c>
      <c r="N483">
        <v>1182</v>
      </c>
      <c r="O483">
        <v>1876</v>
      </c>
    </row>
    <row r="484" spans="1:15">
      <c r="A484">
        <v>4558609924</v>
      </c>
      <c r="B484" s="1">
        <v>42480</v>
      </c>
      <c r="C484">
        <v>4803</v>
      </c>
      <c r="D484">
        <v>3.1700000762939502</v>
      </c>
      <c r="E484">
        <v>3.1700000762939502</v>
      </c>
      <c r="F484">
        <v>0</v>
      </c>
      <c r="G484">
        <v>0</v>
      </c>
      <c r="H484">
        <v>0</v>
      </c>
      <c r="I484">
        <v>3.1700000762939502</v>
      </c>
      <c r="J484">
        <v>0</v>
      </c>
      <c r="K484">
        <v>0</v>
      </c>
      <c r="L484">
        <v>0</v>
      </c>
      <c r="M484">
        <v>222</v>
      </c>
      <c r="N484">
        <v>1218</v>
      </c>
      <c r="O484">
        <v>1788</v>
      </c>
    </row>
    <row r="485" spans="1:15">
      <c r="A485">
        <v>4558609924</v>
      </c>
      <c r="B485" s="1">
        <v>42481</v>
      </c>
      <c r="C485">
        <v>13743</v>
      </c>
      <c r="D485">
        <v>9.0799999237060494</v>
      </c>
      <c r="E485">
        <v>9.0799999237060494</v>
      </c>
      <c r="F485">
        <v>0</v>
      </c>
      <c r="G485">
        <v>0.41999998688697798</v>
      </c>
      <c r="H485">
        <v>0.97000002861022905</v>
      </c>
      <c r="I485">
        <v>7.6999998092651403</v>
      </c>
      <c r="J485">
        <v>0</v>
      </c>
      <c r="K485">
        <v>6</v>
      </c>
      <c r="L485">
        <v>21</v>
      </c>
      <c r="M485">
        <v>432</v>
      </c>
      <c r="N485">
        <v>844</v>
      </c>
      <c r="O485">
        <v>2486</v>
      </c>
    </row>
    <row r="486" spans="1:15">
      <c r="A486">
        <v>4558609924</v>
      </c>
      <c r="B486" s="1">
        <v>42482</v>
      </c>
      <c r="C486">
        <v>9601</v>
      </c>
      <c r="D486">
        <v>6.3499999046325701</v>
      </c>
      <c r="E486">
        <v>6.3499999046325701</v>
      </c>
      <c r="F486">
        <v>0</v>
      </c>
      <c r="G486">
        <v>1.37000000476837</v>
      </c>
      <c r="H486">
        <v>1.5</v>
      </c>
      <c r="I486">
        <v>3.4700000286102299</v>
      </c>
      <c r="J486">
        <v>0</v>
      </c>
      <c r="K486">
        <v>20</v>
      </c>
      <c r="L486">
        <v>25</v>
      </c>
      <c r="M486">
        <v>273</v>
      </c>
      <c r="N486">
        <v>1122</v>
      </c>
      <c r="O486">
        <v>2094</v>
      </c>
    </row>
    <row r="487" spans="1:15">
      <c r="A487">
        <v>4558609924</v>
      </c>
      <c r="B487" s="1">
        <v>42483</v>
      </c>
      <c r="C487">
        <v>6890</v>
      </c>
      <c r="D487">
        <v>4.5500001907348597</v>
      </c>
      <c r="E487">
        <v>4.5500001907348597</v>
      </c>
      <c r="F487">
        <v>0</v>
      </c>
      <c r="G487">
        <v>0.34000000357627902</v>
      </c>
      <c r="H487">
        <v>0.20000000298023199</v>
      </c>
      <c r="I487">
        <v>4.0100002288818404</v>
      </c>
      <c r="J487">
        <v>0</v>
      </c>
      <c r="K487">
        <v>5</v>
      </c>
      <c r="L487">
        <v>5</v>
      </c>
      <c r="M487">
        <v>308</v>
      </c>
      <c r="N487">
        <v>1122</v>
      </c>
      <c r="O487">
        <v>2085</v>
      </c>
    </row>
    <row r="488" spans="1:15">
      <c r="A488">
        <v>4558609924</v>
      </c>
      <c r="B488" s="1">
        <v>42484</v>
      </c>
      <c r="C488">
        <v>8563</v>
      </c>
      <c r="D488">
        <v>5.6599998474121103</v>
      </c>
      <c r="E488">
        <v>5.6599998474121103</v>
      </c>
      <c r="F488">
        <v>0</v>
      </c>
      <c r="G488">
        <v>0</v>
      </c>
      <c r="H488">
        <v>0</v>
      </c>
      <c r="I488">
        <v>5.6500000953674299</v>
      </c>
      <c r="J488">
        <v>0</v>
      </c>
      <c r="K488">
        <v>0</v>
      </c>
      <c r="L488">
        <v>0</v>
      </c>
      <c r="M488">
        <v>395</v>
      </c>
      <c r="N488">
        <v>1045</v>
      </c>
      <c r="O488">
        <v>2173</v>
      </c>
    </row>
    <row r="489" spans="1:15">
      <c r="A489">
        <v>4558609924</v>
      </c>
      <c r="B489" s="1">
        <v>42485</v>
      </c>
      <c r="C489">
        <v>8095</v>
      </c>
      <c r="D489">
        <v>5.3499999046325701</v>
      </c>
      <c r="E489">
        <v>5.3499999046325701</v>
      </c>
      <c r="F489">
        <v>0</v>
      </c>
      <c r="G489">
        <v>0.58999997377395597</v>
      </c>
      <c r="H489">
        <v>0.25</v>
      </c>
      <c r="I489">
        <v>4.5100002288818404</v>
      </c>
      <c r="J489">
        <v>0</v>
      </c>
      <c r="K489">
        <v>18</v>
      </c>
      <c r="L489">
        <v>10</v>
      </c>
      <c r="M489">
        <v>340</v>
      </c>
      <c r="N489">
        <v>993</v>
      </c>
      <c r="O489">
        <v>2225</v>
      </c>
    </row>
    <row r="490" spans="1:15">
      <c r="A490">
        <v>4558609924</v>
      </c>
      <c r="B490" s="1">
        <v>42486</v>
      </c>
      <c r="C490">
        <v>9148</v>
      </c>
      <c r="D490">
        <v>6.0500001907348597</v>
      </c>
      <c r="E490">
        <v>6.0500001907348597</v>
      </c>
      <c r="F490">
        <v>0</v>
      </c>
      <c r="G490">
        <v>0.43000000715255698</v>
      </c>
      <c r="H490">
        <v>2.0299999713897701</v>
      </c>
      <c r="I490">
        <v>3.5899999141693102</v>
      </c>
      <c r="J490">
        <v>0</v>
      </c>
      <c r="K490">
        <v>12</v>
      </c>
      <c r="L490">
        <v>41</v>
      </c>
      <c r="M490">
        <v>283</v>
      </c>
      <c r="N490">
        <v>1062</v>
      </c>
      <c r="O490">
        <v>2223</v>
      </c>
    </row>
    <row r="491" spans="1:15">
      <c r="A491">
        <v>4558609924</v>
      </c>
      <c r="B491" s="1">
        <v>42487</v>
      </c>
      <c r="C491">
        <v>9557</v>
      </c>
      <c r="D491">
        <v>6.3200001716613796</v>
      </c>
      <c r="E491">
        <v>6.3200001716613796</v>
      </c>
      <c r="F491">
        <v>0</v>
      </c>
      <c r="G491">
        <v>1.96000003814697</v>
      </c>
      <c r="H491">
        <v>0.88999998569488503</v>
      </c>
      <c r="I491">
        <v>3.46000003814697</v>
      </c>
      <c r="J491">
        <v>0</v>
      </c>
      <c r="K491">
        <v>27</v>
      </c>
      <c r="L491">
        <v>14</v>
      </c>
      <c r="M491">
        <v>312</v>
      </c>
      <c r="N491">
        <v>1087</v>
      </c>
      <c r="O491">
        <v>2098</v>
      </c>
    </row>
    <row r="492" spans="1:15">
      <c r="A492">
        <v>4558609924</v>
      </c>
      <c r="B492" s="1">
        <v>42488</v>
      </c>
      <c r="C492">
        <v>9451</v>
      </c>
      <c r="D492">
        <v>6.25</v>
      </c>
      <c r="E492">
        <v>6.25</v>
      </c>
      <c r="F492">
        <v>0</v>
      </c>
      <c r="G492">
        <v>1.9999999552965199E-2</v>
      </c>
      <c r="H492">
        <v>0.270000010728836</v>
      </c>
      <c r="I492">
        <v>5.9499998092651403</v>
      </c>
      <c r="J492">
        <v>0</v>
      </c>
      <c r="K492">
        <v>1</v>
      </c>
      <c r="L492">
        <v>11</v>
      </c>
      <c r="M492">
        <v>367</v>
      </c>
      <c r="N492">
        <v>985</v>
      </c>
      <c r="O492">
        <v>2185</v>
      </c>
    </row>
    <row r="493" spans="1:15">
      <c r="A493">
        <v>4558609924</v>
      </c>
      <c r="B493" s="1">
        <v>42489</v>
      </c>
      <c r="C493">
        <v>7833</v>
      </c>
      <c r="D493">
        <v>5.1799998283386204</v>
      </c>
      <c r="E493">
        <v>5.1799998283386204</v>
      </c>
      <c r="F493">
        <v>0</v>
      </c>
      <c r="G493">
        <v>1.0199999809265099</v>
      </c>
      <c r="H493">
        <v>1.8500000238418599</v>
      </c>
      <c r="I493">
        <v>2.3099999427795401</v>
      </c>
      <c r="J493">
        <v>0</v>
      </c>
      <c r="K493">
        <v>15</v>
      </c>
      <c r="L493">
        <v>29</v>
      </c>
      <c r="M493">
        <v>197</v>
      </c>
      <c r="N493">
        <v>1096</v>
      </c>
      <c r="O493">
        <v>1918</v>
      </c>
    </row>
    <row r="494" spans="1:15">
      <c r="A494">
        <v>4558609924</v>
      </c>
      <c r="B494" s="1">
        <v>42490</v>
      </c>
      <c r="C494">
        <v>10319</v>
      </c>
      <c r="D494">
        <v>6.8200001716613796</v>
      </c>
      <c r="E494">
        <v>6.8200001716613796</v>
      </c>
      <c r="F494">
        <v>0</v>
      </c>
      <c r="G494">
        <v>0.46999999880790699</v>
      </c>
      <c r="H494">
        <v>1.8899999856948899</v>
      </c>
      <c r="I494">
        <v>4.46000003814697</v>
      </c>
      <c r="J494">
        <v>0</v>
      </c>
      <c r="K494">
        <v>7</v>
      </c>
      <c r="L494">
        <v>29</v>
      </c>
      <c r="M494">
        <v>293</v>
      </c>
      <c r="N494">
        <v>1111</v>
      </c>
      <c r="O494">
        <v>2105</v>
      </c>
    </row>
    <row r="495" spans="1:15">
      <c r="A495">
        <v>4558609924</v>
      </c>
      <c r="B495" s="1">
        <v>42491</v>
      </c>
      <c r="C495">
        <v>3428</v>
      </c>
      <c r="D495">
        <v>2.2699999809265101</v>
      </c>
      <c r="E495">
        <v>2.2699999809265101</v>
      </c>
      <c r="F495">
        <v>0</v>
      </c>
      <c r="G495">
        <v>0</v>
      </c>
      <c r="H495">
        <v>0</v>
      </c>
      <c r="I495">
        <v>2.2699999809265101</v>
      </c>
      <c r="J495">
        <v>0</v>
      </c>
      <c r="K495">
        <v>0</v>
      </c>
      <c r="L495">
        <v>0</v>
      </c>
      <c r="M495">
        <v>190</v>
      </c>
      <c r="N495">
        <v>1121</v>
      </c>
      <c r="O495">
        <v>1692</v>
      </c>
    </row>
    <row r="496" spans="1:15">
      <c r="A496">
        <v>4558609924</v>
      </c>
      <c r="B496" s="1">
        <v>42492</v>
      </c>
      <c r="C496">
        <v>7891</v>
      </c>
      <c r="D496">
        <v>5.2199997901916504</v>
      </c>
      <c r="E496">
        <v>5.2199997901916504</v>
      </c>
      <c r="F496">
        <v>0</v>
      </c>
      <c r="G496">
        <v>0</v>
      </c>
      <c r="H496">
        <v>0</v>
      </c>
      <c r="I496">
        <v>5.2199997901916504</v>
      </c>
      <c r="J496">
        <v>0</v>
      </c>
      <c r="K496">
        <v>0</v>
      </c>
      <c r="L496">
        <v>0</v>
      </c>
      <c r="M496">
        <v>383</v>
      </c>
      <c r="N496">
        <v>1057</v>
      </c>
      <c r="O496">
        <v>2066</v>
      </c>
    </row>
    <row r="497" spans="1:15">
      <c r="A497">
        <v>4558609924</v>
      </c>
      <c r="B497" s="1">
        <v>42493</v>
      </c>
      <c r="C497">
        <v>5267</v>
      </c>
      <c r="D497">
        <v>3.4800000190734899</v>
      </c>
      <c r="E497">
        <v>3.4800000190734899</v>
      </c>
      <c r="F497">
        <v>0</v>
      </c>
      <c r="G497">
        <v>0.60000002384185802</v>
      </c>
      <c r="H497">
        <v>0.28000000119209301</v>
      </c>
      <c r="I497">
        <v>2.5999999046325701</v>
      </c>
      <c r="J497">
        <v>0</v>
      </c>
      <c r="K497">
        <v>21</v>
      </c>
      <c r="L497">
        <v>10</v>
      </c>
      <c r="M497">
        <v>237</v>
      </c>
      <c r="N497">
        <v>1172</v>
      </c>
      <c r="O497">
        <v>1953</v>
      </c>
    </row>
    <row r="498" spans="1:15">
      <c r="A498">
        <v>4558609924</v>
      </c>
      <c r="B498" s="1">
        <v>42494</v>
      </c>
      <c r="C498">
        <v>5232</v>
      </c>
      <c r="D498">
        <v>3.46000003814697</v>
      </c>
      <c r="E498">
        <v>3.46000003814697</v>
      </c>
      <c r="F498">
        <v>0</v>
      </c>
      <c r="G498">
        <v>0</v>
      </c>
      <c r="H498">
        <v>0</v>
      </c>
      <c r="I498">
        <v>3.46000003814697</v>
      </c>
      <c r="J498">
        <v>0</v>
      </c>
      <c r="K498">
        <v>0</v>
      </c>
      <c r="L498">
        <v>0</v>
      </c>
      <c r="M498">
        <v>252</v>
      </c>
      <c r="N498">
        <v>1188</v>
      </c>
      <c r="O498">
        <v>1842</v>
      </c>
    </row>
    <row r="499" spans="1:15">
      <c r="A499">
        <v>4558609924</v>
      </c>
      <c r="B499" s="1">
        <v>42495</v>
      </c>
      <c r="C499">
        <v>10611</v>
      </c>
      <c r="D499">
        <v>7.0100002288818404</v>
      </c>
      <c r="E499">
        <v>7.0100002288818404</v>
      </c>
      <c r="F499">
        <v>0</v>
      </c>
      <c r="G499">
        <v>1.0099999904632599</v>
      </c>
      <c r="H499">
        <v>0.5</v>
      </c>
      <c r="I499">
        <v>5.5100002288818404</v>
      </c>
      <c r="J499">
        <v>0</v>
      </c>
      <c r="K499">
        <v>14</v>
      </c>
      <c r="L499">
        <v>8</v>
      </c>
      <c r="M499">
        <v>370</v>
      </c>
      <c r="N499">
        <v>1048</v>
      </c>
      <c r="O499">
        <v>2262</v>
      </c>
    </row>
    <row r="500" spans="1:15">
      <c r="A500">
        <v>4558609924</v>
      </c>
      <c r="B500" s="1">
        <v>42496</v>
      </c>
      <c r="C500">
        <v>3755</v>
      </c>
      <c r="D500">
        <v>2.4800000190734899</v>
      </c>
      <c r="E500">
        <v>2.4800000190734899</v>
      </c>
      <c r="F500">
        <v>0</v>
      </c>
      <c r="G500">
        <v>0</v>
      </c>
      <c r="H500">
        <v>0</v>
      </c>
      <c r="I500">
        <v>2.4800000190734899</v>
      </c>
      <c r="J500">
        <v>0</v>
      </c>
      <c r="K500">
        <v>0</v>
      </c>
      <c r="L500">
        <v>0</v>
      </c>
      <c r="M500">
        <v>202</v>
      </c>
      <c r="N500">
        <v>1238</v>
      </c>
      <c r="O500">
        <v>1722</v>
      </c>
    </row>
    <row r="501" spans="1:15">
      <c r="A501">
        <v>4558609924</v>
      </c>
      <c r="B501" s="1">
        <v>42497</v>
      </c>
      <c r="C501">
        <v>8237</v>
      </c>
      <c r="D501">
        <v>5.4400000572204599</v>
      </c>
      <c r="E501">
        <v>5.4400000572204599</v>
      </c>
      <c r="F501">
        <v>0</v>
      </c>
      <c r="G501">
        <v>1.6100000143051101</v>
      </c>
      <c r="H501">
        <v>1</v>
      </c>
      <c r="I501">
        <v>2.8299999237060498</v>
      </c>
      <c r="J501">
        <v>0</v>
      </c>
      <c r="K501">
        <v>23</v>
      </c>
      <c r="L501">
        <v>16</v>
      </c>
      <c r="M501">
        <v>233</v>
      </c>
      <c r="N501">
        <v>1116</v>
      </c>
      <c r="O501">
        <v>1973</v>
      </c>
    </row>
    <row r="502" spans="1:15">
      <c r="A502">
        <v>4558609924</v>
      </c>
      <c r="B502" s="1">
        <v>42498</v>
      </c>
      <c r="C502">
        <v>6543</v>
      </c>
      <c r="D502">
        <v>4.3299999237060502</v>
      </c>
      <c r="E502">
        <v>4.3299999237060502</v>
      </c>
      <c r="F502">
        <v>0</v>
      </c>
      <c r="G502">
        <v>1.79999995231628</v>
      </c>
      <c r="H502">
        <v>0.5</v>
      </c>
      <c r="I502">
        <v>2.0199999809265101</v>
      </c>
      <c r="J502">
        <v>0</v>
      </c>
      <c r="K502">
        <v>66</v>
      </c>
      <c r="L502">
        <v>35</v>
      </c>
      <c r="M502">
        <v>238</v>
      </c>
      <c r="N502">
        <v>1019</v>
      </c>
      <c r="O502">
        <v>2666</v>
      </c>
    </row>
    <row r="503" spans="1:15">
      <c r="A503">
        <v>4558609924</v>
      </c>
      <c r="B503" s="1">
        <v>42499</v>
      </c>
      <c r="C503">
        <v>11451</v>
      </c>
      <c r="D503">
        <v>7.5700001716613796</v>
      </c>
      <c r="E503">
        <v>7.5700001716613796</v>
      </c>
      <c r="F503">
        <v>0</v>
      </c>
      <c r="G503">
        <v>0.43000000715255698</v>
      </c>
      <c r="H503">
        <v>1.62000000476837</v>
      </c>
      <c r="I503">
        <v>5.5199999809265101</v>
      </c>
      <c r="J503">
        <v>0</v>
      </c>
      <c r="K503">
        <v>6</v>
      </c>
      <c r="L503">
        <v>30</v>
      </c>
      <c r="M503">
        <v>339</v>
      </c>
      <c r="N503">
        <v>1065</v>
      </c>
      <c r="O503">
        <v>2223</v>
      </c>
    </row>
    <row r="504" spans="1:15">
      <c r="A504">
        <v>4558609924</v>
      </c>
      <c r="B504" s="1">
        <v>42500</v>
      </c>
      <c r="C504">
        <v>6435</v>
      </c>
      <c r="D504">
        <v>4.25</v>
      </c>
      <c r="E504">
        <v>4.25</v>
      </c>
      <c r="F504">
        <v>0</v>
      </c>
      <c r="G504">
        <v>0.74000000953674305</v>
      </c>
      <c r="H504">
        <v>1.12000000476837</v>
      </c>
      <c r="I504">
        <v>2.3900001049041699</v>
      </c>
      <c r="J504">
        <v>0</v>
      </c>
      <c r="K504">
        <v>11</v>
      </c>
      <c r="L504">
        <v>18</v>
      </c>
      <c r="M504">
        <v>220</v>
      </c>
      <c r="N504">
        <v>1191</v>
      </c>
      <c r="O504">
        <v>1889</v>
      </c>
    </row>
    <row r="505" spans="1:15">
      <c r="A505">
        <v>4558609924</v>
      </c>
      <c r="B505" s="1">
        <v>42501</v>
      </c>
      <c r="C505">
        <v>9108</v>
      </c>
      <c r="D505">
        <v>6.0199999809265101</v>
      </c>
      <c r="E505">
        <v>6.0199999809265101</v>
      </c>
      <c r="F505">
        <v>0</v>
      </c>
      <c r="G505">
        <v>0.259999990463257</v>
      </c>
      <c r="H505">
        <v>1.8200000524520901</v>
      </c>
      <c r="I505">
        <v>3.9400000572204599</v>
      </c>
      <c r="J505">
        <v>0</v>
      </c>
      <c r="K505">
        <v>4</v>
      </c>
      <c r="L505">
        <v>31</v>
      </c>
      <c r="M505">
        <v>324</v>
      </c>
      <c r="N505">
        <v>1081</v>
      </c>
      <c r="O505">
        <v>2131</v>
      </c>
    </row>
    <row r="506" spans="1:15">
      <c r="A506">
        <v>4558609924</v>
      </c>
      <c r="B506" s="1">
        <v>42502</v>
      </c>
      <c r="C506">
        <v>6307</v>
      </c>
      <c r="D506">
        <v>4.1700000762939498</v>
      </c>
      <c r="E506">
        <v>4.1700000762939498</v>
      </c>
      <c r="F506">
        <v>0</v>
      </c>
      <c r="G506">
        <v>0</v>
      </c>
      <c r="H506">
        <v>0</v>
      </c>
      <c r="I506">
        <v>4.1700000762939498</v>
      </c>
      <c r="J506">
        <v>0</v>
      </c>
      <c r="K506">
        <v>0</v>
      </c>
      <c r="L506">
        <v>0</v>
      </c>
      <c r="M506">
        <v>247</v>
      </c>
      <c r="N506">
        <v>736</v>
      </c>
      <c r="O506">
        <v>1452</v>
      </c>
    </row>
    <row r="507" spans="1:15">
      <c r="A507">
        <v>4702921684</v>
      </c>
      <c r="B507" s="1">
        <v>42472</v>
      </c>
      <c r="C507">
        <v>7213</v>
      </c>
      <c r="D507">
        <v>5.8800001144409197</v>
      </c>
      <c r="E507">
        <v>5.8800001144409197</v>
      </c>
      <c r="F507">
        <v>0</v>
      </c>
      <c r="G507">
        <v>0</v>
      </c>
      <c r="H507">
        <v>0</v>
      </c>
      <c r="I507">
        <v>5.8499999046325701</v>
      </c>
      <c r="J507">
        <v>0</v>
      </c>
      <c r="K507">
        <v>0</v>
      </c>
      <c r="L507">
        <v>0</v>
      </c>
      <c r="M507">
        <v>263</v>
      </c>
      <c r="N507">
        <v>718</v>
      </c>
      <c r="O507">
        <v>2947</v>
      </c>
    </row>
    <row r="508" spans="1:15">
      <c r="A508">
        <v>4702921684</v>
      </c>
      <c r="B508" s="1">
        <v>42473</v>
      </c>
      <c r="C508">
        <v>6877</v>
      </c>
      <c r="D508">
        <v>5.5799999237060502</v>
      </c>
      <c r="E508">
        <v>5.5799999237060502</v>
      </c>
      <c r="F508">
        <v>0</v>
      </c>
      <c r="G508">
        <v>0</v>
      </c>
      <c r="H508">
        <v>0</v>
      </c>
      <c r="I508">
        <v>5.5799999237060502</v>
      </c>
      <c r="J508">
        <v>0</v>
      </c>
      <c r="K508">
        <v>0</v>
      </c>
      <c r="L508">
        <v>0</v>
      </c>
      <c r="M508">
        <v>258</v>
      </c>
      <c r="N508">
        <v>777</v>
      </c>
      <c r="O508">
        <v>2898</v>
      </c>
    </row>
    <row r="509" spans="1:15">
      <c r="A509">
        <v>4702921684</v>
      </c>
      <c r="B509" s="1">
        <v>42474</v>
      </c>
      <c r="C509">
        <v>7860</v>
      </c>
      <c r="D509">
        <v>6.3699998855590803</v>
      </c>
      <c r="E509">
        <v>6.3699998855590803</v>
      </c>
      <c r="F509">
        <v>0</v>
      </c>
      <c r="G509">
        <v>0</v>
      </c>
      <c r="H509">
        <v>0</v>
      </c>
      <c r="I509">
        <v>6.3699998855590803</v>
      </c>
      <c r="J509">
        <v>0</v>
      </c>
      <c r="K509">
        <v>0</v>
      </c>
      <c r="L509">
        <v>0</v>
      </c>
      <c r="M509">
        <v>271</v>
      </c>
      <c r="N509">
        <v>772</v>
      </c>
      <c r="O509">
        <v>2984</v>
      </c>
    </row>
    <row r="510" spans="1:15">
      <c r="A510">
        <v>4702921684</v>
      </c>
      <c r="B510" s="1">
        <v>42475</v>
      </c>
      <c r="C510">
        <v>6506</v>
      </c>
      <c r="D510">
        <v>5.2800002098083496</v>
      </c>
      <c r="E510">
        <v>5.2800002098083496</v>
      </c>
      <c r="F510">
        <v>0</v>
      </c>
      <c r="G510">
        <v>7.0000000298023196E-2</v>
      </c>
      <c r="H510">
        <v>0.41999998688697798</v>
      </c>
      <c r="I510">
        <v>4.78999996185303</v>
      </c>
      <c r="J510">
        <v>0</v>
      </c>
      <c r="K510">
        <v>1</v>
      </c>
      <c r="L510">
        <v>8</v>
      </c>
      <c r="M510">
        <v>256</v>
      </c>
      <c r="N510">
        <v>944</v>
      </c>
      <c r="O510">
        <v>2896</v>
      </c>
    </row>
    <row r="511" spans="1:15">
      <c r="A511">
        <v>4702921684</v>
      </c>
      <c r="B511" s="1">
        <v>42476</v>
      </c>
      <c r="C511">
        <v>11140</v>
      </c>
      <c r="D511">
        <v>9.0299997329711896</v>
      </c>
      <c r="E511">
        <v>9.0299997329711896</v>
      </c>
      <c r="F511">
        <v>0</v>
      </c>
      <c r="G511">
        <v>0.239999994635582</v>
      </c>
      <c r="H511">
        <v>1.25</v>
      </c>
      <c r="I511">
        <v>7.53999996185303</v>
      </c>
      <c r="J511">
        <v>0</v>
      </c>
      <c r="K511">
        <v>3</v>
      </c>
      <c r="L511">
        <v>24</v>
      </c>
      <c r="M511">
        <v>335</v>
      </c>
      <c r="N511">
        <v>556</v>
      </c>
      <c r="O511">
        <v>3328</v>
      </c>
    </row>
    <row r="512" spans="1:15">
      <c r="A512">
        <v>4702921684</v>
      </c>
      <c r="B512" s="1">
        <v>42477</v>
      </c>
      <c r="C512">
        <v>12692</v>
      </c>
      <c r="D512">
        <v>10.289999961853001</v>
      </c>
      <c r="E512">
        <v>10.289999961853001</v>
      </c>
      <c r="F512">
        <v>0</v>
      </c>
      <c r="G512">
        <v>0.95999997854232799</v>
      </c>
      <c r="H512">
        <v>3.46000003814697</v>
      </c>
      <c r="I512">
        <v>5.8800001144409197</v>
      </c>
      <c r="J512">
        <v>0</v>
      </c>
      <c r="K512">
        <v>12</v>
      </c>
      <c r="L512">
        <v>66</v>
      </c>
      <c r="M512">
        <v>302</v>
      </c>
      <c r="N512">
        <v>437</v>
      </c>
      <c r="O512">
        <v>3394</v>
      </c>
    </row>
    <row r="513" spans="1:15">
      <c r="A513">
        <v>4702921684</v>
      </c>
      <c r="B513" s="1">
        <v>42478</v>
      </c>
      <c r="C513">
        <v>9105</v>
      </c>
      <c r="D513">
        <v>7.3800001144409197</v>
      </c>
      <c r="E513">
        <v>7.3800001144409197</v>
      </c>
      <c r="F513">
        <v>0</v>
      </c>
      <c r="G513">
        <v>1.8200000524520901</v>
      </c>
      <c r="H513">
        <v>1.4900000095367401</v>
      </c>
      <c r="I513">
        <v>4.0700001716613796</v>
      </c>
      <c r="J513">
        <v>0</v>
      </c>
      <c r="K513">
        <v>22</v>
      </c>
      <c r="L513">
        <v>30</v>
      </c>
      <c r="M513">
        <v>191</v>
      </c>
      <c r="N513">
        <v>890</v>
      </c>
      <c r="O513">
        <v>3013</v>
      </c>
    </row>
    <row r="514" spans="1:15">
      <c r="A514">
        <v>4702921684</v>
      </c>
      <c r="B514" s="1">
        <v>42479</v>
      </c>
      <c r="C514">
        <v>6708</v>
      </c>
      <c r="D514">
        <v>5.4400000572204599</v>
      </c>
      <c r="E514">
        <v>5.4400000572204599</v>
      </c>
      <c r="F514">
        <v>0</v>
      </c>
      <c r="G514">
        <v>0.87999999523162797</v>
      </c>
      <c r="H514">
        <v>0.37000000476837203</v>
      </c>
      <c r="I514">
        <v>4.1900000572204599</v>
      </c>
      <c r="J514">
        <v>0</v>
      </c>
      <c r="K514">
        <v>10</v>
      </c>
      <c r="L514">
        <v>8</v>
      </c>
      <c r="M514">
        <v>179</v>
      </c>
      <c r="N514">
        <v>757</v>
      </c>
      <c r="O514">
        <v>2812</v>
      </c>
    </row>
    <row r="515" spans="1:15">
      <c r="A515">
        <v>4702921684</v>
      </c>
      <c r="B515" s="1">
        <v>42480</v>
      </c>
      <c r="C515">
        <v>8793</v>
      </c>
      <c r="D515">
        <v>7.1300001144409197</v>
      </c>
      <c r="E515">
        <v>7.1300001144409197</v>
      </c>
      <c r="F515">
        <v>0</v>
      </c>
      <c r="G515">
        <v>0.15999999642372101</v>
      </c>
      <c r="H515">
        <v>1.2300000190734901</v>
      </c>
      <c r="I515">
        <v>5.7300000190734899</v>
      </c>
      <c r="J515">
        <v>0</v>
      </c>
      <c r="K515">
        <v>2</v>
      </c>
      <c r="L515">
        <v>29</v>
      </c>
      <c r="M515">
        <v>260</v>
      </c>
      <c r="N515">
        <v>717</v>
      </c>
      <c r="O515">
        <v>3061</v>
      </c>
    </row>
    <row r="516" spans="1:15">
      <c r="A516">
        <v>4702921684</v>
      </c>
      <c r="B516" s="1">
        <v>42481</v>
      </c>
      <c r="C516">
        <v>6530</v>
      </c>
      <c r="D516">
        <v>5.3000001907348597</v>
      </c>
      <c r="E516">
        <v>5.3000001907348597</v>
      </c>
      <c r="F516">
        <v>0</v>
      </c>
      <c r="G516">
        <v>0.31000000238418601</v>
      </c>
      <c r="H516">
        <v>2.0499999523162802</v>
      </c>
      <c r="I516">
        <v>2.9400000572204599</v>
      </c>
      <c r="J516">
        <v>0</v>
      </c>
      <c r="K516">
        <v>4</v>
      </c>
      <c r="L516">
        <v>41</v>
      </c>
      <c r="M516">
        <v>144</v>
      </c>
      <c r="N516">
        <v>901</v>
      </c>
      <c r="O516">
        <v>2729</v>
      </c>
    </row>
    <row r="517" spans="1:15">
      <c r="A517">
        <v>4702921684</v>
      </c>
      <c r="B517" s="1">
        <v>42482</v>
      </c>
      <c r="C517">
        <v>1664</v>
      </c>
      <c r="D517">
        <v>1.3500000238418599</v>
      </c>
      <c r="E517">
        <v>1.3500000238418599</v>
      </c>
      <c r="F517">
        <v>0</v>
      </c>
      <c r="G517">
        <v>0</v>
      </c>
      <c r="H517">
        <v>0</v>
      </c>
      <c r="I517">
        <v>1.3500000238418599</v>
      </c>
      <c r="J517">
        <v>0</v>
      </c>
      <c r="K517">
        <v>0</v>
      </c>
      <c r="L517">
        <v>0</v>
      </c>
      <c r="M517">
        <v>72</v>
      </c>
      <c r="N517">
        <v>1341</v>
      </c>
      <c r="O517">
        <v>2241</v>
      </c>
    </row>
    <row r="518" spans="1:15">
      <c r="A518">
        <v>4702921684</v>
      </c>
      <c r="B518" s="1">
        <v>42483</v>
      </c>
      <c r="C518">
        <v>15126</v>
      </c>
      <c r="D518">
        <v>12.2700004577637</v>
      </c>
      <c r="E518">
        <v>12.2700004577637</v>
      </c>
      <c r="F518">
        <v>0</v>
      </c>
      <c r="G518">
        <v>0.75999999046325695</v>
      </c>
      <c r="H518">
        <v>3.2400000095367401</v>
      </c>
      <c r="I518">
        <v>8.2700004577636701</v>
      </c>
      <c r="J518">
        <v>0</v>
      </c>
      <c r="K518">
        <v>9</v>
      </c>
      <c r="L518">
        <v>66</v>
      </c>
      <c r="M518">
        <v>408</v>
      </c>
      <c r="N518">
        <v>469</v>
      </c>
      <c r="O518">
        <v>3691</v>
      </c>
    </row>
    <row r="519" spans="1:15">
      <c r="A519">
        <v>4702921684</v>
      </c>
      <c r="B519" s="1">
        <v>42484</v>
      </c>
      <c r="C519">
        <v>15050</v>
      </c>
      <c r="D519">
        <v>12.2200002670288</v>
      </c>
      <c r="E519">
        <v>12.2200002670288</v>
      </c>
      <c r="F519">
        <v>0</v>
      </c>
      <c r="G519">
        <v>1.20000004768372</v>
      </c>
      <c r="H519">
        <v>5.1199998855590803</v>
      </c>
      <c r="I519">
        <v>5.8800001144409197</v>
      </c>
      <c r="J519">
        <v>0</v>
      </c>
      <c r="K519">
        <v>15</v>
      </c>
      <c r="L519">
        <v>95</v>
      </c>
      <c r="M519">
        <v>281</v>
      </c>
      <c r="N519">
        <v>542</v>
      </c>
      <c r="O519">
        <v>3538</v>
      </c>
    </row>
    <row r="520" spans="1:15">
      <c r="A520">
        <v>4702921684</v>
      </c>
      <c r="B520" s="1">
        <v>42485</v>
      </c>
      <c r="C520">
        <v>9167</v>
      </c>
      <c r="D520">
        <v>7.4299998283386204</v>
      </c>
      <c r="E520">
        <v>7.4299998283386204</v>
      </c>
      <c r="F520">
        <v>0</v>
      </c>
      <c r="G520">
        <v>0.490000009536743</v>
      </c>
      <c r="H520">
        <v>0.81999999284744296</v>
      </c>
      <c r="I520">
        <v>6.1100001335143999</v>
      </c>
      <c r="J520">
        <v>0</v>
      </c>
      <c r="K520">
        <v>6</v>
      </c>
      <c r="L520">
        <v>15</v>
      </c>
      <c r="M520">
        <v>270</v>
      </c>
      <c r="N520">
        <v>730</v>
      </c>
      <c r="O520">
        <v>3064</v>
      </c>
    </row>
    <row r="521" spans="1:15">
      <c r="A521">
        <v>4702921684</v>
      </c>
      <c r="B521" s="1">
        <v>42486</v>
      </c>
      <c r="C521">
        <v>6108</v>
      </c>
      <c r="D521">
        <v>4.9499998092651403</v>
      </c>
      <c r="E521">
        <v>4.9499998092651403</v>
      </c>
      <c r="F521">
        <v>0</v>
      </c>
      <c r="G521">
        <v>7.0000000298023196E-2</v>
      </c>
      <c r="H521">
        <v>0.34999999403953602</v>
      </c>
      <c r="I521">
        <v>4.53999996185303</v>
      </c>
      <c r="J521">
        <v>0</v>
      </c>
      <c r="K521">
        <v>1</v>
      </c>
      <c r="L521">
        <v>8</v>
      </c>
      <c r="M521">
        <v>216</v>
      </c>
      <c r="N521">
        <v>765</v>
      </c>
      <c r="O521">
        <v>2784</v>
      </c>
    </row>
    <row r="522" spans="1:15">
      <c r="A522">
        <v>4702921684</v>
      </c>
      <c r="B522" s="1">
        <v>42487</v>
      </c>
      <c r="C522">
        <v>7047</v>
      </c>
      <c r="D522">
        <v>5.7199997901916504</v>
      </c>
      <c r="E522">
        <v>5.7199997901916504</v>
      </c>
      <c r="F522">
        <v>0</v>
      </c>
      <c r="G522">
        <v>9.00000035762787E-2</v>
      </c>
      <c r="H522">
        <v>0.80000001192092896</v>
      </c>
      <c r="I522">
        <v>4.7800002098083496</v>
      </c>
      <c r="J522">
        <v>0</v>
      </c>
      <c r="K522">
        <v>1</v>
      </c>
      <c r="L522">
        <v>16</v>
      </c>
      <c r="M522">
        <v>238</v>
      </c>
      <c r="N522">
        <v>733</v>
      </c>
      <c r="O522">
        <v>2908</v>
      </c>
    </row>
    <row r="523" spans="1:15">
      <c r="A523">
        <v>4702921684</v>
      </c>
      <c r="B523" s="1">
        <v>42488</v>
      </c>
      <c r="C523">
        <v>9023</v>
      </c>
      <c r="D523">
        <v>7.3200001716613796</v>
      </c>
      <c r="E523">
        <v>7.3200001716613796</v>
      </c>
      <c r="F523">
        <v>0</v>
      </c>
      <c r="G523">
        <v>1.12999999523163</v>
      </c>
      <c r="H523">
        <v>0.41999998688697798</v>
      </c>
      <c r="I523">
        <v>5.7699999809265101</v>
      </c>
      <c r="J523">
        <v>0</v>
      </c>
      <c r="K523">
        <v>14</v>
      </c>
      <c r="L523">
        <v>9</v>
      </c>
      <c r="M523">
        <v>232</v>
      </c>
      <c r="N523">
        <v>738</v>
      </c>
      <c r="O523">
        <v>3033</v>
      </c>
    </row>
    <row r="524" spans="1:15">
      <c r="A524">
        <v>4702921684</v>
      </c>
      <c r="B524" s="1">
        <v>42489</v>
      </c>
      <c r="C524">
        <v>9930</v>
      </c>
      <c r="D524">
        <v>8.0500001907348597</v>
      </c>
      <c r="E524">
        <v>8.0500001907348597</v>
      </c>
      <c r="F524">
        <v>0</v>
      </c>
      <c r="G524">
        <v>1.0599999427795399</v>
      </c>
      <c r="H524">
        <v>0.92000001668930098</v>
      </c>
      <c r="I524">
        <v>6.0700001716613796</v>
      </c>
      <c r="J524">
        <v>0</v>
      </c>
      <c r="K524">
        <v>12</v>
      </c>
      <c r="L524">
        <v>19</v>
      </c>
      <c r="M524">
        <v>267</v>
      </c>
      <c r="N524">
        <v>692</v>
      </c>
      <c r="O524">
        <v>3165</v>
      </c>
    </row>
    <row r="525" spans="1:15">
      <c r="A525">
        <v>4702921684</v>
      </c>
      <c r="B525" s="1">
        <v>42490</v>
      </c>
      <c r="C525">
        <v>10144</v>
      </c>
      <c r="D525">
        <v>8.2299995422363299</v>
      </c>
      <c r="E525">
        <v>8.2299995422363299</v>
      </c>
      <c r="F525">
        <v>0</v>
      </c>
      <c r="G525">
        <v>0.31999999284744302</v>
      </c>
      <c r="H525">
        <v>2.0299999713897701</v>
      </c>
      <c r="I525">
        <v>5.8800001144409197</v>
      </c>
      <c r="J525">
        <v>0</v>
      </c>
      <c r="K525">
        <v>4</v>
      </c>
      <c r="L525">
        <v>36</v>
      </c>
      <c r="M525">
        <v>263</v>
      </c>
      <c r="N525">
        <v>728</v>
      </c>
      <c r="O525">
        <v>3115</v>
      </c>
    </row>
    <row r="526" spans="1:15">
      <c r="A526">
        <v>4702921684</v>
      </c>
      <c r="B526" s="1">
        <v>42491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1440</v>
      </c>
      <c r="O526">
        <v>2017</v>
      </c>
    </row>
    <row r="527" spans="1:15">
      <c r="A527">
        <v>4702921684</v>
      </c>
      <c r="B527" s="1">
        <v>42492</v>
      </c>
      <c r="C527">
        <v>7245</v>
      </c>
      <c r="D527">
        <v>5.9200000762939498</v>
      </c>
      <c r="E527">
        <v>5.9200000762939498</v>
      </c>
      <c r="F527">
        <v>0</v>
      </c>
      <c r="G527">
        <v>0.37999999523162797</v>
      </c>
      <c r="H527">
        <v>1.7400000095367401</v>
      </c>
      <c r="I527">
        <v>3.7599999904632599</v>
      </c>
      <c r="J527">
        <v>0</v>
      </c>
      <c r="K527">
        <v>5</v>
      </c>
      <c r="L527">
        <v>40</v>
      </c>
      <c r="M527">
        <v>195</v>
      </c>
      <c r="N527">
        <v>1131</v>
      </c>
      <c r="O527">
        <v>2859</v>
      </c>
    </row>
    <row r="528" spans="1:15">
      <c r="A528">
        <v>4702921684</v>
      </c>
      <c r="B528" s="1">
        <v>42493</v>
      </c>
      <c r="C528">
        <v>9454</v>
      </c>
      <c r="D528">
        <v>7.6700000762939498</v>
      </c>
      <c r="E528">
        <v>7.6700000762939498</v>
      </c>
      <c r="F528">
        <v>0</v>
      </c>
      <c r="G528">
        <v>0</v>
      </c>
      <c r="H528">
        <v>0</v>
      </c>
      <c r="I528">
        <v>7.6700000762939498</v>
      </c>
      <c r="J528">
        <v>0</v>
      </c>
      <c r="K528">
        <v>0</v>
      </c>
      <c r="L528">
        <v>0</v>
      </c>
      <c r="M528">
        <v>313</v>
      </c>
      <c r="N528">
        <v>729</v>
      </c>
      <c r="O528">
        <v>3145</v>
      </c>
    </row>
    <row r="529" spans="1:15">
      <c r="A529">
        <v>4702921684</v>
      </c>
      <c r="B529" s="1">
        <v>42494</v>
      </c>
      <c r="C529">
        <v>8161</v>
      </c>
      <c r="D529">
        <v>6.6199998855590803</v>
      </c>
      <c r="E529">
        <v>6.6199998855590803</v>
      </c>
      <c r="F529">
        <v>0</v>
      </c>
      <c r="G529">
        <v>0.34000000357627902</v>
      </c>
      <c r="H529">
        <v>0.730000019073486</v>
      </c>
      <c r="I529">
        <v>5.53999996185303</v>
      </c>
      <c r="J529">
        <v>0</v>
      </c>
      <c r="K529">
        <v>4</v>
      </c>
      <c r="L529">
        <v>15</v>
      </c>
      <c r="M529">
        <v>251</v>
      </c>
      <c r="N529">
        <v>757</v>
      </c>
      <c r="O529">
        <v>3004</v>
      </c>
    </row>
    <row r="530" spans="1:15">
      <c r="A530">
        <v>4702921684</v>
      </c>
      <c r="B530" s="1">
        <v>42495</v>
      </c>
      <c r="C530">
        <v>8614</v>
      </c>
      <c r="D530">
        <v>6.9899997711181596</v>
      </c>
      <c r="E530">
        <v>6.9899997711181596</v>
      </c>
      <c r="F530">
        <v>0</v>
      </c>
      <c r="G530">
        <v>0.67000001668930098</v>
      </c>
      <c r="H530">
        <v>0.21999999880790699</v>
      </c>
      <c r="I530">
        <v>6.0900001525878897</v>
      </c>
      <c r="J530">
        <v>0</v>
      </c>
      <c r="K530">
        <v>8</v>
      </c>
      <c r="L530">
        <v>5</v>
      </c>
      <c r="M530">
        <v>241</v>
      </c>
      <c r="N530">
        <v>745</v>
      </c>
      <c r="O530">
        <v>3006</v>
      </c>
    </row>
    <row r="531" spans="1:15">
      <c r="A531">
        <v>4702921684</v>
      </c>
      <c r="B531" s="1">
        <v>42496</v>
      </c>
      <c r="C531">
        <v>6943</v>
      </c>
      <c r="D531">
        <v>5.6300001144409197</v>
      </c>
      <c r="E531">
        <v>5.6300001144409197</v>
      </c>
      <c r="F531">
        <v>0</v>
      </c>
      <c r="G531">
        <v>7.9999998211860698E-2</v>
      </c>
      <c r="H531">
        <v>0.66000002622604403</v>
      </c>
      <c r="I531">
        <v>4.8699998855590803</v>
      </c>
      <c r="J531">
        <v>0</v>
      </c>
      <c r="K531">
        <v>1</v>
      </c>
      <c r="L531">
        <v>16</v>
      </c>
      <c r="M531">
        <v>207</v>
      </c>
      <c r="N531">
        <v>682</v>
      </c>
      <c r="O531">
        <v>2859</v>
      </c>
    </row>
    <row r="532" spans="1:15">
      <c r="A532">
        <v>4702921684</v>
      </c>
      <c r="B532" s="1">
        <v>42497</v>
      </c>
      <c r="C532">
        <v>14370</v>
      </c>
      <c r="D532">
        <v>11.6499996185303</v>
      </c>
      <c r="E532">
        <v>11.6499996185303</v>
      </c>
      <c r="F532">
        <v>0</v>
      </c>
      <c r="G532">
        <v>0.37000000476837203</v>
      </c>
      <c r="H532">
        <v>2.3099999427795401</v>
      </c>
      <c r="I532">
        <v>8.9700002670288104</v>
      </c>
      <c r="J532">
        <v>0</v>
      </c>
      <c r="K532">
        <v>5</v>
      </c>
      <c r="L532">
        <v>46</v>
      </c>
      <c r="M532">
        <v>439</v>
      </c>
      <c r="N532">
        <v>577</v>
      </c>
      <c r="O532">
        <v>3683</v>
      </c>
    </row>
    <row r="533" spans="1:15">
      <c r="A533">
        <v>4702921684</v>
      </c>
      <c r="B533" s="1">
        <v>42498</v>
      </c>
      <c r="C533">
        <v>12857</v>
      </c>
      <c r="D533">
        <v>10.430000305175801</v>
      </c>
      <c r="E533">
        <v>10.430000305175801</v>
      </c>
      <c r="F533">
        <v>0</v>
      </c>
      <c r="G533">
        <v>0.68000000715255704</v>
      </c>
      <c r="H533">
        <v>6.21000003814697</v>
      </c>
      <c r="I533">
        <v>3.53999996185303</v>
      </c>
      <c r="J533">
        <v>0</v>
      </c>
      <c r="K533">
        <v>9</v>
      </c>
      <c r="L533">
        <v>125</v>
      </c>
      <c r="M533">
        <v>192</v>
      </c>
      <c r="N533">
        <v>1019</v>
      </c>
      <c r="O533">
        <v>3287</v>
      </c>
    </row>
    <row r="534" spans="1:15">
      <c r="A534">
        <v>4702921684</v>
      </c>
      <c r="B534" s="1">
        <v>42499</v>
      </c>
      <c r="C534">
        <v>8232</v>
      </c>
      <c r="D534">
        <v>6.6799998283386204</v>
      </c>
      <c r="E534">
        <v>6.6799998283386204</v>
      </c>
      <c r="F534">
        <v>0</v>
      </c>
      <c r="G534">
        <v>0</v>
      </c>
      <c r="H534">
        <v>0.56999999284744296</v>
      </c>
      <c r="I534">
        <v>6.0999999046325701</v>
      </c>
      <c r="J534">
        <v>0</v>
      </c>
      <c r="K534">
        <v>0</v>
      </c>
      <c r="L534">
        <v>12</v>
      </c>
      <c r="M534">
        <v>253</v>
      </c>
      <c r="N534">
        <v>746</v>
      </c>
      <c r="O534">
        <v>2990</v>
      </c>
    </row>
    <row r="535" spans="1:15">
      <c r="A535">
        <v>4702921684</v>
      </c>
      <c r="B535" s="1">
        <v>42500</v>
      </c>
      <c r="C535">
        <v>10613</v>
      </c>
      <c r="D535">
        <v>8.6099996566772496</v>
      </c>
      <c r="E535">
        <v>8.6099996566772496</v>
      </c>
      <c r="F535">
        <v>0</v>
      </c>
      <c r="G535">
        <v>7.9999998211860698E-2</v>
      </c>
      <c r="H535">
        <v>1.87999999523163</v>
      </c>
      <c r="I535">
        <v>6.6500000953674299</v>
      </c>
      <c r="J535">
        <v>0</v>
      </c>
      <c r="K535">
        <v>1</v>
      </c>
      <c r="L535">
        <v>37</v>
      </c>
      <c r="M535">
        <v>262</v>
      </c>
      <c r="N535">
        <v>701</v>
      </c>
      <c r="O535">
        <v>3172</v>
      </c>
    </row>
    <row r="536" spans="1:15">
      <c r="A536">
        <v>4702921684</v>
      </c>
      <c r="B536" s="1">
        <v>42501</v>
      </c>
      <c r="C536">
        <v>9810</v>
      </c>
      <c r="D536">
        <v>7.96000003814697</v>
      </c>
      <c r="E536">
        <v>7.96000003814697</v>
      </c>
      <c r="F536">
        <v>0</v>
      </c>
      <c r="G536">
        <v>0.77999997138977095</v>
      </c>
      <c r="H536">
        <v>2.1600000858306898</v>
      </c>
      <c r="I536">
        <v>4.9800000190734899</v>
      </c>
      <c r="J536">
        <v>0</v>
      </c>
      <c r="K536">
        <v>10</v>
      </c>
      <c r="L536">
        <v>41</v>
      </c>
      <c r="M536">
        <v>235</v>
      </c>
      <c r="N536">
        <v>784</v>
      </c>
      <c r="O536">
        <v>3069</v>
      </c>
    </row>
    <row r="537" spans="1:15">
      <c r="A537">
        <v>4702921684</v>
      </c>
      <c r="B537" s="1">
        <v>42502</v>
      </c>
      <c r="C537">
        <v>2752</v>
      </c>
      <c r="D537">
        <v>2.2300000190734899</v>
      </c>
      <c r="E537">
        <v>2.2300000190734899</v>
      </c>
      <c r="F537">
        <v>0</v>
      </c>
      <c r="G537">
        <v>0</v>
      </c>
      <c r="H537">
        <v>0</v>
      </c>
      <c r="I537">
        <v>2.2300000190734899</v>
      </c>
      <c r="J537">
        <v>0</v>
      </c>
      <c r="K537">
        <v>0</v>
      </c>
      <c r="L537">
        <v>0</v>
      </c>
      <c r="M537">
        <v>68</v>
      </c>
      <c r="N537">
        <v>241</v>
      </c>
      <c r="O537">
        <v>1240</v>
      </c>
    </row>
    <row r="538" spans="1:15">
      <c r="A538">
        <v>5553957443</v>
      </c>
      <c r="B538" s="1">
        <v>42472</v>
      </c>
      <c r="C538">
        <v>11596</v>
      </c>
      <c r="D538">
        <v>7.5700001716613796</v>
      </c>
      <c r="E538">
        <v>7.5700001716613796</v>
      </c>
      <c r="F538">
        <v>0</v>
      </c>
      <c r="G538">
        <v>1.37000000476837</v>
      </c>
      <c r="H538">
        <v>0.79000002145767201</v>
      </c>
      <c r="I538">
        <v>5.4099998474121103</v>
      </c>
      <c r="J538">
        <v>0</v>
      </c>
      <c r="K538">
        <v>19</v>
      </c>
      <c r="L538">
        <v>13</v>
      </c>
      <c r="M538">
        <v>277</v>
      </c>
      <c r="N538">
        <v>767</v>
      </c>
      <c r="O538">
        <v>2026</v>
      </c>
    </row>
    <row r="539" spans="1:15">
      <c r="A539">
        <v>5553957443</v>
      </c>
      <c r="B539" s="1">
        <v>42473</v>
      </c>
      <c r="C539">
        <v>4832</v>
      </c>
      <c r="D539">
        <v>3.1600000858306898</v>
      </c>
      <c r="E539">
        <v>3.1600000858306898</v>
      </c>
      <c r="F539">
        <v>0</v>
      </c>
      <c r="G539">
        <v>0</v>
      </c>
      <c r="H539">
        <v>0</v>
      </c>
      <c r="I539">
        <v>3.1600000858306898</v>
      </c>
      <c r="J539">
        <v>0</v>
      </c>
      <c r="K539">
        <v>0</v>
      </c>
      <c r="L539">
        <v>0</v>
      </c>
      <c r="M539">
        <v>226</v>
      </c>
      <c r="N539">
        <v>647</v>
      </c>
      <c r="O539">
        <v>1718</v>
      </c>
    </row>
    <row r="540" spans="1:15">
      <c r="A540">
        <v>5553957443</v>
      </c>
      <c r="B540" s="1">
        <v>42474</v>
      </c>
      <c r="C540">
        <v>17022</v>
      </c>
      <c r="D540">
        <v>11.1199998855591</v>
      </c>
      <c r="E540">
        <v>11.1199998855591</v>
      </c>
      <c r="F540">
        <v>0</v>
      </c>
      <c r="G540">
        <v>4</v>
      </c>
      <c r="H540">
        <v>2.4500000476837198</v>
      </c>
      <c r="I540">
        <v>4.6700000762939498</v>
      </c>
      <c r="J540">
        <v>0</v>
      </c>
      <c r="K540">
        <v>61</v>
      </c>
      <c r="L540">
        <v>41</v>
      </c>
      <c r="M540">
        <v>256</v>
      </c>
      <c r="N540">
        <v>693</v>
      </c>
      <c r="O540">
        <v>2324</v>
      </c>
    </row>
    <row r="541" spans="1:15">
      <c r="A541">
        <v>5553957443</v>
      </c>
      <c r="B541" s="1">
        <v>42475</v>
      </c>
      <c r="C541">
        <v>16556</v>
      </c>
      <c r="D541">
        <v>10.8599996566772</v>
      </c>
      <c r="E541">
        <v>10.8599996566772</v>
      </c>
      <c r="F541">
        <v>0</v>
      </c>
      <c r="G541">
        <v>4.1599998474121103</v>
      </c>
      <c r="H541">
        <v>1.9800000190734901</v>
      </c>
      <c r="I541">
        <v>4.71000003814697</v>
      </c>
      <c r="J541">
        <v>0</v>
      </c>
      <c r="K541">
        <v>58</v>
      </c>
      <c r="L541">
        <v>38</v>
      </c>
      <c r="M541">
        <v>239</v>
      </c>
      <c r="N541">
        <v>689</v>
      </c>
      <c r="O541">
        <v>2254</v>
      </c>
    </row>
    <row r="542" spans="1:15">
      <c r="A542">
        <v>5553957443</v>
      </c>
      <c r="B542" s="1">
        <v>42476</v>
      </c>
      <c r="C542">
        <v>5771</v>
      </c>
      <c r="D542">
        <v>3.7699999809265101</v>
      </c>
      <c r="E542">
        <v>3.7699999809265101</v>
      </c>
      <c r="F542">
        <v>0</v>
      </c>
      <c r="G542">
        <v>0</v>
      </c>
      <c r="H542">
        <v>0</v>
      </c>
      <c r="I542">
        <v>3.7699999809265101</v>
      </c>
      <c r="J542">
        <v>0</v>
      </c>
      <c r="K542">
        <v>0</v>
      </c>
      <c r="L542">
        <v>0</v>
      </c>
      <c r="M542">
        <v>288</v>
      </c>
      <c r="N542">
        <v>521</v>
      </c>
      <c r="O542">
        <v>1831</v>
      </c>
    </row>
    <row r="543" spans="1:15">
      <c r="A543">
        <v>5553957443</v>
      </c>
      <c r="B543" s="1">
        <v>42477</v>
      </c>
      <c r="C543">
        <v>655</v>
      </c>
      <c r="D543">
        <v>0.43000000715255698</v>
      </c>
      <c r="E543">
        <v>0.43000000715255698</v>
      </c>
      <c r="F543">
        <v>0</v>
      </c>
      <c r="G543">
        <v>0</v>
      </c>
      <c r="H543">
        <v>0</v>
      </c>
      <c r="I543">
        <v>0.43000000715255698</v>
      </c>
      <c r="J543">
        <v>0</v>
      </c>
      <c r="K543">
        <v>0</v>
      </c>
      <c r="L543">
        <v>0</v>
      </c>
      <c r="M543">
        <v>46</v>
      </c>
      <c r="N543">
        <v>943</v>
      </c>
      <c r="O543">
        <v>1397</v>
      </c>
    </row>
    <row r="544" spans="1:15">
      <c r="A544">
        <v>5553957443</v>
      </c>
      <c r="B544" s="1">
        <v>42478</v>
      </c>
      <c r="C544">
        <v>3727</v>
      </c>
      <c r="D544">
        <v>2.4300000667571999</v>
      </c>
      <c r="E544">
        <v>2.4300000667571999</v>
      </c>
      <c r="F544">
        <v>0</v>
      </c>
      <c r="G544">
        <v>0</v>
      </c>
      <c r="H544">
        <v>0</v>
      </c>
      <c r="I544">
        <v>2.4300000667571999</v>
      </c>
      <c r="J544">
        <v>0</v>
      </c>
      <c r="K544">
        <v>0</v>
      </c>
      <c r="L544">
        <v>0</v>
      </c>
      <c r="M544">
        <v>206</v>
      </c>
      <c r="N544">
        <v>622</v>
      </c>
      <c r="O544">
        <v>1683</v>
      </c>
    </row>
    <row r="545" spans="1:15">
      <c r="A545">
        <v>5553957443</v>
      </c>
      <c r="B545" s="1">
        <v>42479</v>
      </c>
      <c r="C545">
        <v>15482</v>
      </c>
      <c r="D545">
        <v>10.1099996566772</v>
      </c>
      <c r="E545">
        <v>10.1099996566772</v>
      </c>
      <c r="F545">
        <v>0</v>
      </c>
      <c r="G545">
        <v>4.2800002098083496</v>
      </c>
      <c r="H545">
        <v>1.6599999666214</v>
      </c>
      <c r="I545">
        <v>4.1799998283386204</v>
      </c>
      <c r="J545">
        <v>0</v>
      </c>
      <c r="K545">
        <v>69</v>
      </c>
      <c r="L545">
        <v>28</v>
      </c>
      <c r="M545">
        <v>249</v>
      </c>
      <c r="N545">
        <v>756</v>
      </c>
      <c r="O545">
        <v>2284</v>
      </c>
    </row>
    <row r="546" spans="1:15">
      <c r="A546">
        <v>5553957443</v>
      </c>
      <c r="B546" s="1">
        <v>42480</v>
      </c>
      <c r="C546">
        <v>2713</v>
      </c>
      <c r="D546">
        <v>1.7699999809265099</v>
      </c>
      <c r="E546">
        <v>1.7699999809265099</v>
      </c>
      <c r="F546">
        <v>0</v>
      </c>
      <c r="G546">
        <v>0</v>
      </c>
      <c r="H546">
        <v>0</v>
      </c>
      <c r="I546">
        <v>1.7699999809265099</v>
      </c>
      <c r="J546">
        <v>0</v>
      </c>
      <c r="K546">
        <v>0</v>
      </c>
      <c r="L546">
        <v>0</v>
      </c>
      <c r="M546">
        <v>148</v>
      </c>
      <c r="N546">
        <v>598</v>
      </c>
      <c r="O546">
        <v>1570</v>
      </c>
    </row>
    <row r="547" spans="1:15">
      <c r="A547">
        <v>5553957443</v>
      </c>
      <c r="B547" s="1">
        <v>42481</v>
      </c>
      <c r="C547">
        <v>12346</v>
      </c>
      <c r="D547">
        <v>8.0600004196166992</v>
      </c>
      <c r="E547">
        <v>8.0600004196166992</v>
      </c>
      <c r="F547">
        <v>0</v>
      </c>
      <c r="G547">
        <v>2.9500000476837198</v>
      </c>
      <c r="H547">
        <v>2.1600000858306898</v>
      </c>
      <c r="I547">
        <v>2.96000003814697</v>
      </c>
      <c r="J547">
        <v>0</v>
      </c>
      <c r="K547">
        <v>47</v>
      </c>
      <c r="L547">
        <v>42</v>
      </c>
      <c r="M547">
        <v>177</v>
      </c>
      <c r="N547">
        <v>801</v>
      </c>
      <c r="O547">
        <v>2066</v>
      </c>
    </row>
    <row r="548" spans="1:15">
      <c r="A548">
        <v>5553957443</v>
      </c>
      <c r="B548" s="1">
        <v>42482</v>
      </c>
      <c r="C548">
        <v>11682</v>
      </c>
      <c r="D548">
        <v>7.6300001144409197</v>
      </c>
      <c r="E548">
        <v>7.6300001144409197</v>
      </c>
      <c r="F548">
        <v>0</v>
      </c>
      <c r="G548">
        <v>1.37999999523163</v>
      </c>
      <c r="H548">
        <v>0.62999999523162797</v>
      </c>
      <c r="I548">
        <v>5.5999999046325701</v>
      </c>
      <c r="J548">
        <v>0</v>
      </c>
      <c r="K548">
        <v>25</v>
      </c>
      <c r="L548">
        <v>16</v>
      </c>
      <c r="M548">
        <v>270</v>
      </c>
      <c r="N548">
        <v>781</v>
      </c>
      <c r="O548">
        <v>2105</v>
      </c>
    </row>
    <row r="549" spans="1:15">
      <c r="A549">
        <v>5553957443</v>
      </c>
      <c r="B549" s="1">
        <v>42483</v>
      </c>
      <c r="C549">
        <v>4112</v>
      </c>
      <c r="D549">
        <v>2.6900000572204599</v>
      </c>
      <c r="E549">
        <v>2.6900000572204599</v>
      </c>
      <c r="F549">
        <v>0</v>
      </c>
      <c r="G549">
        <v>0</v>
      </c>
      <c r="H549">
        <v>0</v>
      </c>
      <c r="I549">
        <v>2.6800000667571999</v>
      </c>
      <c r="J549">
        <v>0</v>
      </c>
      <c r="K549">
        <v>0</v>
      </c>
      <c r="L549">
        <v>0</v>
      </c>
      <c r="M549">
        <v>272</v>
      </c>
      <c r="N549">
        <v>443</v>
      </c>
      <c r="O549">
        <v>1776</v>
      </c>
    </row>
    <row r="550" spans="1:15">
      <c r="A550">
        <v>5553957443</v>
      </c>
      <c r="B550" s="1">
        <v>42484</v>
      </c>
      <c r="C550">
        <v>1807</v>
      </c>
      <c r="D550">
        <v>1.1799999475479099</v>
      </c>
      <c r="E550">
        <v>1.1799999475479099</v>
      </c>
      <c r="F550">
        <v>0</v>
      </c>
      <c r="G550">
        <v>0</v>
      </c>
      <c r="H550">
        <v>0</v>
      </c>
      <c r="I550">
        <v>1.1799999475479099</v>
      </c>
      <c r="J550">
        <v>0</v>
      </c>
      <c r="K550">
        <v>0</v>
      </c>
      <c r="L550">
        <v>0</v>
      </c>
      <c r="M550">
        <v>104</v>
      </c>
      <c r="N550">
        <v>582</v>
      </c>
      <c r="O550">
        <v>1507</v>
      </c>
    </row>
    <row r="551" spans="1:15">
      <c r="A551">
        <v>5553957443</v>
      </c>
      <c r="B551" s="1">
        <v>42485</v>
      </c>
      <c r="C551">
        <v>10946</v>
      </c>
      <c r="D551">
        <v>7.1900000572204599</v>
      </c>
      <c r="E551">
        <v>7.1900000572204599</v>
      </c>
      <c r="F551">
        <v>0</v>
      </c>
      <c r="G551">
        <v>2.9300000667571999</v>
      </c>
      <c r="H551">
        <v>0.56999999284744296</v>
      </c>
      <c r="I551">
        <v>3.6900000572204599</v>
      </c>
      <c r="J551">
        <v>0</v>
      </c>
      <c r="K551">
        <v>51</v>
      </c>
      <c r="L551">
        <v>11</v>
      </c>
      <c r="M551">
        <v>201</v>
      </c>
      <c r="N551">
        <v>732</v>
      </c>
      <c r="O551">
        <v>2033</v>
      </c>
    </row>
    <row r="552" spans="1:15">
      <c r="A552">
        <v>5553957443</v>
      </c>
      <c r="B552" s="1">
        <v>42486</v>
      </c>
      <c r="C552">
        <v>11886</v>
      </c>
      <c r="D552">
        <v>7.7600002288818404</v>
      </c>
      <c r="E552">
        <v>7.7600002288818404</v>
      </c>
      <c r="F552">
        <v>0</v>
      </c>
      <c r="G552">
        <v>2.3699998855590798</v>
      </c>
      <c r="H552">
        <v>0.93000000715255704</v>
      </c>
      <c r="I552">
        <v>4.46000003814697</v>
      </c>
      <c r="J552">
        <v>0</v>
      </c>
      <c r="K552">
        <v>40</v>
      </c>
      <c r="L552">
        <v>18</v>
      </c>
      <c r="M552">
        <v>238</v>
      </c>
      <c r="N552">
        <v>750</v>
      </c>
      <c r="O552">
        <v>2093</v>
      </c>
    </row>
    <row r="553" spans="1:15">
      <c r="A553">
        <v>5553957443</v>
      </c>
      <c r="B553" s="1">
        <v>42487</v>
      </c>
      <c r="C553">
        <v>10538</v>
      </c>
      <c r="D553">
        <v>6.8800001144409197</v>
      </c>
      <c r="E553">
        <v>6.8800001144409197</v>
      </c>
      <c r="F553">
        <v>0</v>
      </c>
      <c r="G553">
        <v>1.1399999856948899</v>
      </c>
      <c r="H553">
        <v>1</v>
      </c>
      <c r="I553">
        <v>4.7399997711181596</v>
      </c>
      <c r="J553">
        <v>0</v>
      </c>
      <c r="K553">
        <v>16</v>
      </c>
      <c r="L553">
        <v>16</v>
      </c>
      <c r="M553">
        <v>206</v>
      </c>
      <c r="N553">
        <v>745</v>
      </c>
      <c r="O553">
        <v>1922</v>
      </c>
    </row>
    <row r="554" spans="1:15">
      <c r="A554">
        <v>5553957443</v>
      </c>
      <c r="B554" s="1">
        <v>42488</v>
      </c>
      <c r="C554">
        <v>11393</v>
      </c>
      <c r="D554">
        <v>7.6300001144409197</v>
      </c>
      <c r="E554">
        <v>7.6300001144409197</v>
      </c>
      <c r="F554">
        <v>0</v>
      </c>
      <c r="G554">
        <v>3.71000003814697</v>
      </c>
      <c r="H554">
        <v>0.75</v>
      </c>
      <c r="I554">
        <v>3.1700000762939502</v>
      </c>
      <c r="J554">
        <v>0</v>
      </c>
      <c r="K554">
        <v>49</v>
      </c>
      <c r="L554">
        <v>13</v>
      </c>
      <c r="M554">
        <v>165</v>
      </c>
      <c r="N554">
        <v>727</v>
      </c>
      <c r="O554">
        <v>1999</v>
      </c>
    </row>
    <row r="555" spans="1:15">
      <c r="A555">
        <v>5553957443</v>
      </c>
      <c r="B555" s="1">
        <v>42489</v>
      </c>
      <c r="C555">
        <v>12764</v>
      </c>
      <c r="D555">
        <v>8.3299999237060494</v>
      </c>
      <c r="E555">
        <v>8.3299999237060494</v>
      </c>
      <c r="F555">
        <v>0</v>
      </c>
      <c r="G555">
        <v>2.78999996185303</v>
      </c>
      <c r="H555">
        <v>0.63999998569488503</v>
      </c>
      <c r="I555">
        <v>4.9099998474121103</v>
      </c>
      <c r="J555">
        <v>0</v>
      </c>
      <c r="K555">
        <v>46</v>
      </c>
      <c r="L555">
        <v>15</v>
      </c>
      <c r="M555">
        <v>270</v>
      </c>
      <c r="N555">
        <v>709</v>
      </c>
      <c r="O555">
        <v>2169</v>
      </c>
    </row>
    <row r="556" spans="1:15">
      <c r="A556">
        <v>5553957443</v>
      </c>
      <c r="B556" s="1">
        <v>42490</v>
      </c>
      <c r="C556">
        <v>1202</v>
      </c>
      <c r="D556">
        <v>0.77999997138977095</v>
      </c>
      <c r="E556">
        <v>0.77999997138977095</v>
      </c>
      <c r="F556">
        <v>0</v>
      </c>
      <c r="G556">
        <v>0</v>
      </c>
      <c r="H556">
        <v>0</v>
      </c>
      <c r="I556">
        <v>0.77999997138977095</v>
      </c>
      <c r="J556">
        <v>0</v>
      </c>
      <c r="K556">
        <v>0</v>
      </c>
      <c r="L556">
        <v>0</v>
      </c>
      <c r="M556">
        <v>84</v>
      </c>
      <c r="N556">
        <v>506</v>
      </c>
      <c r="O556">
        <v>1463</v>
      </c>
    </row>
    <row r="557" spans="1:15">
      <c r="A557">
        <v>5553957443</v>
      </c>
      <c r="B557" s="1">
        <v>42491</v>
      </c>
      <c r="C557">
        <v>5164</v>
      </c>
      <c r="D557">
        <v>3.3699998855590798</v>
      </c>
      <c r="E557">
        <v>3.3699998855590798</v>
      </c>
      <c r="F557">
        <v>0</v>
      </c>
      <c r="G557">
        <v>0</v>
      </c>
      <c r="H557">
        <v>0</v>
      </c>
      <c r="I557">
        <v>3.3699998855590798</v>
      </c>
      <c r="J557">
        <v>0</v>
      </c>
      <c r="K557">
        <v>0</v>
      </c>
      <c r="L557">
        <v>0</v>
      </c>
      <c r="M557">
        <v>237</v>
      </c>
      <c r="N557">
        <v>436</v>
      </c>
      <c r="O557">
        <v>1747</v>
      </c>
    </row>
    <row r="558" spans="1:15">
      <c r="A558">
        <v>5553957443</v>
      </c>
      <c r="B558" s="1">
        <v>42492</v>
      </c>
      <c r="C558">
        <v>9769</v>
      </c>
      <c r="D558">
        <v>6.3800001144409197</v>
      </c>
      <c r="E558">
        <v>6.3800001144409197</v>
      </c>
      <c r="F558">
        <v>0</v>
      </c>
      <c r="G558">
        <v>1.0599999427795399</v>
      </c>
      <c r="H558">
        <v>0.40999999642372098</v>
      </c>
      <c r="I558">
        <v>4.9000000953674299</v>
      </c>
      <c r="J558">
        <v>0</v>
      </c>
      <c r="K558">
        <v>23</v>
      </c>
      <c r="L558">
        <v>9</v>
      </c>
      <c r="M558">
        <v>227</v>
      </c>
      <c r="N558">
        <v>724</v>
      </c>
      <c r="O558">
        <v>1996</v>
      </c>
    </row>
    <row r="559" spans="1:15">
      <c r="A559">
        <v>5553957443</v>
      </c>
      <c r="B559" s="1">
        <v>42493</v>
      </c>
      <c r="C559">
        <v>12848</v>
      </c>
      <c r="D559">
        <v>8.3900003433227504</v>
      </c>
      <c r="E559">
        <v>8.3900003433227504</v>
      </c>
      <c r="F559">
        <v>0</v>
      </c>
      <c r="G559">
        <v>1.5</v>
      </c>
      <c r="H559">
        <v>1.20000004768372</v>
      </c>
      <c r="I559">
        <v>5.6799998283386204</v>
      </c>
      <c r="J559">
        <v>0</v>
      </c>
      <c r="K559">
        <v>26</v>
      </c>
      <c r="L559">
        <v>29</v>
      </c>
      <c r="M559">
        <v>247</v>
      </c>
      <c r="N559">
        <v>812</v>
      </c>
      <c r="O559">
        <v>2116</v>
      </c>
    </row>
    <row r="560" spans="1:15">
      <c r="A560">
        <v>5553957443</v>
      </c>
      <c r="B560" s="1">
        <v>42494</v>
      </c>
      <c r="C560">
        <v>4249</v>
      </c>
      <c r="D560">
        <v>2.7699999809265101</v>
      </c>
      <c r="E560">
        <v>2.7699999809265101</v>
      </c>
      <c r="F560">
        <v>0</v>
      </c>
      <c r="G560">
        <v>0</v>
      </c>
      <c r="H560">
        <v>0</v>
      </c>
      <c r="I560">
        <v>2.7699999809265101</v>
      </c>
      <c r="J560">
        <v>0</v>
      </c>
      <c r="K560">
        <v>0</v>
      </c>
      <c r="L560">
        <v>0</v>
      </c>
      <c r="M560">
        <v>224</v>
      </c>
      <c r="N560">
        <v>651</v>
      </c>
      <c r="O560">
        <v>1698</v>
      </c>
    </row>
    <row r="561" spans="1:15">
      <c r="A561">
        <v>5553957443</v>
      </c>
      <c r="B561" s="1">
        <v>42495</v>
      </c>
      <c r="C561">
        <v>14331</v>
      </c>
      <c r="D561">
        <v>9.5100002288818395</v>
      </c>
      <c r="E561">
        <v>9.5100002288818395</v>
      </c>
      <c r="F561">
        <v>0</v>
      </c>
      <c r="G561">
        <v>3.4300000667571999</v>
      </c>
      <c r="H561">
        <v>1.6599999666214</v>
      </c>
      <c r="I561">
        <v>4.4299998283386204</v>
      </c>
      <c r="J561">
        <v>0</v>
      </c>
      <c r="K561">
        <v>44</v>
      </c>
      <c r="L561">
        <v>29</v>
      </c>
      <c r="M561">
        <v>241</v>
      </c>
      <c r="N561">
        <v>692</v>
      </c>
      <c r="O561">
        <v>2156</v>
      </c>
    </row>
    <row r="562" spans="1:15">
      <c r="A562">
        <v>5553957443</v>
      </c>
      <c r="B562" s="1">
        <v>42496</v>
      </c>
      <c r="C562">
        <v>9632</v>
      </c>
      <c r="D562">
        <v>6.28999996185303</v>
      </c>
      <c r="E562">
        <v>6.28999996185303</v>
      </c>
      <c r="F562">
        <v>0</v>
      </c>
      <c r="G562">
        <v>1.5199999809265099</v>
      </c>
      <c r="H562">
        <v>0.54000002145767201</v>
      </c>
      <c r="I562">
        <v>4.2300000190734899</v>
      </c>
      <c r="J562">
        <v>0</v>
      </c>
      <c r="K562">
        <v>21</v>
      </c>
      <c r="L562">
        <v>9</v>
      </c>
      <c r="M562">
        <v>229</v>
      </c>
      <c r="N562">
        <v>761</v>
      </c>
      <c r="O562">
        <v>1916</v>
      </c>
    </row>
    <row r="563" spans="1:15">
      <c r="A563">
        <v>5553957443</v>
      </c>
      <c r="B563" s="1">
        <v>42497</v>
      </c>
      <c r="C563">
        <v>1868</v>
      </c>
      <c r="D563">
        <v>1.2200000286102299</v>
      </c>
      <c r="E563">
        <v>1.2200000286102299</v>
      </c>
      <c r="F563">
        <v>0</v>
      </c>
      <c r="G563">
        <v>0</v>
      </c>
      <c r="H563">
        <v>0</v>
      </c>
      <c r="I563">
        <v>1.2200000286102299</v>
      </c>
      <c r="J563">
        <v>0</v>
      </c>
      <c r="K563">
        <v>0</v>
      </c>
      <c r="L563">
        <v>0</v>
      </c>
      <c r="M563">
        <v>96</v>
      </c>
      <c r="N563">
        <v>902</v>
      </c>
      <c r="O563">
        <v>1494</v>
      </c>
    </row>
    <row r="564" spans="1:15">
      <c r="A564">
        <v>5553957443</v>
      </c>
      <c r="B564" s="1">
        <v>42498</v>
      </c>
      <c r="C564">
        <v>6083</v>
      </c>
      <c r="D564">
        <v>4</v>
      </c>
      <c r="E564">
        <v>4</v>
      </c>
      <c r="F564">
        <v>0</v>
      </c>
      <c r="G564">
        <v>0.21999999880790699</v>
      </c>
      <c r="H564">
        <v>0.46999999880790699</v>
      </c>
      <c r="I564">
        <v>3.2999999523162802</v>
      </c>
      <c r="J564">
        <v>0</v>
      </c>
      <c r="K564">
        <v>3</v>
      </c>
      <c r="L564">
        <v>8</v>
      </c>
      <c r="M564">
        <v>210</v>
      </c>
      <c r="N564">
        <v>505</v>
      </c>
      <c r="O564">
        <v>1762</v>
      </c>
    </row>
    <row r="565" spans="1:15">
      <c r="A565">
        <v>5553957443</v>
      </c>
      <c r="B565" s="1">
        <v>42499</v>
      </c>
      <c r="C565">
        <v>11611</v>
      </c>
      <c r="D565">
        <v>7.5799999237060502</v>
      </c>
      <c r="E565">
        <v>7.5799999237060502</v>
      </c>
      <c r="F565">
        <v>0</v>
      </c>
      <c r="G565">
        <v>2.1300001144409202</v>
      </c>
      <c r="H565">
        <v>0.88999998569488503</v>
      </c>
      <c r="I565">
        <v>4.5599999427795401</v>
      </c>
      <c r="J565">
        <v>0</v>
      </c>
      <c r="K565">
        <v>59</v>
      </c>
      <c r="L565">
        <v>22</v>
      </c>
      <c r="M565">
        <v>251</v>
      </c>
      <c r="N565">
        <v>667</v>
      </c>
      <c r="O565">
        <v>2272</v>
      </c>
    </row>
    <row r="566" spans="1:15">
      <c r="A566">
        <v>5553957443</v>
      </c>
      <c r="B566" s="1">
        <v>42500</v>
      </c>
      <c r="C566">
        <v>16358</v>
      </c>
      <c r="D566">
        <v>10.710000038146999</v>
      </c>
      <c r="E566">
        <v>10.710000038146999</v>
      </c>
      <c r="F566">
        <v>0</v>
      </c>
      <c r="G566">
        <v>3.8699998855590798</v>
      </c>
      <c r="H566">
        <v>1.6100000143051101</v>
      </c>
      <c r="I566">
        <v>5.1999998092651403</v>
      </c>
      <c r="J566">
        <v>0</v>
      </c>
      <c r="K566">
        <v>61</v>
      </c>
      <c r="L566">
        <v>40</v>
      </c>
      <c r="M566">
        <v>265</v>
      </c>
      <c r="N566">
        <v>707</v>
      </c>
      <c r="O566">
        <v>2335</v>
      </c>
    </row>
    <row r="567" spans="1:15">
      <c r="A567">
        <v>5553957443</v>
      </c>
      <c r="B567" s="1">
        <v>42501</v>
      </c>
      <c r="C567">
        <v>4926</v>
      </c>
      <c r="D567">
        <v>3.2200000286102299</v>
      </c>
      <c r="E567">
        <v>3.2200000286102299</v>
      </c>
      <c r="F567">
        <v>0</v>
      </c>
      <c r="G567">
        <v>0</v>
      </c>
      <c r="H567">
        <v>0</v>
      </c>
      <c r="I567">
        <v>3.2200000286102299</v>
      </c>
      <c r="J567">
        <v>0</v>
      </c>
      <c r="K567">
        <v>0</v>
      </c>
      <c r="L567">
        <v>0</v>
      </c>
      <c r="M567">
        <v>195</v>
      </c>
      <c r="N567">
        <v>628</v>
      </c>
      <c r="O567">
        <v>1693</v>
      </c>
    </row>
    <row r="568" spans="1:15">
      <c r="A568">
        <v>5553957443</v>
      </c>
      <c r="B568" s="1">
        <v>42502</v>
      </c>
      <c r="C568">
        <v>3121</v>
      </c>
      <c r="D568">
        <v>2.03999996185303</v>
      </c>
      <c r="E568">
        <v>2.03999996185303</v>
      </c>
      <c r="F568">
        <v>0</v>
      </c>
      <c r="G568">
        <v>0.57999998331069902</v>
      </c>
      <c r="H568">
        <v>0.40000000596046398</v>
      </c>
      <c r="I568">
        <v>1.0599999427795399</v>
      </c>
      <c r="J568">
        <v>0</v>
      </c>
      <c r="K568">
        <v>8</v>
      </c>
      <c r="L568">
        <v>6</v>
      </c>
      <c r="M568">
        <v>48</v>
      </c>
      <c r="N568">
        <v>222</v>
      </c>
      <c r="O568">
        <v>741</v>
      </c>
    </row>
    <row r="569" spans="1:15">
      <c r="A569">
        <v>5577150313</v>
      </c>
      <c r="B569" s="1">
        <v>42472</v>
      </c>
      <c r="C569">
        <v>8135</v>
      </c>
      <c r="D569">
        <v>6.0799999237060502</v>
      </c>
      <c r="E569">
        <v>6.0799999237060502</v>
      </c>
      <c r="F569">
        <v>0</v>
      </c>
      <c r="G569">
        <v>3.5999999046325701</v>
      </c>
      <c r="H569">
        <v>0.37999999523162797</v>
      </c>
      <c r="I569">
        <v>2.0999999046325701</v>
      </c>
      <c r="J569">
        <v>0</v>
      </c>
      <c r="K569">
        <v>86</v>
      </c>
      <c r="L569">
        <v>16</v>
      </c>
      <c r="M569">
        <v>140</v>
      </c>
      <c r="N569">
        <v>728</v>
      </c>
      <c r="O569">
        <v>3405</v>
      </c>
    </row>
    <row r="570" spans="1:15">
      <c r="A570">
        <v>5577150313</v>
      </c>
      <c r="B570" s="1">
        <v>42473</v>
      </c>
      <c r="C570">
        <v>5077</v>
      </c>
      <c r="D570">
        <v>3.78999996185303</v>
      </c>
      <c r="E570">
        <v>3.78999996185303</v>
      </c>
      <c r="F570">
        <v>0</v>
      </c>
      <c r="G570">
        <v>0.31999999284744302</v>
      </c>
      <c r="H570">
        <v>0.21999999880790699</v>
      </c>
      <c r="I570">
        <v>3.25</v>
      </c>
      <c r="J570">
        <v>0</v>
      </c>
      <c r="K570">
        <v>15</v>
      </c>
      <c r="L570">
        <v>11</v>
      </c>
      <c r="M570">
        <v>144</v>
      </c>
      <c r="N570">
        <v>776</v>
      </c>
      <c r="O570">
        <v>2551</v>
      </c>
    </row>
    <row r="571" spans="1:15">
      <c r="A571">
        <v>5577150313</v>
      </c>
      <c r="B571" s="1">
        <v>42474</v>
      </c>
      <c r="C571">
        <v>8596</v>
      </c>
      <c r="D571">
        <v>6.4200000762939498</v>
      </c>
      <c r="E571">
        <v>6.4200000762939498</v>
      </c>
      <c r="F571">
        <v>0</v>
      </c>
      <c r="G571">
        <v>3.3299999237060498</v>
      </c>
      <c r="H571">
        <v>0.31000000238418601</v>
      </c>
      <c r="I571">
        <v>2.7799999713897701</v>
      </c>
      <c r="J571">
        <v>0</v>
      </c>
      <c r="K571">
        <v>118</v>
      </c>
      <c r="L571">
        <v>30</v>
      </c>
      <c r="M571">
        <v>176</v>
      </c>
      <c r="N571">
        <v>662</v>
      </c>
      <c r="O571">
        <v>4022</v>
      </c>
    </row>
    <row r="572" spans="1:15">
      <c r="A572">
        <v>5577150313</v>
      </c>
      <c r="B572" s="1">
        <v>42475</v>
      </c>
      <c r="C572">
        <v>12087</v>
      </c>
      <c r="D572">
        <v>9.0799999237060494</v>
      </c>
      <c r="E572">
        <v>9.0799999237060494</v>
      </c>
      <c r="F572">
        <v>0</v>
      </c>
      <c r="G572">
        <v>3.9200000762939502</v>
      </c>
      <c r="H572">
        <v>1.6000000238418599</v>
      </c>
      <c r="I572">
        <v>3.5599999427795401</v>
      </c>
      <c r="J572">
        <v>0</v>
      </c>
      <c r="K572">
        <v>115</v>
      </c>
      <c r="L572">
        <v>54</v>
      </c>
      <c r="M572">
        <v>199</v>
      </c>
      <c r="N572">
        <v>695</v>
      </c>
      <c r="O572">
        <v>4005</v>
      </c>
    </row>
    <row r="573" spans="1:15">
      <c r="A573">
        <v>5577150313</v>
      </c>
      <c r="B573" s="1">
        <v>42476</v>
      </c>
      <c r="C573">
        <v>14269</v>
      </c>
      <c r="D573">
        <v>10.6599998474121</v>
      </c>
      <c r="E573">
        <v>10.6599998474121</v>
      </c>
      <c r="F573">
        <v>0</v>
      </c>
      <c r="G573">
        <v>6.6399998664856001</v>
      </c>
      <c r="H573">
        <v>1.2799999713897701</v>
      </c>
      <c r="I573">
        <v>2.7300000190734899</v>
      </c>
      <c r="J573">
        <v>0</v>
      </c>
      <c r="K573">
        <v>184</v>
      </c>
      <c r="L573">
        <v>56</v>
      </c>
      <c r="M573">
        <v>158</v>
      </c>
      <c r="N573">
        <v>472</v>
      </c>
      <c r="O573">
        <v>4274</v>
      </c>
    </row>
    <row r="574" spans="1:15">
      <c r="A574">
        <v>5577150313</v>
      </c>
      <c r="B574" s="1">
        <v>42477</v>
      </c>
      <c r="C574">
        <v>12231</v>
      </c>
      <c r="D574">
        <v>9.1400003433227504</v>
      </c>
      <c r="E574">
        <v>9.1400003433227504</v>
      </c>
      <c r="F574">
        <v>0</v>
      </c>
      <c r="G574">
        <v>5.9800000190734899</v>
      </c>
      <c r="H574">
        <v>0.82999998331069902</v>
      </c>
      <c r="I574">
        <v>2.3199999332428001</v>
      </c>
      <c r="J574">
        <v>0</v>
      </c>
      <c r="K574">
        <v>200</v>
      </c>
      <c r="L574">
        <v>37</v>
      </c>
      <c r="M574">
        <v>159</v>
      </c>
      <c r="N574">
        <v>525</v>
      </c>
      <c r="O574">
        <v>4552</v>
      </c>
    </row>
    <row r="575" spans="1:15">
      <c r="A575">
        <v>5577150313</v>
      </c>
      <c r="B575" s="1">
        <v>42478</v>
      </c>
      <c r="C575">
        <v>9893</v>
      </c>
      <c r="D575">
        <v>7.3899998664856001</v>
      </c>
      <c r="E575">
        <v>7.3899998664856001</v>
      </c>
      <c r="F575">
        <v>0</v>
      </c>
      <c r="G575">
        <v>4.8600001335143999</v>
      </c>
      <c r="H575">
        <v>0.72000002861022905</v>
      </c>
      <c r="I575">
        <v>1.8200000524520901</v>
      </c>
      <c r="J575">
        <v>0</v>
      </c>
      <c r="K575">
        <v>114</v>
      </c>
      <c r="L575">
        <v>32</v>
      </c>
      <c r="M575">
        <v>130</v>
      </c>
      <c r="N575">
        <v>623</v>
      </c>
      <c r="O575">
        <v>3625</v>
      </c>
    </row>
    <row r="576" spans="1:15">
      <c r="A576">
        <v>5577150313</v>
      </c>
      <c r="B576" s="1">
        <v>42479</v>
      </c>
      <c r="C576">
        <v>12574</v>
      </c>
      <c r="D576">
        <v>9.4200000762939506</v>
      </c>
      <c r="E576">
        <v>9.4200000762939506</v>
      </c>
      <c r="F576">
        <v>0</v>
      </c>
      <c r="G576">
        <v>7.0199999809265101</v>
      </c>
      <c r="H576">
        <v>0.63999998569488503</v>
      </c>
      <c r="I576">
        <v>1.7599999904632599</v>
      </c>
      <c r="J576">
        <v>0</v>
      </c>
      <c r="K576">
        <v>108</v>
      </c>
      <c r="L576">
        <v>23</v>
      </c>
      <c r="M576">
        <v>111</v>
      </c>
      <c r="N576">
        <v>733</v>
      </c>
      <c r="O576">
        <v>3501</v>
      </c>
    </row>
    <row r="577" spans="1:15">
      <c r="A577">
        <v>5577150313</v>
      </c>
      <c r="B577" s="1">
        <v>42480</v>
      </c>
      <c r="C577">
        <v>8330</v>
      </c>
      <c r="D577">
        <v>6.2199997901916504</v>
      </c>
      <c r="E577">
        <v>6.2199997901916504</v>
      </c>
      <c r="F577">
        <v>0</v>
      </c>
      <c r="G577">
        <v>4.1199998855590803</v>
      </c>
      <c r="H577">
        <v>0.34000000357627902</v>
      </c>
      <c r="I577">
        <v>1.7599999904632599</v>
      </c>
      <c r="J577">
        <v>0</v>
      </c>
      <c r="K577">
        <v>87</v>
      </c>
      <c r="L577">
        <v>16</v>
      </c>
      <c r="M577">
        <v>113</v>
      </c>
      <c r="N577">
        <v>773</v>
      </c>
      <c r="O577">
        <v>3192</v>
      </c>
    </row>
    <row r="578" spans="1:15">
      <c r="A578">
        <v>5577150313</v>
      </c>
      <c r="B578" s="1">
        <v>42481</v>
      </c>
      <c r="C578">
        <v>10830</v>
      </c>
      <c r="D578">
        <v>8.0900001525878906</v>
      </c>
      <c r="E578">
        <v>8.0900001525878906</v>
      </c>
      <c r="F578">
        <v>0</v>
      </c>
      <c r="G578">
        <v>3.6500000953674299</v>
      </c>
      <c r="H578">
        <v>1.6599999666214</v>
      </c>
      <c r="I578">
        <v>2.7799999713897701</v>
      </c>
      <c r="J578">
        <v>0</v>
      </c>
      <c r="K578">
        <v>110</v>
      </c>
      <c r="L578">
        <v>74</v>
      </c>
      <c r="M578">
        <v>175</v>
      </c>
      <c r="N578">
        <v>670</v>
      </c>
      <c r="O578">
        <v>4018</v>
      </c>
    </row>
    <row r="579" spans="1:15">
      <c r="A579">
        <v>5577150313</v>
      </c>
      <c r="B579" s="1">
        <v>42482</v>
      </c>
      <c r="C579">
        <v>9172</v>
      </c>
      <c r="D579">
        <v>6.8499999046325701</v>
      </c>
      <c r="E579">
        <v>6.8499999046325701</v>
      </c>
      <c r="F579">
        <v>0</v>
      </c>
      <c r="G579">
        <v>2.4200000762939502</v>
      </c>
      <c r="H579">
        <v>0.79000002145767201</v>
      </c>
      <c r="I579">
        <v>3.2999999523162802</v>
      </c>
      <c r="J579">
        <v>0</v>
      </c>
      <c r="K579">
        <v>62</v>
      </c>
      <c r="L579">
        <v>30</v>
      </c>
      <c r="M579">
        <v>200</v>
      </c>
      <c r="N579">
        <v>823</v>
      </c>
      <c r="O579">
        <v>3329</v>
      </c>
    </row>
    <row r="580" spans="1:15">
      <c r="A580">
        <v>5577150313</v>
      </c>
      <c r="B580" s="1">
        <v>42483</v>
      </c>
      <c r="C580">
        <v>7638</v>
      </c>
      <c r="D580">
        <v>5.71000003814697</v>
      </c>
      <c r="E580">
        <v>5.71000003814697</v>
      </c>
      <c r="F580">
        <v>0</v>
      </c>
      <c r="G580">
        <v>1.21000003814697</v>
      </c>
      <c r="H580">
        <v>0.36000001430511502</v>
      </c>
      <c r="I580">
        <v>4.1399998664856001</v>
      </c>
      <c r="J580">
        <v>0</v>
      </c>
      <c r="K580">
        <v>24</v>
      </c>
      <c r="L580">
        <v>24</v>
      </c>
      <c r="M580">
        <v>223</v>
      </c>
      <c r="N580">
        <v>627</v>
      </c>
      <c r="O580">
        <v>3152</v>
      </c>
    </row>
    <row r="581" spans="1:15">
      <c r="A581">
        <v>5577150313</v>
      </c>
      <c r="B581" s="1">
        <v>42484</v>
      </c>
      <c r="C581">
        <v>15764</v>
      </c>
      <c r="D581">
        <v>11.7799997329712</v>
      </c>
      <c r="E581">
        <v>11.7799997329712</v>
      </c>
      <c r="F581">
        <v>0</v>
      </c>
      <c r="G581">
        <v>7.6500000953674299</v>
      </c>
      <c r="H581">
        <v>2.1500000953674299</v>
      </c>
      <c r="I581">
        <v>1.9800000190734901</v>
      </c>
      <c r="J581">
        <v>0</v>
      </c>
      <c r="K581">
        <v>210</v>
      </c>
      <c r="L581">
        <v>65</v>
      </c>
      <c r="M581">
        <v>141</v>
      </c>
      <c r="N581">
        <v>425</v>
      </c>
      <c r="O581">
        <v>4392</v>
      </c>
    </row>
    <row r="582" spans="1:15">
      <c r="A582">
        <v>5577150313</v>
      </c>
      <c r="B582" s="1">
        <v>42485</v>
      </c>
      <c r="C582">
        <v>6393</v>
      </c>
      <c r="D582">
        <v>4.7800002098083496</v>
      </c>
      <c r="E582">
        <v>4.7800002098083496</v>
      </c>
      <c r="F582">
        <v>0</v>
      </c>
      <c r="G582">
        <v>1.3500000238418599</v>
      </c>
      <c r="H582">
        <v>0.67000001668930098</v>
      </c>
      <c r="I582">
        <v>2.7599999904632599</v>
      </c>
      <c r="J582">
        <v>0</v>
      </c>
      <c r="K582">
        <v>61</v>
      </c>
      <c r="L582">
        <v>38</v>
      </c>
      <c r="M582">
        <v>214</v>
      </c>
      <c r="N582">
        <v>743</v>
      </c>
      <c r="O582">
        <v>3374</v>
      </c>
    </row>
    <row r="583" spans="1:15">
      <c r="A583">
        <v>5577150313</v>
      </c>
      <c r="B583" s="1">
        <v>42486</v>
      </c>
      <c r="C583">
        <v>5325</v>
      </c>
      <c r="D583">
        <v>3.9800000190734899</v>
      </c>
      <c r="E583">
        <v>3.9800000190734899</v>
      </c>
      <c r="F583">
        <v>0</v>
      </c>
      <c r="G583">
        <v>0.85000002384185802</v>
      </c>
      <c r="H583">
        <v>0.64999997615814198</v>
      </c>
      <c r="I583">
        <v>2.4700000286102299</v>
      </c>
      <c r="J583">
        <v>0</v>
      </c>
      <c r="K583">
        <v>38</v>
      </c>
      <c r="L583">
        <v>32</v>
      </c>
      <c r="M583">
        <v>181</v>
      </c>
      <c r="N583">
        <v>759</v>
      </c>
      <c r="O583">
        <v>3088</v>
      </c>
    </row>
    <row r="584" spans="1:15">
      <c r="A584">
        <v>5577150313</v>
      </c>
      <c r="B584" s="1">
        <v>42487</v>
      </c>
      <c r="C584">
        <v>6805</v>
      </c>
      <c r="D584">
        <v>5.1399998664856001</v>
      </c>
      <c r="E584">
        <v>5.1399998664856001</v>
      </c>
      <c r="F584">
        <v>0</v>
      </c>
      <c r="G584">
        <v>1.8099999427795399</v>
      </c>
      <c r="H584">
        <v>0.40000000596046398</v>
      </c>
      <c r="I584">
        <v>2.9300000667571999</v>
      </c>
      <c r="J584">
        <v>0</v>
      </c>
      <c r="K584">
        <v>63</v>
      </c>
      <c r="L584">
        <v>16</v>
      </c>
      <c r="M584">
        <v>190</v>
      </c>
      <c r="N584">
        <v>773</v>
      </c>
      <c r="O584">
        <v>3294</v>
      </c>
    </row>
    <row r="585" spans="1:15">
      <c r="A585">
        <v>5577150313</v>
      </c>
      <c r="B585" s="1">
        <v>42488</v>
      </c>
      <c r="C585">
        <v>9841</v>
      </c>
      <c r="D585">
        <v>7.4299998283386204</v>
      </c>
      <c r="E585">
        <v>7.4299998283386204</v>
      </c>
      <c r="F585">
        <v>0</v>
      </c>
      <c r="G585">
        <v>3.25</v>
      </c>
      <c r="H585">
        <v>1.16999995708466</v>
      </c>
      <c r="I585">
        <v>3.0099999904632599</v>
      </c>
      <c r="J585">
        <v>0</v>
      </c>
      <c r="K585">
        <v>99</v>
      </c>
      <c r="L585">
        <v>51</v>
      </c>
      <c r="M585">
        <v>141</v>
      </c>
      <c r="N585">
        <v>692</v>
      </c>
      <c r="O585">
        <v>3580</v>
      </c>
    </row>
    <row r="586" spans="1:15">
      <c r="A586">
        <v>5577150313</v>
      </c>
      <c r="B586" s="1">
        <v>42489</v>
      </c>
      <c r="C586">
        <v>7924</v>
      </c>
      <c r="D586">
        <v>5.9200000762939498</v>
      </c>
      <c r="E586">
        <v>5.9200000762939498</v>
      </c>
      <c r="F586">
        <v>0</v>
      </c>
      <c r="G586">
        <v>2.8399999141693102</v>
      </c>
      <c r="H586">
        <v>0.61000001430511497</v>
      </c>
      <c r="I586">
        <v>2.4700000286102299</v>
      </c>
      <c r="J586">
        <v>0</v>
      </c>
      <c r="K586">
        <v>97</v>
      </c>
      <c r="L586">
        <v>36</v>
      </c>
      <c r="M586">
        <v>165</v>
      </c>
      <c r="N586">
        <v>739</v>
      </c>
      <c r="O586">
        <v>3544</v>
      </c>
    </row>
    <row r="587" spans="1:15">
      <c r="A587">
        <v>5577150313</v>
      </c>
      <c r="B587" s="1">
        <v>42490</v>
      </c>
      <c r="C587">
        <v>12363</v>
      </c>
      <c r="D587">
        <v>9.2399997711181605</v>
      </c>
      <c r="E587">
        <v>9.2399997711181605</v>
      </c>
      <c r="F587">
        <v>0</v>
      </c>
      <c r="G587">
        <v>5.8299999237060502</v>
      </c>
      <c r="H587">
        <v>0.79000002145767201</v>
      </c>
      <c r="I587">
        <v>2.6099998950958301</v>
      </c>
      <c r="J587">
        <v>0</v>
      </c>
      <c r="K587">
        <v>207</v>
      </c>
      <c r="L587">
        <v>45</v>
      </c>
      <c r="M587">
        <v>163</v>
      </c>
      <c r="N587">
        <v>621</v>
      </c>
      <c r="O587">
        <v>4501</v>
      </c>
    </row>
    <row r="588" spans="1:15">
      <c r="A588">
        <v>5577150313</v>
      </c>
      <c r="B588" s="1">
        <v>42491</v>
      </c>
      <c r="C588">
        <v>13368</v>
      </c>
      <c r="D588">
        <v>9.9899997711181605</v>
      </c>
      <c r="E588">
        <v>9.9899997711181605</v>
      </c>
      <c r="F588">
        <v>0</v>
      </c>
      <c r="G588">
        <v>5.3099999427795401</v>
      </c>
      <c r="H588">
        <v>1.4400000572204601</v>
      </c>
      <c r="I588">
        <v>3.2400000095367401</v>
      </c>
      <c r="J588">
        <v>0</v>
      </c>
      <c r="K588">
        <v>194</v>
      </c>
      <c r="L588">
        <v>72</v>
      </c>
      <c r="M588">
        <v>178</v>
      </c>
      <c r="N588">
        <v>499</v>
      </c>
      <c r="O588">
        <v>4546</v>
      </c>
    </row>
    <row r="589" spans="1:15">
      <c r="A589">
        <v>5577150313</v>
      </c>
      <c r="B589" s="1">
        <v>42492</v>
      </c>
      <c r="C589">
        <v>7439</v>
      </c>
      <c r="D589">
        <v>5.5599999427795401</v>
      </c>
      <c r="E589">
        <v>5.5599999427795401</v>
      </c>
      <c r="F589">
        <v>0</v>
      </c>
      <c r="G589">
        <v>1.12000000476837</v>
      </c>
      <c r="H589">
        <v>0.34999999403953602</v>
      </c>
      <c r="I589">
        <v>4.0700001716613796</v>
      </c>
      <c r="J589">
        <v>0</v>
      </c>
      <c r="K589">
        <v>37</v>
      </c>
      <c r="L589">
        <v>20</v>
      </c>
      <c r="M589">
        <v>235</v>
      </c>
      <c r="N589">
        <v>732</v>
      </c>
      <c r="O589">
        <v>3014</v>
      </c>
    </row>
    <row r="590" spans="1:15">
      <c r="A590">
        <v>5577150313</v>
      </c>
      <c r="B590" s="1">
        <v>42493</v>
      </c>
      <c r="C590">
        <v>11045</v>
      </c>
      <c r="D590">
        <v>8.25</v>
      </c>
      <c r="E590">
        <v>8.25</v>
      </c>
      <c r="F590">
        <v>0</v>
      </c>
      <c r="G590">
        <v>4.5199999809265101</v>
      </c>
      <c r="H590">
        <v>0.15000000596046401</v>
      </c>
      <c r="I590">
        <v>3.5699999332428001</v>
      </c>
      <c r="J590">
        <v>0</v>
      </c>
      <c r="K590">
        <v>97</v>
      </c>
      <c r="L590">
        <v>8</v>
      </c>
      <c r="M590">
        <v>212</v>
      </c>
      <c r="N590">
        <v>580</v>
      </c>
      <c r="O590">
        <v>3795</v>
      </c>
    </row>
    <row r="591" spans="1:15">
      <c r="A591">
        <v>5577150313</v>
      </c>
      <c r="B591" s="1">
        <v>42494</v>
      </c>
      <c r="C591">
        <v>5206</v>
      </c>
      <c r="D591">
        <v>3.8900001049041699</v>
      </c>
      <c r="E591">
        <v>3.8900001049041699</v>
      </c>
      <c r="F591">
        <v>0</v>
      </c>
      <c r="G591">
        <v>1.5599999427795399</v>
      </c>
      <c r="H591">
        <v>0.25</v>
      </c>
      <c r="I591">
        <v>2.0799999237060498</v>
      </c>
      <c r="J591">
        <v>0</v>
      </c>
      <c r="K591">
        <v>25</v>
      </c>
      <c r="L591">
        <v>9</v>
      </c>
      <c r="M591">
        <v>141</v>
      </c>
      <c r="N591">
        <v>631</v>
      </c>
      <c r="O591">
        <v>2755</v>
      </c>
    </row>
    <row r="592" spans="1:15">
      <c r="A592">
        <v>5577150313</v>
      </c>
      <c r="B592" s="1">
        <v>42495</v>
      </c>
      <c r="C592">
        <v>7550</v>
      </c>
      <c r="D592">
        <v>5.6399998664856001</v>
      </c>
      <c r="E592">
        <v>5.6399998664856001</v>
      </c>
      <c r="F592">
        <v>0</v>
      </c>
      <c r="G592">
        <v>2.5</v>
      </c>
      <c r="H592">
        <v>0.46999999880790699</v>
      </c>
      <c r="I592">
        <v>2.6700000762939502</v>
      </c>
      <c r="J592">
        <v>0</v>
      </c>
      <c r="K592">
        <v>45</v>
      </c>
      <c r="L592">
        <v>21</v>
      </c>
      <c r="M592">
        <v>143</v>
      </c>
      <c r="N592">
        <v>1153</v>
      </c>
      <c r="O592">
        <v>3004</v>
      </c>
    </row>
    <row r="593" spans="1:15">
      <c r="A593">
        <v>5577150313</v>
      </c>
      <c r="B593" s="1">
        <v>42496</v>
      </c>
      <c r="C593">
        <v>4950</v>
      </c>
      <c r="D593">
        <v>3.7000000476837198</v>
      </c>
      <c r="E593">
        <v>3.7000000476837198</v>
      </c>
      <c r="F593">
        <v>0</v>
      </c>
      <c r="G593">
        <v>1.9299999475479099</v>
      </c>
      <c r="H593">
        <v>0.31999999284744302</v>
      </c>
      <c r="I593">
        <v>1.45000004768372</v>
      </c>
      <c r="J593">
        <v>0</v>
      </c>
      <c r="K593">
        <v>41</v>
      </c>
      <c r="L593">
        <v>16</v>
      </c>
      <c r="M593">
        <v>79</v>
      </c>
      <c r="N593">
        <v>1304</v>
      </c>
      <c r="O593">
        <v>2643</v>
      </c>
    </row>
    <row r="594" spans="1:15">
      <c r="A594">
        <v>5577150313</v>
      </c>
      <c r="B594" s="1">
        <v>42497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1440</v>
      </c>
      <c r="O594">
        <v>1819</v>
      </c>
    </row>
    <row r="595" spans="1:15">
      <c r="A595">
        <v>5577150313</v>
      </c>
      <c r="B595" s="1">
        <v>42498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1440</v>
      </c>
      <c r="O595">
        <v>1819</v>
      </c>
    </row>
    <row r="596" spans="1:15">
      <c r="A596">
        <v>5577150313</v>
      </c>
      <c r="B596" s="1">
        <v>42499</v>
      </c>
      <c r="C596">
        <v>3421</v>
      </c>
      <c r="D596">
        <v>2.5599999427795401</v>
      </c>
      <c r="E596">
        <v>2.5599999427795401</v>
      </c>
      <c r="F596">
        <v>0</v>
      </c>
      <c r="G596">
        <v>1.4299999475479099</v>
      </c>
      <c r="H596">
        <v>0.140000000596046</v>
      </c>
      <c r="I596">
        <v>0.99000000953674305</v>
      </c>
      <c r="J596">
        <v>0</v>
      </c>
      <c r="K596">
        <v>34</v>
      </c>
      <c r="L596">
        <v>11</v>
      </c>
      <c r="M596">
        <v>70</v>
      </c>
      <c r="N596">
        <v>1099</v>
      </c>
      <c r="O596">
        <v>2489</v>
      </c>
    </row>
    <row r="597" spans="1:15">
      <c r="A597">
        <v>5577150313</v>
      </c>
      <c r="B597" s="1">
        <v>42500</v>
      </c>
      <c r="C597">
        <v>8869</v>
      </c>
      <c r="D597">
        <v>6.6500000953674299</v>
      </c>
      <c r="E597">
        <v>6.6500000953674299</v>
      </c>
      <c r="F597">
        <v>0</v>
      </c>
      <c r="G597">
        <v>2.5599999427795401</v>
      </c>
      <c r="H597">
        <v>0.75</v>
      </c>
      <c r="I597">
        <v>3.3499999046325701</v>
      </c>
      <c r="J597">
        <v>0</v>
      </c>
      <c r="K597">
        <v>104</v>
      </c>
      <c r="L597">
        <v>37</v>
      </c>
      <c r="M597">
        <v>194</v>
      </c>
      <c r="N597">
        <v>639</v>
      </c>
      <c r="O597">
        <v>3841</v>
      </c>
    </row>
    <row r="598" spans="1:15">
      <c r="A598">
        <v>5577150313</v>
      </c>
      <c r="B598" s="1">
        <v>42501</v>
      </c>
      <c r="C598">
        <v>4038</v>
      </c>
      <c r="D598">
        <v>3.03999996185303</v>
      </c>
      <c r="E598">
        <v>3.03999996185303</v>
      </c>
      <c r="F598">
        <v>0</v>
      </c>
      <c r="G598">
        <v>1.83000004291534</v>
      </c>
      <c r="H598">
        <v>0.30000001192092901</v>
      </c>
      <c r="I598">
        <v>0.88999998569488503</v>
      </c>
      <c r="J598">
        <v>0</v>
      </c>
      <c r="K598">
        <v>45</v>
      </c>
      <c r="L598">
        <v>15</v>
      </c>
      <c r="M598">
        <v>63</v>
      </c>
      <c r="N598">
        <v>257</v>
      </c>
      <c r="O598">
        <v>1665</v>
      </c>
    </row>
    <row r="599" spans="1:15">
      <c r="A599">
        <v>6117666160</v>
      </c>
      <c r="B599" s="1">
        <v>42472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1440</v>
      </c>
      <c r="O599">
        <v>1496</v>
      </c>
    </row>
    <row r="600" spans="1:15">
      <c r="A600">
        <v>6117666160</v>
      </c>
      <c r="B600" s="1">
        <v>42473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1440</v>
      </c>
      <c r="O600">
        <v>1496</v>
      </c>
    </row>
    <row r="601" spans="1:15">
      <c r="A601">
        <v>6117666160</v>
      </c>
      <c r="B601" s="1">
        <v>42474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1440</v>
      </c>
      <c r="O601">
        <v>1496</v>
      </c>
    </row>
    <row r="602" spans="1:15">
      <c r="A602">
        <v>6117666160</v>
      </c>
      <c r="B602" s="1">
        <v>42475</v>
      </c>
      <c r="C602">
        <v>14019</v>
      </c>
      <c r="D602">
        <v>10.5900001525879</v>
      </c>
      <c r="E602">
        <v>10.5900001525879</v>
      </c>
      <c r="F602">
        <v>0</v>
      </c>
      <c r="G602">
        <v>0</v>
      </c>
      <c r="H602">
        <v>0.28000000119209301</v>
      </c>
      <c r="I602">
        <v>10.300000190734901</v>
      </c>
      <c r="J602">
        <v>0</v>
      </c>
      <c r="K602">
        <v>0</v>
      </c>
      <c r="L602">
        <v>6</v>
      </c>
      <c r="M602">
        <v>513</v>
      </c>
      <c r="N602">
        <v>921</v>
      </c>
      <c r="O602">
        <v>2865</v>
      </c>
    </row>
    <row r="603" spans="1:15">
      <c r="A603">
        <v>6117666160</v>
      </c>
      <c r="B603" s="1">
        <v>42476</v>
      </c>
      <c r="C603">
        <v>14450</v>
      </c>
      <c r="D603">
        <v>10.9099998474121</v>
      </c>
      <c r="E603">
        <v>10.9099998474121</v>
      </c>
      <c r="F603">
        <v>0</v>
      </c>
      <c r="G603">
        <v>0.57999998331069902</v>
      </c>
      <c r="H603">
        <v>0.85000002384185802</v>
      </c>
      <c r="I603">
        <v>9.4799995422363299</v>
      </c>
      <c r="J603">
        <v>0</v>
      </c>
      <c r="K603">
        <v>7</v>
      </c>
      <c r="L603">
        <v>15</v>
      </c>
      <c r="M603">
        <v>518</v>
      </c>
      <c r="N603">
        <v>502</v>
      </c>
      <c r="O603">
        <v>2828</v>
      </c>
    </row>
    <row r="604" spans="1:15">
      <c r="A604">
        <v>6117666160</v>
      </c>
      <c r="B604" s="1">
        <v>42477</v>
      </c>
      <c r="C604">
        <v>7150</v>
      </c>
      <c r="D604">
        <v>5.4000000953674299</v>
      </c>
      <c r="E604">
        <v>5.4000000953674299</v>
      </c>
      <c r="F604">
        <v>0</v>
      </c>
      <c r="G604">
        <v>0</v>
      </c>
      <c r="H604">
        <v>0</v>
      </c>
      <c r="I604">
        <v>5.4000000953674299</v>
      </c>
      <c r="J604">
        <v>0</v>
      </c>
      <c r="K604">
        <v>0</v>
      </c>
      <c r="L604">
        <v>0</v>
      </c>
      <c r="M604">
        <v>312</v>
      </c>
      <c r="N604">
        <v>702</v>
      </c>
      <c r="O604">
        <v>2225</v>
      </c>
    </row>
    <row r="605" spans="1:15">
      <c r="A605">
        <v>6117666160</v>
      </c>
      <c r="B605" s="1">
        <v>42478</v>
      </c>
      <c r="C605">
        <v>5153</v>
      </c>
      <c r="D605">
        <v>3.9100000858306898</v>
      </c>
      <c r="E605">
        <v>3.9100000858306898</v>
      </c>
      <c r="F605">
        <v>0</v>
      </c>
      <c r="G605">
        <v>0</v>
      </c>
      <c r="H605">
        <v>0</v>
      </c>
      <c r="I605">
        <v>3.8900001049041699</v>
      </c>
      <c r="J605">
        <v>0</v>
      </c>
      <c r="K605">
        <v>0</v>
      </c>
      <c r="L605">
        <v>0</v>
      </c>
      <c r="M605">
        <v>241</v>
      </c>
      <c r="N605">
        <v>759</v>
      </c>
      <c r="O605">
        <v>2018</v>
      </c>
    </row>
    <row r="606" spans="1:15">
      <c r="A606">
        <v>6117666160</v>
      </c>
      <c r="B606" s="1">
        <v>42479</v>
      </c>
      <c r="C606">
        <v>11135</v>
      </c>
      <c r="D606">
        <v>8.4099998474121094</v>
      </c>
      <c r="E606">
        <v>8.4099998474121094</v>
      </c>
      <c r="F606">
        <v>0</v>
      </c>
      <c r="G606">
        <v>0</v>
      </c>
      <c r="H606">
        <v>0</v>
      </c>
      <c r="I606">
        <v>8.4099998474121094</v>
      </c>
      <c r="J606">
        <v>0</v>
      </c>
      <c r="K606">
        <v>0</v>
      </c>
      <c r="L606">
        <v>0</v>
      </c>
      <c r="M606">
        <v>480</v>
      </c>
      <c r="N606">
        <v>425</v>
      </c>
      <c r="O606">
        <v>2606</v>
      </c>
    </row>
    <row r="607" spans="1:15">
      <c r="A607">
        <v>6117666160</v>
      </c>
      <c r="B607" s="1">
        <v>42480</v>
      </c>
      <c r="C607">
        <v>10449</v>
      </c>
      <c r="D607">
        <v>8.0200004577636701</v>
      </c>
      <c r="E607">
        <v>8.0200004577636701</v>
      </c>
      <c r="F607">
        <v>0</v>
      </c>
      <c r="G607">
        <v>2.0299999713897701</v>
      </c>
      <c r="H607">
        <v>0.479999989271164</v>
      </c>
      <c r="I607">
        <v>5.5199999809265101</v>
      </c>
      <c r="J607">
        <v>0</v>
      </c>
      <c r="K607">
        <v>26</v>
      </c>
      <c r="L607">
        <v>10</v>
      </c>
      <c r="M607">
        <v>349</v>
      </c>
      <c r="N607">
        <v>587</v>
      </c>
      <c r="O607">
        <v>2536</v>
      </c>
    </row>
    <row r="608" spans="1:15">
      <c r="A608">
        <v>6117666160</v>
      </c>
      <c r="B608" s="1">
        <v>42481</v>
      </c>
      <c r="C608">
        <v>19542</v>
      </c>
      <c r="D608">
        <v>15.0100002288818</v>
      </c>
      <c r="E608">
        <v>15.0100002288818</v>
      </c>
      <c r="F608">
        <v>0</v>
      </c>
      <c r="G608">
        <v>0.980000019073486</v>
      </c>
      <c r="H608">
        <v>0.40000000596046398</v>
      </c>
      <c r="I608">
        <v>5.6199998855590803</v>
      </c>
      <c r="J608">
        <v>0</v>
      </c>
      <c r="K608">
        <v>11</v>
      </c>
      <c r="L608">
        <v>19</v>
      </c>
      <c r="M608">
        <v>294</v>
      </c>
      <c r="N608">
        <v>579</v>
      </c>
      <c r="O608">
        <v>4900</v>
      </c>
    </row>
    <row r="609" spans="1:15">
      <c r="A609">
        <v>6117666160</v>
      </c>
      <c r="B609" s="1">
        <v>42482</v>
      </c>
      <c r="C609">
        <v>8206</v>
      </c>
      <c r="D609">
        <v>6.1999998092651403</v>
      </c>
      <c r="E609">
        <v>6.1999998092651403</v>
      </c>
      <c r="F609">
        <v>0</v>
      </c>
      <c r="G609">
        <v>0</v>
      </c>
      <c r="H609">
        <v>0</v>
      </c>
      <c r="I609">
        <v>6.1999998092651403</v>
      </c>
      <c r="J609">
        <v>0</v>
      </c>
      <c r="K609">
        <v>0</v>
      </c>
      <c r="L609">
        <v>0</v>
      </c>
      <c r="M609">
        <v>402</v>
      </c>
      <c r="N609">
        <v>413</v>
      </c>
      <c r="O609">
        <v>2409</v>
      </c>
    </row>
    <row r="610" spans="1:15">
      <c r="A610">
        <v>6117666160</v>
      </c>
      <c r="B610" s="1">
        <v>42483</v>
      </c>
      <c r="C610">
        <v>11495</v>
      </c>
      <c r="D610">
        <v>8.6800003051757795</v>
      </c>
      <c r="E610">
        <v>8.6800003051757795</v>
      </c>
      <c r="F610">
        <v>0</v>
      </c>
      <c r="G610">
        <v>0</v>
      </c>
      <c r="H610">
        <v>0</v>
      </c>
      <c r="I610">
        <v>8.6800003051757795</v>
      </c>
      <c r="J610">
        <v>0</v>
      </c>
      <c r="K610">
        <v>0</v>
      </c>
      <c r="L610">
        <v>0</v>
      </c>
      <c r="M610">
        <v>512</v>
      </c>
      <c r="N610">
        <v>468</v>
      </c>
      <c r="O610">
        <v>2651</v>
      </c>
    </row>
    <row r="611" spans="1:15">
      <c r="A611">
        <v>6117666160</v>
      </c>
      <c r="B611" s="1">
        <v>42484</v>
      </c>
      <c r="C611">
        <v>7623</v>
      </c>
      <c r="D611">
        <v>5.7600002288818404</v>
      </c>
      <c r="E611">
        <v>5.7600002288818404</v>
      </c>
      <c r="F611">
        <v>0</v>
      </c>
      <c r="G611">
        <v>0</v>
      </c>
      <c r="H611">
        <v>0</v>
      </c>
      <c r="I611">
        <v>5.7600002288818404</v>
      </c>
      <c r="J611">
        <v>0</v>
      </c>
      <c r="K611">
        <v>0</v>
      </c>
      <c r="L611">
        <v>0</v>
      </c>
      <c r="M611">
        <v>362</v>
      </c>
      <c r="N611">
        <v>711</v>
      </c>
      <c r="O611">
        <v>2305</v>
      </c>
    </row>
    <row r="612" spans="1:15">
      <c r="A612">
        <v>6117666160</v>
      </c>
      <c r="B612" s="1">
        <v>42485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1440</v>
      </c>
      <c r="O612">
        <v>1497</v>
      </c>
    </row>
    <row r="613" spans="1:15">
      <c r="A613">
        <v>6117666160</v>
      </c>
      <c r="B613" s="1">
        <v>42486</v>
      </c>
      <c r="C613">
        <v>9543</v>
      </c>
      <c r="D613">
        <v>7.21000003814697</v>
      </c>
      <c r="E613">
        <v>7.21000003814697</v>
      </c>
      <c r="F613">
        <v>0</v>
      </c>
      <c r="G613">
        <v>0</v>
      </c>
      <c r="H613">
        <v>0.34000000357627902</v>
      </c>
      <c r="I613">
        <v>6.8699998855590803</v>
      </c>
      <c r="J613">
        <v>0</v>
      </c>
      <c r="K613">
        <v>0</v>
      </c>
      <c r="L613">
        <v>7</v>
      </c>
      <c r="M613">
        <v>352</v>
      </c>
      <c r="N613">
        <v>1077</v>
      </c>
      <c r="O613">
        <v>2450</v>
      </c>
    </row>
    <row r="614" spans="1:15">
      <c r="A614">
        <v>6117666160</v>
      </c>
      <c r="B614" s="1">
        <v>42487</v>
      </c>
      <c r="C614">
        <v>9411</v>
      </c>
      <c r="D614">
        <v>7.1100001335143999</v>
      </c>
      <c r="E614">
        <v>7.1100001335143999</v>
      </c>
      <c r="F614">
        <v>0</v>
      </c>
      <c r="G614">
        <v>0</v>
      </c>
      <c r="H614">
        <v>0</v>
      </c>
      <c r="I614">
        <v>7.1100001335143999</v>
      </c>
      <c r="J614">
        <v>0</v>
      </c>
      <c r="K614">
        <v>0</v>
      </c>
      <c r="L614">
        <v>0</v>
      </c>
      <c r="M614">
        <v>458</v>
      </c>
      <c r="N614">
        <v>417</v>
      </c>
      <c r="O614">
        <v>2576</v>
      </c>
    </row>
    <row r="615" spans="1:15">
      <c r="A615">
        <v>6117666160</v>
      </c>
      <c r="B615" s="1">
        <v>42488</v>
      </c>
      <c r="C615">
        <v>3403</v>
      </c>
      <c r="D615">
        <v>2.5999999046325701</v>
      </c>
      <c r="E615">
        <v>2.5999999046325701</v>
      </c>
      <c r="F615">
        <v>0</v>
      </c>
      <c r="G615">
        <v>0</v>
      </c>
      <c r="H615">
        <v>0</v>
      </c>
      <c r="I615">
        <v>2.5999999046325701</v>
      </c>
      <c r="J615">
        <v>0</v>
      </c>
      <c r="K615">
        <v>0</v>
      </c>
      <c r="L615">
        <v>0</v>
      </c>
      <c r="M615">
        <v>141</v>
      </c>
      <c r="N615">
        <v>758</v>
      </c>
      <c r="O615">
        <v>1879</v>
      </c>
    </row>
    <row r="616" spans="1:15">
      <c r="A616">
        <v>6117666160</v>
      </c>
      <c r="B616" s="1">
        <v>42489</v>
      </c>
      <c r="C616">
        <v>9592</v>
      </c>
      <c r="D616">
        <v>7.2399997711181596</v>
      </c>
      <c r="E616">
        <v>7.2399997711181596</v>
      </c>
      <c r="F616">
        <v>0</v>
      </c>
      <c r="G616">
        <v>0</v>
      </c>
      <c r="H616">
        <v>0</v>
      </c>
      <c r="I616">
        <v>7.2399997711181596</v>
      </c>
      <c r="J616">
        <v>0</v>
      </c>
      <c r="K616">
        <v>0</v>
      </c>
      <c r="L616">
        <v>0</v>
      </c>
      <c r="M616">
        <v>461</v>
      </c>
      <c r="N616">
        <v>479</v>
      </c>
      <c r="O616">
        <v>2560</v>
      </c>
    </row>
    <row r="617" spans="1:15">
      <c r="A617">
        <v>6117666160</v>
      </c>
      <c r="B617" s="1">
        <v>42490</v>
      </c>
      <c r="C617">
        <v>6987</v>
      </c>
      <c r="D617">
        <v>5.2800002098083496</v>
      </c>
      <c r="E617">
        <v>5.2800002098083496</v>
      </c>
      <c r="F617">
        <v>0</v>
      </c>
      <c r="G617">
        <v>0</v>
      </c>
      <c r="H617">
        <v>0</v>
      </c>
      <c r="I617">
        <v>5.2800002098083496</v>
      </c>
      <c r="J617">
        <v>0</v>
      </c>
      <c r="K617">
        <v>0</v>
      </c>
      <c r="L617">
        <v>0</v>
      </c>
      <c r="M617">
        <v>343</v>
      </c>
      <c r="N617">
        <v>1040</v>
      </c>
      <c r="O617">
        <v>2275</v>
      </c>
    </row>
    <row r="618" spans="1:15">
      <c r="A618">
        <v>6117666160</v>
      </c>
      <c r="B618" s="1">
        <v>42491</v>
      </c>
      <c r="C618">
        <v>8915</v>
      </c>
      <c r="D618">
        <v>6.7300000190734899</v>
      </c>
      <c r="E618">
        <v>6.7300000190734899</v>
      </c>
      <c r="F618">
        <v>0</v>
      </c>
      <c r="G618">
        <v>0</v>
      </c>
      <c r="H618">
        <v>0</v>
      </c>
      <c r="I618">
        <v>6.7300000190734899</v>
      </c>
      <c r="J618">
        <v>0</v>
      </c>
      <c r="K618">
        <v>0</v>
      </c>
      <c r="L618">
        <v>0</v>
      </c>
      <c r="M618">
        <v>397</v>
      </c>
      <c r="N618">
        <v>525</v>
      </c>
      <c r="O618">
        <v>2361</v>
      </c>
    </row>
    <row r="619" spans="1:15">
      <c r="A619">
        <v>6117666160</v>
      </c>
      <c r="B619" s="1">
        <v>42492</v>
      </c>
      <c r="C619">
        <v>4933</v>
      </c>
      <c r="D619">
        <v>3.7300000190734899</v>
      </c>
      <c r="E619">
        <v>3.7300000190734899</v>
      </c>
      <c r="F619">
        <v>0</v>
      </c>
      <c r="G619">
        <v>0</v>
      </c>
      <c r="H619">
        <v>0</v>
      </c>
      <c r="I619">
        <v>3.7300000190734899</v>
      </c>
      <c r="J619">
        <v>0</v>
      </c>
      <c r="K619">
        <v>0</v>
      </c>
      <c r="L619">
        <v>0</v>
      </c>
      <c r="M619">
        <v>236</v>
      </c>
      <c r="N619">
        <v>1204</v>
      </c>
      <c r="O619">
        <v>2044</v>
      </c>
    </row>
    <row r="620" spans="1:15">
      <c r="A620">
        <v>6117666160</v>
      </c>
      <c r="B620" s="1">
        <v>42493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1440</v>
      </c>
      <c r="O620">
        <v>1496</v>
      </c>
    </row>
    <row r="621" spans="1:15">
      <c r="A621">
        <v>6117666160</v>
      </c>
      <c r="B621" s="1">
        <v>42494</v>
      </c>
      <c r="C621">
        <v>2997</v>
      </c>
      <c r="D621">
        <v>2.2599999904632599</v>
      </c>
      <c r="E621">
        <v>2.2599999904632599</v>
      </c>
      <c r="F621">
        <v>0</v>
      </c>
      <c r="G621">
        <v>0</v>
      </c>
      <c r="H621">
        <v>0</v>
      </c>
      <c r="I621">
        <v>2.2599999904632599</v>
      </c>
      <c r="J621">
        <v>0</v>
      </c>
      <c r="K621">
        <v>0</v>
      </c>
      <c r="L621">
        <v>0</v>
      </c>
      <c r="M621">
        <v>156</v>
      </c>
      <c r="N621">
        <v>1279</v>
      </c>
      <c r="O621">
        <v>1902</v>
      </c>
    </row>
    <row r="622" spans="1:15">
      <c r="A622">
        <v>6117666160</v>
      </c>
      <c r="B622" s="1">
        <v>42495</v>
      </c>
      <c r="C622">
        <v>9799</v>
      </c>
      <c r="D622">
        <v>7.4000000953674299</v>
      </c>
      <c r="E622">
        <v>7.4000000953674299</v>
      </c>
      <c r="F622">
        <v>0</v>
      </c>
      <c r="G622">
        <v>0</v>
      </c>
      <c r="H622">
        <v>0</v>
      </c>
      <c r="I622">
        <v>7.4000000953674299</v>
      </c>
      <c r="J622">
        <v>0</v>
      </c>
      <c r="K622">
        <v>0</v>
      </c>
      <c r="L622">
        <v>0</v>
      </c>
      <c r="M622">
        <v>487</v>
      </c>
      <c r="N622">
        <v>479</v>
      </c>
      <c r="O622">
        <v>2636</v>
      </c>
    </row>
    <row r="623" spans="1:15">
      <c r="A623">
        <v>6117666160</v>
      </c>
      <c r="B623" s="1">
        <v>42496</v>
      </c>
      <c r="C623">
        <v>3365</v>
      </c>
      <c r="D623">
        <v>2.6800000667571999</v>
      </c>
      <c r="E623">
        <v>2.6800000667571999</v>
      </c>
      <c r="F623">
        <v>0</v>
      </c>
      <c r="G623">
        <v>0</v>
      </c>
      <c r="H623">
        <v>0</v>
      </c>
      <c r="I623">
        <v>2.6800000667571999</v>
      </c>
      <c r="J623">
        <v>0</v>
      </c>
      <c r="K623">
        <v>0</v>
      </c>
      <c r="L623">
        <v>0</v>
      </c>
      <c r="M623">
        <v>133</v>
      </c>
      <c r="N623">
        <v>673</v>
      </c>
      <c r="O623">
        <v>1838</v>
      </c>
    </row>
    <row r="624" spans="1:15">
      <c r="A624">
        <v>6117666160</v>
      </c>
      <c r="B624" s="1">
        <v>42497</v>
      </c>
      <c r="C624">
        <v>7336</v>
      </c>
      <c r="D624">
        <v>5.53999996185303</v>
      </c>
      <c r="E624">
        <v>5.53999996185303</v>
      </c>
      <c r="F624">
        <v>0</v>
      </c>
      <c r="G624">
        <v>0</v>
      </c>
      <c r="H624">
        <v>0</v>
      </c>
      <c r="I624">
        <v>5.53999996185303</v>
      </c>
      <c r="J624">
        <v>0</v>
      </c>
      <c r="K624">
        <v>0</v>
      </c>
      <c r="L624">
        <v>0</v>
      </c>
      <c r="M624">
        <v>412</v>
      </c>
      <c r="N624">
        <v>456</v>
      </c>
      <c r="O624">
        <v>2469</v>
      </c>
    </row>
    <row r="625" spans="1:15">
      <c r="A625">
        <v>6117666160</v>
      </c>
      <c r="B625" s="1">
        <v>42498</v>
      </c>
      <c r="C625">
        <v>7328</v>
      </c>
      <c r="D625">
        <v>5.5300002098083496</v>
      </c>
      <c r="E625">
        <v>5.5300002098083496</v>
      </c>
      <c r="F625">
        <v>0</v>
      </c>
      <c r="G625">
        <v>0</v>
      </c>
      <c r="H625">
        <v>0</v>
      </c>
      <c r="I625">
        <v>5.5300002098083496</v>
      </c>
      <c r="J625">
        <v>0</v>
      </c>
      <c r="K625">
        <v>0</v>
      </c>
      <c r="L625">
        <v>0</v>
      </c>
      <c r="M625">
        <v>318</v>
      </c>
      <c r="N625">
        <v>517</v>
      </c>
      <c r="O625">
        <v>2250</v>
      </c>
    </row>
    <row r="626" spans="1:15">
      <c r="A626">
        <v>6117666160</v>
      </c>
      <c r="B626" s="1">
        <v>42499</v>
      </c>
      <c r="C626">
        <v>4477</v>
      </c>
      <c r="D626">
        <v>3.3800001144409202</v>
      </c>
      <c r="E626">
        <v>3.3800001144409202</v>
      </c>
      <c r="F626">
        <v>0</v>
      </c>
      <c r="G626">
        <v>0</v>
      </c>
      <c r="H626">
        <v>0</v>
      </c>
      <c r="I626">
        <v>3.3800001144409202</v>
      </c>
      <c r="J626">
        <v>0</v>
      </c>
      <c r="K626">
        <v>0</v>
      </c>
      <c r="L626">
        <v>0</v>
      </c>
      <c r="M626">
        <v>197</v>
      </c>
      <c r="N626">
        <v>125</v>
      </c>
      <c r="O626">
        <v>1248</v>
      </c>
    </row>
    <row r="627" spans="1:15">
      <c r="A627">
        <v>6290855005</v>
      </c>
      <c r="B627" s="1">
        <v>42472</v>
      </c>
      <c r="C627">
        <v>4562</v>
      </c>
      <c r="D627">
        <v>3.4500000476837198</v>
      </c>
      <c r="E627">
        <v>3.4500000476837198</v>
      </c>
      <c r="F627">
        <v>0</v>
      </c>
      <c r="G627">
        <v>0</v>
      </c>
      <c r="H627">
        <v>0</v>
      </c>
      <c r="I627">
        <v>3.4500000476837198</v>
      </c>
      <c r="J627">
        <v>0</v>
      </c>
      <c r="K627">
        <v>0</v>
      </c>
      <c r="L627">
        <v>0</v>
      </c>
      <c r="M627">
        <v>199</v>
      </c>
      <c r="N627">
        <v>1241</v>
      </c>
      <c r="O627">
        <v>2560</v>
      </c>
    </row>
    <row r="628" spans="1:15">
      <c r="A628">
        <v>6290855005</v>
      </c>
      <c r="B628" s="1">
        <v>42473</v>
      </c>
      <c r="C628">
        <v>7142</v>
      </c>
      <c r="D628">
        <v>5.4000000953674299</v>
      </c>
      <c r="E628">
        <v>5.4000000953674299</v>
      </c>
      <c r="F628">
        <v>0</v>
      </c>
      <c r="G628">
        <v>0</v>
      </c>
      <c r="H628">
        <v>0</v>
      </c>
      <c r="I628">
        <v>5.3899998664856001</v>
      </c>
      <c r="J628">
        <v>9.9999997764825804E-3</v>
      </c>
      <c r="K628">
        <v>0</v>
      </c>
      <c r="L628">
        <v>0</v>
      </c>
      <c r="M628">
        <v>350</v>
      </c>
      <c r="N628">
        <v>1090</v>
      </c>
      <c r="O628">
        <v>2905</v>
      </c>
    </row>
    <row r="629" spans="1:15">
      <c r="A629">
        <v>6290855005</v>
      </c>
      <c r="B629" s="1">
        <v>42474</v>
      </c>
      <c r="C629">
        <v>7671</v>
      </c>
      <c r="D629">
        <v>5.8000001907348597</v>
      </c>
      <c r="E629">
        <v>5.8000001907348597</v>
      </c>
      <c r="F629">
        <v>0</v>
      </c>
      <c r="G629">
        <v>0</v>
      </c>
      <c r="H629">
        <v>0</v>
      </c>
      <c r="I629">
        <v>5.7699999809265101</v>
      </c>
      <c r="J629">
        <v>2.9999999329447701E-2</v>
      </c>
      <c r="K629">
        <v>0</v>
      </c>
      <c r="L629">
        <v>0</v>
      </c>
      <c r="M629">
        <v>363</v>
      </c>
      <c r="N629">
        <v>1077</v>
      </c>
      <c r="O629">
        <v>2952</v>
      </c>
    </row>
    <row r="630" spans="1:15">
      <c r="A630">
        <v>6290855005</v>
      </c>
      <c r="B630" s="1">
        <v>42475</v>
      </c>
      <c r="C630">
        <v>9501</v>
      </c>
      <c r="D630">
        <v>7.1799998283386204</v>
      </c>
      <c r="E630">
        <v>7.1799998283386204</v>
      </c>
      <c r="F630">
        <v>0</v>
      </c>
      <c r="G630">
        <v>0</v>
      </c>
      <c r="H630">
        <v>0</v>
      </c>
      <c r="I630">
        <v>7.1700000762939498</v>
      </c>
      <c r="J630">
        <v>9.9999997764825804E-3</v>
      </c>
      <c r="K630">
        <v>0</v>
      </c>
      <c r="L630">
        <v>0</v>
      </c>
      <c r="M630">
        <v>328</v>
      </c>
      <c r="N630">
        <v>1112</v>
      </c>
      <c r="O630">
        <v>2896</v>
      </c>
    </row>
    <row r="631" spans="1:15">
      <c r="A631">
        <v>6290855005</v>
      </c>
      <c r="B631" s="1">
        <v>42476</v>
      </c>
      <c r="C631">
        <v>8301</v>
      </c>
      <c r="D631">
        <v>6.2800002098083496</v>
      </c>
      <c r="E631">
        <v>6.2800002098083496</v>
      </c>
      <c r="F631">
        <v>0</v>
      </c>
      <c r="G631">
        <v>0</v>
      </c>
      <c r="H631">
        <v>0</v>
      </c>
      <c r="I631">
        <v>6.2699999809265101</v>
      </c>
      <c r="J631">
        <v>9.9999997764825804E-3</v>
      </c>
      <c r="K631">
        <v>0</v>
      </c>
      <c r="L631">
        <v>0</v>
      </c>
      <c r="M631">
        <v>258</v>
      </c>
      <c r="N631">
        <v>1182</v>
      </c>
      <c r="O631">
        <v>2783</v>
      </c>
    </row>
    <row r="632" spans="1:15">
      <c r="A632">
        <v>6290855005</v>
      </c>
      <c r="B632" s="1">
        <v>42477</v>
      </c>
      <c r="C632">
        <v>7851</v>
      </c>
      <c r="D632">
        <v>5.9400000572204599</v>
      </c>
      <c r="E632">
        <v>5.9400000572204599</v>
      </c>
      <c r="F632">
        <v>0</v>
      </c>
      <c r="G632">
        <v>1.1399999856948899</v>
      </c>
      <c r="H632">
        <v>0.79000002145767201</v>
      </c>
      <c r="I632">
        <v>4</v>
      </c>
      <c r="J632">
        <v>0</v>
      </c>
      <c r="K632">
        <v>31</v>
      </c>
      <c r="L632">
        <v>12</v>
      </c>
      <c r="M632">
        <v>225</v>
      </c>
      <c r="N632">
        <v>1172</v>
      </c>
      <c r="O632">
        <v>3171</v>
      </c>
    </row>
    <row r="633" spans="1:15">
      <c r="A633">
        <v>6290855005</v>
      </c>
      <c r="B633" s="1">
        <v>42478</v>
      </c>
      <c r="C633">
        <v>6885</v>
      </c>
      <c r="D633">
        <v>5.21000003814697</v>
      </c>
      <c r="E633">
        <v>5.21000003814697</v>
      </c>
      <c r="F633">
        <v>0</v>
      </c>
      <c r="G633">
        <v>0</v>
      </c>
      <c r="H633">
        <v>0</v>
      </c>
      <c r="I633">
        <v>5.1900000572204599</v>
      </c>
      <c r="J633">
        <v>1.9999999552965199E-2</v>
      </c>
      <c r="K633">
        <v>0</v>
      </c>
      <c r="L633">
        <v>0</v>
      </c>
      <c r="M633">
        <v>271</v>
      </c>
      <c r="N633">
        <v>1169</v>
      </c>
      <c r="O633">
        <v>2766</v>
      </c>
    </row>
    <row r="634" spans="1:15">
      <c r="A634">
        <v>6290855005</v>
      </c>
      <c r="B634" s="1">
        <v>42479</v>
      </c>
      <c r="C634">
        <v>7142</v>
      </c>
      <c r="D634">
        <v>5.4000000953674299</v>
      </c>
      <c r="E634">
        <v>5.4000000953674299</v>
      </c>
      <c r="F634">
        <v>0</v>
      </c>
      <c r="G634">
        <v>0</v>
      </c>
      <c r="H634">
        <v>0</v>
      </c>
      <c r="I634">
        <v>5.3899998664856001</v>
      </c>
      <c r="J634">
        <v>9.9999997764825804E-3</v>
      </c>
      <c r="K634">
        <v>0</v>
      </c>
      <c r="L634">
        <v>0</v>
      </c>
      <c r="M634">
        <v>321</v>
      </c>
      <c r="N634">
        <v>1119</v>
      </c>
      <c r="O634">
        <v>2839</v>
      </c>
    </row>
    <row r="635" spans="1:15">
      <c r="A635">
        <v>6290855005</v>
      </c>
      <c r="B635" s="1">
        <v>42480</v>
      </c>
      <c r="C635">
        <v>6361</v>
      </c>
      <c r="D635">
        <v>4.8099999427795401</v>
      </c>
      <c r="E635">
        <v>4.8099999427795401</v>
      </c>
      <c r="F635">
        <v>0</v>
      </c>
      <c r="G635">
        <v>0</v>
      </c>
      <c r="H635">
        <v>0</v>
      </c>
      <c r="I635">
        <v>4.8000001907348597</v>
      </c>
      <c r="J635">
        <v>9.9999997764825804E-3</v>
      </c>
      <c r="K635">
        <v>0</v>
      </c>
      <c r="L635">
        <v>0</v>
      </c>
      <c r="M635">
        <v>258</v>
      </c>
      <c r="N635">
        <v>1182</v>
      </c>
      <c r="O635">
        <v>2701</v>
      </c>
    </row>
    <row r="636" spans="1:15">
      <c r="A636">
        <v>6290855005</v>
      </c>
      <c r="B636" s="1">
        <v>42481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1440</v>
      </c>
      <c r="O636">
        <v>2060</v>
      </c>
    </row>
    <row r="637" spans="1:15">
      <c r="A637">
        <v>6290855005</v>
      </c>
      <c r="B637" s="1">
        <v>42482</v>
      </c>
      <c r="C637">
        <v>6238</v>
      </c>
      <c r="D637">
        <v>4.7199997901916504</v>
      </c>
      <c r="E637">
        <v>4.7199997901916504</v>
      </c>
      <c r="F637">
        <v>0</v>
      </c>
      <c r="G637">
        <v>0</v>
      </c>
      <c r="H637">
        <v>0</v>
      </c>
      <c r="I637">
        <v>4.7199997901916504</v>
      </c>
      <c r="J637">
        <v>0</v>
      </c>
      <c r="K637">
        <v>0</v>
      </c>
      <c r="L637">
        <v>0</v>
      </c>
      <c r="M637">
        <v>302</v>
      </c>
      <c r="N637">
        <v>1138</v>
      </c>
      <c r="O637">
        <v>2796</v>
      </c>
    </row>
    <row r="638" spans="1:15">
      <c r="A638">
        <v>6290855005</v>
      </c>
      <c r="B638" s="1">
        <v>42483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33</v>
      </c>
      <c r="L638">
        <v>0</v>
      </c>
      <c r="M638">
        <v>0</v>
      </c>
      <c r="N638">
        <v>1407</v>
      </c>
      <c r="O638">
        <v>2664</v>
      </c>
    </row>
    <row r="639" spans="1:15">
      <c r="A639">
        <v>6290855005</v>
      </c>
      <c r="B639" s="1">
        <v>42484</v>
      </c>
      <c r="C639">
        <v>5896</v>
      </c>
      <c r="D639">
        <v>4.46000003814697</v>
      </c>
      <c r="E639">
        <v>4.46000003814697</v>
      </c>
      <c r="F639">
        <v>0</v>
      </c>
      <c r="G639">
        <v>0</v>
      </c>
      <c r="H639">
        <v>0</v>
      </c>
      <c r="I639">
        <v>4.46000003814697</v>
      </c>
      <c r="J639">
        <v>0</v>
      </c>
      <c r="K639">
        <v>0</v>
      </c>
      <c r="L639">
        <v>0</v>
      </c>
      <c r="M639">
        <v>258</v>
      </c>
      <c r="N639">
        <v>1182</v>
      </c>
      <c r="O639">
        <v>2703</v>
      </c>
    </row>
    <row r="640" spans="1:15">
      <c r="A640">
        <v>6290855005</v>
      </c>
      <c r="B640" s="1">
        <v>42485</v>
      </c>
      <c r="C640">
        <v>7802</v>
      </c>
      <c r="D640">
        <v>5.9000000953674299</v>
      </c>
      <c r="E640">
        <v>5.9000000953674299</v>
      </c>
      <c r="F640">
        <v>0</v>
      </c>
      <c r="G640">
        <v>0.68000000715255704</v>
      </c>
      <c r="H640">
        <v>0.18000000715255701</v>
      </c>
      <c r="I640">
        <v>5.0300002098083496</v>
      </c>
      <c r="J640">
        <v>9.9999997764825804E-3</v>
      </c>
      <c r="K640">
        <v>8</v>
      </c>
      <c r="L640">
        <v>3</v>
      </c>
      <c r="M640">
        <v>249</v>
      </c>
      <c r="N640">
        <v>1180</v>
      </c>
      <c r="O640">
        <v>2771</v>
      </c>
    </row>
    <row r="641" spans="1:15">
      <c r="A641">
        <v>6290855005</v>
      </c>
      <c r="B641" s="1">
        <v>42486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1440</v>
      </c>
      <c r="O641">
        <v>2060</v>
      </c>
    </row>
    <row r="642" spans="1:15">
      <c r="A642">
        <v>6290855005</v>
      </c>
      <c r="B642" s="1">
        <v>42487</v>
      </c>
      <c r="C642">
        <v>5565</v>
      </c>
      <c r="D642">
        <v>4.21000003814697</v>
      </c>
      <c r="E642">
        <v>4.21000003814697</v>
      </c>
      <c r="F642">
        <v>0</v>
      </c>
      <c r="G642">
        <v>0</v>
      </c>
      <c r="H642">
        <v>0</v>
      </c>
      <c r="I642">
        <v>4.1799998283386204</v>
      </c>
      <c r="J642">
        <v>2.9999999329447701E-2</v>
      </c>
      <c r="K642">
        <v>0</v>
      </c>
      <c r="L642">
        <v>0</v>
      </c>
      <c r="M642">
        <v>287</v>
      </c>
      <c r="N642">
        <v>1153</v>
      </c>
      <c r="O642">
        <v>2743</v>
      </c>
    </row>
    <row r="643" spans="1:15">
      <c r="A643">
        <v>6290855005</v>
      </c>
      <c r="B643" s="1">
        <v>42488</v>
      </c>
      <c r="C643">
        <v>5731</v>
      </c>
      <c r="D643">
        <v>4.3299999237060502</v>
      </c>
      <c r="E643">
        <v>4.3299999237060502</v>
      </c>
      <c r="F643">
        <v>0</v>
      </c>
      <c r="G643">
        <v>0</v>
      </c>
      <c r="H643">
        <v>0</v>
      </c>
      <c r="I643">
        <v>4.3299999237060502</v>
      </c>
      <c r="J643">
        <v>0</v>
      </c>
      <c r="K643">
        <v>0</v>
      </c>
      <c r="L643">
        <v>0</v>
      </c>
      <c r="M643">
        <v>255</v>
      </c>
      <c r="N643">
        <v>1185</v>
      </c>
      <c r="O643">
        <v>2687</v>
      </c>
    </row>
    <row r="644" spans="1:15">
      <c r="A644">
        <v>6290855005</v>
      </c>
      <c r="B644" s="1">
        <v>42489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1440</v>
      </c>
      <c r="O644">
        <v>2060</v>
      </c>
    </row>
    <row r="645" spans="1:15">
      <c r="A645">
        <v>6290855005</v>
      </c>
      <c r="B645" s="1">
        <v>42490</v>
      </c>
      <c r="C645">
        <v>6744</v>
      </c>
      <c r="D645">
        <v>5.0999999046325701</v>
      </c>
      <c r="E645">
        <v>5.0999999046325701</v>
      </c>
      <c r="F645">
        <v>0</v>
      </c>
      <c r="G645">
        <v>0</v>
      </c>
      <c r="H645">
        <v>0</v>
      </c>
      <c r="I645">
        <v>5.0900001525878897</v>
      </c>
      <c r="J645">
        <v>9.9999997764825804E-3</v>
      </c>
      <c r="K645">
        <v>0</v>
      </c>
      <c r="L645">
        <v>0</v>
      </c>
      <c r="M645">
        <v>324</v>
      </c>
      <c r="N645">
        <v>1116</v>
      </c>
      <c r="O645">
        <v>2843</v>
      </c>
    </row>
    <row r="646" spans="1:15">
      <c r="A646">
        <v>6290855005</v>
      </c>
      <c r="B646" s="1">
        <v>42491</v>
      </c>
      <c r="C646">
        <v>9837</v>
      </c>
      <c r="D646">
        <v>7.4400000572204599</v>
      </c>
      <c r="E646">
        <v>7.4400000572204599</v>
      </c>
      <c r="F646">
        <v>0</v>
      </c>
      <c r="G646">
        <v>0.66000002622604403</v>
      </c>
      <c r="H646">
        <v>2.75</v>
      </c>
      <c r="I646">
        <v>4</v>
      </c>
      <c r="J646">
        <v>1.9999999552965199E-2</v>
      </c>
      <c r="K646">
        <v>8</v>
      </c>
      <c r="L646">
        <v>95</v>
      </c>
      <c r="M646">
        <v>282</v>
      </c>
      <c r="N646">
        <v>1055</v>
      </c>
      <c r="O646">
        <v>3327</v>
      </c>
    </row>
    <row r="647" spans="1:15">
      <c r="A647">
        <v>6290855005</v>
      </c>
      <c r="B647" s="1">
        <v>42492</v>
      </c>
      <c r="C647">
        <v>6781</v>
      </c>
      <c r="D647">
        <v>5.1300001144409197</v>
      </c>
      <c r="E647">
        <v>5.1300001144409197</v>
      </c>
      <c r="F647">
        <v>0</v>
      </c>
      <c r="G647">
        <v>0</v>
      </c>
      <c r="H647">
        <v>0</v>
      </c>
      <c r="I647">
        <v>5.1100001335143999</v>
      </c>
      <c r="J647">
        <v>1.9999999552965199E-2</v>
      </c>
      <c r="K647">
        <v>0</v>
      </c>
      <c r="L647">
        <v>0</v>
      </c>
      <c r="M647">
        <v>268</v>
      </c>
      <c r="N647">
        <v>1172</v>
      </c>
      <c r="O647">
        <v>2725</v>
      </c>
    </row>
    <row r="648" spans="1:15">
      <c r="A648">
        <v>6290855005</v>
      </c>
      <c r="B648" s="1">
        <v>42493</v>
      </c>
      <c r="C648">
        <v>6047</v>
      </c>
      <c r="D648">
        <v>4.5700001716613796</v>
      </c>
      <c r="E648">
        <v>4.5700001716613796</v>
      </c>
      <c r="F648">
        <v>0</v>
      </c>
      <c r="G648">
        <v>0</v>
      </c>
      <c r="H648">
        <v>0</v>
      </c>
      <c r="I648">
        <v>4.5700001716613796</v>
      </c>
      <c r="J648">
        <v>0</v>
      </c>
      <c r="K648">
        <v>0</v>
      </c>
      <c r="L648">
        <v>0</v>
      </c>
      <c r="M648">
        <v>240</v>
      </c>
      <c r="N648">
        <v>1200</v>
      </c>
      <c r="O648">
        <v>2671</v>
      </c>
    </row>
    <row r="649" spans="1:15">
      <c r="A649">
        <v>6290855005</v>
      </c>
      <c r="B649" s="1">
        <v>42494</v>
      </c>
      <c r="C649">
        <v>5832</v>
      </c>
      <c r="D649">
        <v>4.4099998474121103</v>
      </c>
      <c r="E649">
        <v>4.4099998474121103</v>
      </c>
      <c r="F649">
        <v>0</v>
      </c>
      <c r="G649">
        <v>0</v>
      </c>
      <c r="H649">
        <v>0</v>
      </c>
      <c r="I649">
        <v>4.4000000953674299</v>
      </c>
      <c r="J649">
        <v>9.9999997764825804E-3</v>
      </c>
      <c r="K649">
        <v>0</v>
      </c>
      <c r="L649">
        <v>0</v>
      </c>
      <c r="M649">
        <v>272</v>
      </c>
      <c r="N649">
        <v>1168</v>
      </c>
      <c r="O649">
        <v>2718</v>
      </c>
    </row>
    <row r="650" spans="1:15">
      <c r="A650">
        <v>6290855005</v>
      </c>
      <c r="B650" s="1">
        <v>42495</v>
      </c>
      <c r="C650">
        <v>6339</v>
      </c>
      <c r="D650">
        <v>4.78999996185303</v>
      </c>
      <c r="E650">
        <v>4.78999996185303</v>
      </c>
      <c r="F650">
        <v>0</v>
      </c>
      <c r="G650">
        <v>0</v>
      </c>
      <c r="H650">
        <v>0</v>
      </c>
      <c r="I650">
        <v>4.78999996185303</v>
      </c>
      <c r="J650">
        <v>0</v>
      </c>
      <c r="K650">
        <v>0</v>
      </c>
      <c r="L650">
        <v>0</v>
      </c>
      <c r="M650">
        <v>239</v>
      </c>
      <c r="N650">
        <v>1201</v>
      </c>
      <c r="O650">
        <v>2682</v>
      </c>
    </row>
    <row r="651" spans="1:15">
      <c r="A651">
        <v>6290855005</v>
      </c>
      <c r="B651" s="1">
        <v>42496</v>
      </c>
      <c r="C651">
        <v>6116</v>
      </c>
      <c r="D651">
        <v>4.6199998855590803</v>
      </c>
      <c r="E651">
        <v>4.6199998855590803</v>
      </c>
      <c r="F651">
        <v>0</v>
      </c>
      <c r="G651">
        <v>0</v>
      </c>
      <c r="H651">
        <v>0</v>
      </c>
      <c r="I651">
        <v>4.5900001525878897</v>
      </c>
      <c r="J651">
        <v>2.9999999329447701E-2</v>
      </c>
      <c r="K651">
        <v>0</v>
      </c>
      <c r="L651">
        <v>0</v>
      </c>
      <c r="M651">
        <v>305</v>
      </c>
      <c r="N651">
        <v>1135</v>
      </c>
      <c r="O651">
        <v>2806</v>
      </c>
    </row>
    <row r="652" spans="1:15">
      <c r="A652">
        <v>6290855005</v>
      </c>
      <c r="B652" s="1">
        <v>42497</v>
      </c>
      <c r="C652">
        <v>5510</v>
      </c>
      <c r="D652">
        <v>4.1700000762939498</v>
      </c>
      <c r="E652">
        <v>4.1700000762939498</v>
      </c>
      <c r="F652">
        <v>0</v>
      </c>
      <c r="G652">
        <v>0</v>
      </c>
      <c r="H652">
        <v>0</v>
      </c>
      <c r="I652">
        <v>4.1599998474121103</v>
      </c>
      <c r="J652">
        <v>0</v>
      </c>
      <c r="K652">
        <v>0</v>
      </c>
      <c r="L652">
        <v>0</v>
      </c>
      <c r="M652">
        <v>227</v>
      </c>
      <c r="N652">
        <v>1213</v>
      </c>
      <c r="O652">
        <v>2613</v>
      </c>
    </row>
    <row r="653" spans="1:15">
      <c r="A653">
        <v>6290855005</v>
      </c>
      <c r="B653" s="1">
        <v>42498</v>
      </c>
      <c r="C653">
        <v>7706</v>
      </c>
      <c r="D653">
        <v>5.8299999237060502</v>
      </c>
      <c r="E653">
        <v>5.8299999237060502</v>
      </c>
      <c r="F653">
        <v>0</v>
      </c>
      <c r="G653">
        <v>0</v>
      </c>
      <c r="H653">
        <v>0</v>
      </c>
      <c r="I653">
        <v>5.8200001716613796</v>
      </c>
      <c r="J653">
        <v>0</v>
      </c>
      <c r="K653">
        <v>0</v>
      </c>
      <c r="L653">
        <v>0</v>
      </c>
      <c r="M653">
        <v>251</v>
      </c>
      <c r="N653">
        <v>1189</v>
      </c>
      <c r="O653">
        <v>2712</v>
      </c>
    </row>
    <row r="654" spans="1:15">
      <c r="A654">
        <v>6290855005</v>
      </c>
      <c r="B654" s="1">
        <v>42499</v>
      </c>
      <c r="C654">
        <v>6277</v>
      </c>
      <c r="D654">
        <v>4.75</v>
      </c>
      <c r="E654">
        <v>4.75</v>
      </c>
      <c r="F654">
        <v>0</v>
      </c>
      <c r="G654">
        <v>0</v>
      </c>
      <c r="H654">
        <v>0</v>
      </c>
      <c r="I654">
        <v>4.7300000190734899</v>
      </c>
      <c r="J654">
        <v>1.9999999552965199E-2</v>
      </c>
      <c r="K654">
        <v>0</v>
      </c>
      <c r="L654">
        <v>0</v>
      </c>
      <c r="M654">
        <v>264</v>
      </c>
      <c r="N654">
        <v>800</v>
      </c>
      <c r="O654">
        <v>2175</v>
      </c>
    </row>
    <row r="655" spans="1:15">
      <c r="A655">
        <v>6290855005</v>
      </c>
      <c r="B655" s="1">
        <v>42500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1440</v>
      </c>
      <c r="O655">
        <v>0</v>
      </c>
    </row>
    <row r="656" spans="1:15">
      <c r="A656">
        <v>6775888955</v>
      </c>
      <c r="B656" s="1">
        <v>42472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1440</v>
      </c>
      <c r="O656">
        <v>1841</v>
      </c>
    </row>
    <row r="657" spans="1:15">
      <c r="A657">
        <v>6775888955</v>
      </c>
      <c r="B657" s="1">
        <v>42473</v>
      </c>
      <c r="C657">
        <v>4053</v>
      </c>
      <c r="D657">
        <v>2.9100000858306898</v>
      </c>
      <c r="E657">
        <v>2.9100000858306898</v>
      </c>
      <c r="F657">
        <v>0</v>
      </c>
      <c r="G657">
        <v>1.1100000143051101</v>
      </c>
      <c r="H657">
        <v>0.57999998331069902</v>
      </c>
      <c r="I657">
        <v>1.2200000286102299</v>
      </c>
      <c r="J657">
        <v>0</v>
      </c>
      <c r="K657">
        <v>17</v>
      </c>
      <c r="L657">
        <v>18</v>
      </c>
      <c r="M657">
        <v>85</v>
      </c>
      <c r="N657">
        <v>1053</v>
      </c>
      <c r="O657">
        <v>2400</v>
      </c>
    </row>
    <row r="658" spans="1:15">
      <c r="A658">
        <v>6775888955</v>
      </c>
      <c r="B658" s="1">
        <v>42474</v>
      </c>
      <c r="C658">
        <v>5162</v>
      </c>
      <c r="D658">
        <v>3.7000000476837198</v>
      </c>
      <c r="E658">
        <v>3.7000000476837198</v>
      </c>
      <c r="F658">
        <v>0</v>
      </c>
      <c r="G658">
        <v>0.87000000476837203</v>
      </c>
      <c r="H658">
        <v>0.86000001430511497</v>
      </c>
      <c r="I658">
        <v>1.9700000286102299</v>
      </c>
      <c r="J658">
        <v>0</v>
      </c>
      <c r="K658">
        <v>14</v>
      </c>
      <c r="L658">
        <v>24</v>
      </c>
      <c r="M658">
        <v>105</v>
      </c>
      <c r="N658">
        <v>863</v>
      </c>
      <c r="O658">
        <v>2507</v>
      </c>
    </row>
    <row r="659" spans="1:15">
      <c r="A659">
        <v>6775888955</v>
      </c>
      <c r="B659" s="1">
        <v>42475</v>
      </c>
      <c r="C659">
        <v>1282</v>
      </c>
      <c r="D659">
        <v>0.92000001668930098</v>
      </c>
      <c r="E659">
        <v>0.92000001668930098</v>
      </c>
      <c r="F659">
        <v>0</v>
      </c>
      <c r="G659">
        <v>0</v>
      </c>
      <c r="H659">
        <v>0</v>
      </c>
      <c r="I659">
        <v>0.92000001668930098</v>
      </c>
      <c r="J659">
        <v>0</v>
      </c>
      <c r="K659">
        <v>0</v>
      </c>
      <c r="L659">
        <v>0</v>
      </c>
      <c r="M659">
        <v>58</v>
      </c>
      <c r="N659">
        <v>976</v>
      </c>
      <c r="O659">
        <v>2127</v>
      </c>
    </row>
    <row r="660" spans="1:15">
      <c r="A660">
        <v>6775888955</v>
      </c>
      <c r="B660" s="1">
        <v>42476</v>
      </c>
      <c r="C660">
        <v>4732</v>
      </c>
      <c r="D660">
        <v>3.3900001049041699</v>
      </c>
      <c r="E660">
        <v>3.3900001049041699</v>
      </c>
      <c r="F660">
        <v>0</v>
      </c>
      <c r="G660">
        <v>2.5199999809265101</v>
      </c>
      <c r="H660">
        <v>0.81000000238418601</v>
      </c>
      <c r="I660">
        <v>5.9999998658895499E-2</v>
      </c>
      <c r="J660">
        <v>0</v>
      </c>
      <c r="K660">
        <v>36</v>
      </c>
      <c r="L660">
        <v>18</v>
      </c>
      <c r="M660">
        <v>9</v>
      </c>
      <c r="N660">
        <v>1377</v>
      </c>
      <c r="O660">
        <v>2225</v>
      </c>
    </row>
    <row r="661" spans="1:15">
      <c r="A661">
        <v>6775888955</v>
      </c>
      <c r="B661" s="1">
        <v>42477</v>
      </c>
      <c r="C661">
        <v>2497</v>
      </c>
      <c r="D661">
        <v>1.78999996185303</v>
      </c>
      <c r="E661">
        <v>1.78999996185303</v>
      </c>
      <c r="F661">
        <v>0</v>
      </c>
      <c r="G661">
        <v>0.34999999403953602</v>
      </c>
      <c r="H661">
        <v>1.12999999523163</v>
      </c>
      <c r="I661">
        <v>0.31000000238418601</v>
      </c>
      <c r="J661">
        <v>0</v>
      </c>
      <c r="K661">
        <v>5</v>
      </c>
      <c r="L661">
        <v>24</v>
      </c>
      <c r="M661">
        <v>19</v>
      </c>
      <c r="N661">
        <v>1392</v>
      </c>
      <c r="O661">
        <v>2067</v>
      </c>
    </row>
    <row r="662" spans="1:15">
      <c r="A662">
        <v>6775888955</v>
      </c>
      <c r="B662" s="1">
        <v>42478</v>
      </c>
      <c r="C662">
        <v>8294</v>
      </c>
      <c r="D662">
        <v>5.9499998092651403</v>
      </c>
      <c r="E662">
        <v>5.9499998092651403</v>
      </c>
      <c r="F662">
        <v>0</v>
      </c>
      <c r="G662">
        <v>2</v>
      </c>
      <c r="H662">
        <v>0.769999980926514</v>
      </c>
      <c r="I662">
        <v>3.1700000762939502</v>
      </c>
      <c r="J662">
        <v>0</v>
      </c>
      <c r="K662">
        <v>30</v>
      </c>
      <c r="L662">
        <v>31</v>
      </c>
      <c r="M662">
        <v>146</v>
      </c>
      <c r="N662">
        <v>1233</v>
      </c>
      <c r="O662">
        <v>2798</v>
      </c>
    </row>
    <row r="663" spans="1:15">
      <c r="A663">
        <v>6775888955</v>
      </c>
      <c r="B663" s="1">
        <v>42479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1440</v>
      </c>
      <c r="O663">
        <v>1841</v>
      </c>
    </row>
    <row r="664" spans="1:15">
      <c r="A664">
        <v>6775888955</v>
      </c>
      <c r="B664" s="1">
        <v>42480</v>
      </c>
      <c r="C664">
        <v>10771</v>
      </c>
      <c r="D664">
        <v>7.7199997901916504</v>
      </c>
      <c r="E664">
        <v>7.7199997901916504</v>
      </c>
      <c r="F664">
        <v>0</v>
      </c>
      <c r="G664">
        <v>3.7699999809265101</v>
      </c>
      <c r="H664">
        <v>1.7400000095367401</v>
      </c>
      <c r="I664">
        <v>2.2200000286102299</v>
      </c>
      <c r="J664">
        <v>0</v>
      </c>
      <c r="K664">
        <v>70</v>
      </c>
      <c r="L664">
        <v>113</v>
      </c>
      <c r="M664">
        <v>178</v>
      </c>
      <c r="N664">
        <v>1079</v>
      </c>
      <c r="O664">
        <v>3727</v>
      </c>
    </row>
    <row r="665" spans="1:15">
      <c r="A665">
        <v>6775888955</v>
      </c>
      <c r="B665" s="1">
        <v>42481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1440</v>
      </c>
      <c r="O665">
        <v>1841</v>
      </c>
    </row>
    <row r="666" spans="1:15">
      <c r="A666">
        <v>6775888955</v>
      </c>
      <c r="B666" s="1">
        <v>42482</v>
      </c>
      <c r="C666">
        <v>637</v>
      </c>
      <c r="D666">
        <v>0.46000000834464999</v>
      </c>
      <c r="E666">
        <v>0.46000000834464999</v>
      </c>
      <c r="F666">
        <v>0</v>
      </c>
      <c r="G666">
        <v>0</v>
      </c>
      <c r="H666">
        <v>0</v>
      </c>
      <c r="I666">
        <v>0.46000000834464999</v>
      </c>
      <c r="J666">
        <v>0</v>
      </c>
      <c r="K666">
        <v>0</v>
      </c>
      <c r="L666">
        <v>0</v>
      </c>
      <c r="M666">
        <v>20</v>
      </c>
      <c r="N666">
        <v>1420</v>
      </c>
      <c r="O666">
        <v>1922</v>
      </c>
    </row>
    <row r="667" spans="1:15">
      <c r="A667">
        <v>6775888955</v>
      </c>
      <c r="B667" s="1">
        <v>42483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1440</v>
      </c>
      <c r="O667">
        <v>1841</v>
      </c>
    </row>
    <row r="668" spans="1:15">
      <c r="A668">
        <v>6775888955</v>
      </c>
      <c r="B668" s="1">
        <v>42484</v>
      </c>
      <c r="C668">
        <v>2153</v>
      </c>
      <c r="D668">
        <v>1.53999996185303</v>
      </c>
      <c r="E668">
        <v>1.53999996185303</v>
      </c>
      <c r="F668">
        <v>0</v>
      </c>
      <c r="G668">
        <v>0.769999980926514</v>
      </c>
      <c r="H668">
        <v>0.62000000476837203</v>
      </c>
      <c r="I668">
        <v>0.15000000596046401</v>
      </c>
      <c r="J668">
        <v>0</v>
      </c>
      <c r="K668">
        <v>11</v>
      </c>
      <c r="L668">
        <v>18</v>
      </c>
      <c r="M668">
        <v>11</v>
      </c>
      <c r="N668">
        <v>1400</v>
      </c>
      <c r="O668">
        <v>2053</v>
      </c>
    </row>
    <row r="669" spans="1:15">
      <c r="A669">
        <v>6775888955</v>
      </c>
      <c r="B669" s="1">
        <v>42485</v>
      </c>
      <c r="C669">
        <v>6474</v>
      </c>
      <c r="D669">
        <v>4.6399998664856001</v>
      </c>
      <c r="E669">
        <v>4.6399998664856001</v>
      </c>
      <c r="F669">
        <v>0</v>
      </c>
      <c r="G669">
        <v>2.2699999809265101</v>
      </c>
      <c r="H669">
        <v>0.46000000834464999</v>
      </c>
      <c r="I669">
        <v>1.8999999761581401</v>
      </c>
      <c r="J669">
        <v>0</v>
      </c>
      <c r="K669">
        <v>33</v>
      </c>
      <c r="L669">
        <v>13</v>
      </c>
      <c r="M669">
        <v>92</v>
      </c>
      <c r="N669">
        <v>1302</v>
      </c>
      <c r="O669">
        <v>2484</v>
      </c>
    </row>
    <row r="670" spans="1:15">
      <c r="A670">
        <v>6775888955</v>
      </c>
      <c r="B670" s="1">
        <v>42486</v>
      </c>
      <c r="C670">
        <v>7091</v>
      </c>
      <c r="D670">
        <v>5.2699999809265101</v>
      </c>
      <c r="E670">
        <v>5.2699999809265101</v>
      </c>
      <c r="F670">
        <v>1.9595960378646899</v>
      </c>
      <c r="G670">
        <v>3.4800000190734899</v>
      </c>
      <c r="H670">
        <v>0.87000000476837203</v>
      </c>
      <c r="I670">
        <v>0.730000019073486</v>
      </c>
      <c r="J670">
        <v>0</v>
      </c>
      <c r="K670">
        <v>42</v>
      </c>
      <c r="L670">
        <v>30</v>
      </c>
      <c r="M670">
        <v>47</v>
      </c>
      <c r="N670">
        <v>1321</v>
      </c>
      <c r="O670">
        <v>2584</v>
      </c>
    </row>
    <row r="671" spans="1:15">
      <c r="A671">
        <v>6775888955</v>
      </c>
      <c r="B671" s="1">
        <v>42487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1440</v>
      </c>
      <c r="O671">
        <v>1841</v>
      </c>
    </row>
    <row r="672" spans="1:15">
      <c r="A672">
        <v>6775888955</v>
      </c>
      <c r="B672" s="1">
        <v>42488</v>
      </c>
      <c r="C672">
        <v>703</v>
      </c>
      <c r="D672">
        <v>0.5</v>
      </c>
      <c r="E672">
        <v>0.5</v>
      </c>
      <c r="F672">
        <v>0</v>
      </c>
      <c r="G672">
        <v>5.9999998658895499E-2</v>
      </c>
      <c r="H672">
        <v>0.20000000298023199</v>
      </c>
      <c r="I672">
        <v>0.239999994635582</v>
      </c>
      <c r="J672">
        <v>0</v>
      </c>
      <c r="K672">
        <v>2</v>
      </c>
      <c r="L672">
        <v>13</v>
      </c>
      <c r="M672">
        <v>15</v>
      </c>
      <c r="N672">
        <v>1410</v>
      </c>
      <c r="O672">
        <v>1993</v>
      </c>
    </row>
    <row r="673" spans="1:15">
      <c r="A673">
        <v>6775888955</v>
      </c>
      <c r="B673" s="1">
        <v>42489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1440</v>
      </c>
      <c r="O673">
        <v>1841</v>
      </c>
    </row>
    <row r="674" spans="1:15">
      <c r="A674">
        <v>6775888955</v>
      </c>
      <c r="B674" s="1">
        <v>42490</v>
      </c>
      <c r="C674">
        <v>2503</v>
      </c>
      <c r="D674">
        <v>1.78999996185303</v>
      </c>
      <c r="E674">
        <v>1.78999996185303</v>
      </c>
      <c r="F674">
        <v>0</v>
      </c>
      <c r="G674">
        <v>0.15999999642372101</v>
      </c>
      <c r="H674">
        <v>0.15999999642372101</v>
      </c>
      <c r="I674">
        <v>1.4800000190734901</v>
      </c>
      <c r="J674">
        <v>0</v>
      </c>
      <c r="K674">
        <v>3</v>
      </c>
      <c r="L674">
        <v>9</v>
      </c>
      <c r="M674">
        <v>84</v>
      </c>
      <c r="N674">
        <v>1344</v>
      </c>
      <c r="O674">
        <v>2280</v>
      </c>
    </row>
    <row r="675" spans="1:15">
      <c r="A675">
        <v>6775888955</v>
      </c>
      <c r="B675" s="1">
        <v>42491</v>
      </c>
      <c r="C675">
        <v>2487</v>
      </c>
      <c r="D675">
        <v>1.7799999713897701</v>
      </c>
      <c r="E675">
        <v>1.7799999713897701</v>
      </c>
      <c r="F675">
        <v>0</v>
      </c>
      <c r="G675">
        <v>0.479999989271164</v>
      </c>
      <c r="H675">
        <v>0.62000000476837203</v>
      </c>
      <c r="I675">
        <v>0.68000000715255704</v>
      </c>
      <c r="J675">
        <v>0</v>
      </c>
      <c r="K675">
        <v>9</v>
      </c>
      <c r="L675">
        <v>34</v>
      </c>
      <c r="M675">
        <v>50</v>
      </c>
      <c r="N675">
        <v>1347</v>
      </c>
      <c r="O675">
        <v>2319</v>
      </c>
    </row>
    <row r="676" spans="1:15">
      <c r="A676">
        <v>6775888955</v>
      </c>
      <c r="B676" s="1">
        <v>42492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1440</v>
      </c>
      <c r="O676">
        <v>1841</v>
      </c>
    </row>
    <row r="677" spans="1:15">
      <c r="A677">
        <v>6775888955</v>
      </c>
      <c r="B677" s="1">
        <v>42493</v>
      </c>
      <c r="C677">
        <v>9</v>
      </c>
      <c r="D677">
        <v>9.9999997764825804E-3</v>
      </c>
      <c r="E677">
        <v>9.9999997764825804E-3</v>
      </c>
      <c r="F677">
        <v>0</v>
      </c>
      <c r="G677">
        <v>0</v>
      </c>
      <c r="H677">
        <v>0</v>
      </c>
      <c r="I677">
        <v>9.9999997764825804E-3</v>
      </c>
      <c r="J677">
        <v>0</v>
      </c>
      <c r="K677">
        <v>0</v>
      </c>
      <c r="L677">
        <v>0</v>
      </c>
      <c r="M677">
        <v>1</v>
      </c>
      <c r="N677">
        <v>1439</v>
      </c>
      <c r="O677">
        <v>1843</v>
      </c>
    </row>
    <row r="678" spans="1:15">
      <c r="A678">
        <v>6775888955</v>
      </c>
      <c r="B678" s="1">
        <v>42494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1440</v>
      </c>
      <c r="O678">
        <v>1841</v>
      </c>
    </row>
    <row r="679" spans="1:15">
      <c r="A679">
        <v>6775888955</v>
      </c>
      <c r="B679" s="1">
        <v>42495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1440</v>
      </c>
      <c r="O679">
        <v>1841</v>
      </c>
    </row>
    <row r="680" spans="1:15">
      <c r="A680">
        <v>6775888955</v>
      </c>
      <c r="B680" s="1">
        <v>42496</v>
      </c>
      <c r="C680">
        <v>4697</v>
      </c>
      <c r="D680">
        <v>3.3699998855590798</v>
      </c>
      <c r="E680">
        <v>3.3699998855590798</v>
      </c>
      <c r="F680">
        <v>0</v>
      </c>
      <c r="G680">
        <v>0.46999999880790699</v>
      </c>
      <c r="H680">
        <v>0.93000000715255704</v>
      </c>
      <c r="I680">
        <v>1.9299999475479099</v>
      </c>
      <c r="J680">
        <v>0</v>
      </c>
      <c r="K680">
        <v>12</v>
      </c>
      <c r="L680">
        <v>35</v>
      </c>
      <c r="M680">
        <v>75</v>
      </c>
      <c r="N680">
        <v>1318</v>
      </c>
      <c r="O680">
        <v>2496</v>
      </c>
    </row>
    <row r="681" spans="1:15">
      <c r="A681">
        <v>6775888955</v>
      </c>
      <c r="B681" s="1">
        <v>42497</v>
      </c>
      <c r="C681">
        <v>1967</v>
      </c>
      <c r="D681">
        <v>1.4099999666214</v>
      </c>
      <c r="E681">
        <v>1.4099999666214</v>
      </c>
      <c r="F681">
        <v>0</v>
      </c>
      <c r="G681">
        <v>0.129999995231628</v>
      </c>
      <c r="H681">
        <v>0.239999994635582</v>
      </c>
      <c r="I681">
        <v>1.04999995231628</v>
      </c>
      <c r="J681">
        <v>0</v>
      </c>
      <c r="K681">
        <v>2</v>
      </c>
      <c r="L681">
        <v>5</v>
      </c>
      <c r="M681">
        <v>49</v>
      </c>
      <c r="N681">
        <v>551</v>
      </c>
      <c r="O681">
        <v>1032</v>
      </c>
    </row>
    <row r="682" spans="1:15">
      <c r="A682">
        <v>6962181067</v>
      </c>
      <c r="B682" s="1">
        <v>42472</v>
      </c>
      <c r="C682">
        <v>10199</v>
      </c>
      <c r="D682">
        <v>6.7399997711181596</v>
      </c>
      <c r="E682">
        <v>6.7399997711181596</v>
      </c>
      <c r="F682">
        <v>0</v>
      </c>
      <c r="G682">
        <v>3.4000000953674299</v>
      </c>
      <c r="H682">
        <v>0.82999998331069902</v>
      </c>
      <c r="I682">
        <v>2.5099999904632599</v>
      </c>
      <c r="J682">
        <v>0</v>
      </c>
      <c r="K682">
        <v>50</v>
      </c>
      <c r="L682">
        <v>14</v>
      </c>
      <c r="M682">
        <v>189</v>
      </c>
      <c r="N682">
        <v>796</v>
      </c>
      <c r="O682">
        <v>1994</v>
      </c>
    </row>
    <row r="683" spans="1:15">
      <c r="A683">
        <v>6962181067</v>
      </c>
      <c r="B683" s="1">
        <v>42473</v>
      </c>
      <c r="C683">
        <v>5652</v>
      </c>
      <c r="D683">
        <v>3.7400000095367401</v>
      </c>
      <c r="E683">
        <v>3.7400000095367401</v>
      </c>
      <c r="F683">
        <v>0</v>
      </c>
      <c r="G683">
        <v>0.56999999284744296</v>
      </c>
      <c r="H683">
        <v>1.21000003814697</v>
      </c>
      <c r="I683">
        <v>1.96000003814697</v>
      </c>
      <c r="J683">
        <v>0</v>
      </c>
      <c r="K683">
        <v>8</v>
      </c>
      <c r="L683">
        <v>24</v>
      </c>
      <c r="M683">
        <v>142</v>
      </c>
      <c r="N683">
        <v>548</v>
      </c>
      <c r="O683">
        <v>1718</v>
      </c>
    </row>
    <row r="684" spans="1:15">
      <c r="A684">
        <v>6962181067</v>
      </c>
      <c r="B684" s="1">
        <v>42474</v>
      </c>
      <c r="C684">
        <v>1551</v>
      </c>
      <c r="D684">
        <v>1.0299999713897701</v>
      </c>
      <c r="E684">
        <v>1.0299999713897701</v>
      </c>
      <c r="F684">
        <v>0</v>
      </c>
      <c r="G684">
        <v>0</v>
      </c>
      <c r="H684">
        <v>0</v>
      </c>
      <c r="I684">
        <v>1.0299999713897701</v>
      </c>
      <c r="J684">
        <v>0</v>
      </c>
      <c r="K684">
        <v>0</v>
      </c>
      <c r="L684">
        <v>0</v>
      </c>
      <c r="M684">
        <v>86</v>
      </c>
      <c r="N684">
        <v>862</v>
      </c>
      <c r="O684">
        <v>1466</v>
      </c>
    </row>
    <row r="685" spans="1:15">
      <c r="A685">
        <v>6962181067</v>
      </c>
      <c r="B685" s="1">
        <v>42475</v>
      </c>
      <c r="C685">
        <v>5563</v>
      </c>
      <c r="D685">
        <v>3.6800000667571999</v>
      </c>
      <c r="E685">
        <v>3.6800000667571999</v>
      </c>
      <c r="F685">
        <v>0</v>
      </c>
      <c r="G685">
        <v>0</v>
      </c>
      <c r="H685">
        <v>0</v>
      </c>
      <c r="I685">
        <v>3.6800000667571999</v>
      </c>
      <c r="J685">
        <v>0</v>
      </c>
      <c r="K685">
        <v>0</v>
      </c>
      <c r="L685">
        <v>0</v>
      </c>
      <c r="M685">
        <v>217</v>
      </c>
      <c r="N685">
        <v>837</v>
      </c>
      <c r="O685">
        <v>1756</v>
      </c>
    </row>
    <row r="686" spans="1:15">
      <c r="A686">
        <v>6962181067</v>
      </c>
      <c r="B686" s="1">
        <v>42476</v>
      </c>
      <c r="C686">
        <v>13217</v>
      </c>
      <c r="D686">
        <v>8.7399997711181605</v>
      </c>
      <c r="E686">
        <v>8.7399997711181605</v>
      </c>
      <c r="F686">
        <v>0</v>
      </c>
      <c r="G686">
        <v>3.6600000858306898</v>
      </c>
      <c r="H686">
        <v>0.18999999761581399</v>
      </c>
      <c r="I686">
        <v>4.8800001144409197</v>
      </c>
      <c r="J686">
        <v>0</v>
      </c>
      <c r="K686">
        <v>50</v>
      </c>
      <c r="L686">
        <v>3</v>
      </c>
      <c r="M686">
        <v>280</v>
      </c>
      <c r="N686">
        <v>741</v>
      </c>
      <c r="O686">
        <v>2173</v>
      </c>
    </row>
    <row r="687" spans="1:15">
      <c r="A687">
        <v>6962181067</v>
      </c>
      <c r="B687" s="1">
        <v>42477</v>
      </c>
      <c r="C687">
        <v>10145</v>
      </c>
      <c r="D687">
        <v>6.71000003814697</v>
      </c>
      <c r="E687">
        <v>6.71000003814697</v>
      </c>
      <c r="F687">
        <v>0</v>
      </c>
      <c r="G687">
        <v>0.33000001311302202</v>
      </c>
      <c r="H687">
        <v>0.68000000715255704</v>
      </c>
      <c r="I687">
        <v>5.6900000572204599</v>
      </c>
      <c r="J687">
        <v>0</v>
      </c>
      <c r="K687">
        <v>5</v>
      </c>
      <c r="L687">
        <v>13</v>
      </c>
      <c r="M687">
        <v>295</v>
      </c>
      <c r="N687">
        <v>634</v>
      </c>
      <c r="O687">
        <v>2027</v>
      </c>
    </row>
    <row r="688" spans="1:15">
      <c r="A688">
        <v>6962181067</v>
      </c>
      <c r="B688" s="1">
        <v>42478</v>
      </c>
      <c r="C688">
        <v>11404</v>
      </c>
      <c r="D688">
        <v>7.53999996185303</v>
      </c>
      <c r="E688">
        <v>7.53999996185303</v>
      </c>
      <c r="F688">
        <v>0</v>
      </c>
      <c r="G688">
        <v>0.82999998331069902</v>
      </c>
      <c r="H688">
        <v>2.3900001049041699</v>
      </c>
      <c r="I688">
        <v>4.3200001716613796</v>
      </c>
      <c r="J688">
        <v>0</v>
      </c>
      <c r="K688">
        <v>13</v>
      </c>
      <c r="L688">
        <v>42</v>
      </c>
      <c r="M688">
        <v>238</v>
      </c>
      <c r="N688">
        <v>689</v>
      </c>
      <c r="O688">
        <v>2039</v>
      </c>
    </row>
    <row r="689" spans="1:15">
      <c r="A689">
        <v>6962181067</v>
      </c>
      <c r="B689" s="1">
        <v>42479</v>
      </c>
      <c r="C689">
        <v>10742</v>
      </c>
      <c r="D689">
        <v>7.0999999046325701</v>
      </c>
      <c r="E689">
        <v>7.0999999046325701</v>
      </c>
      <c r="F689">
        <v>0</v>
      </c>
      <c r="G689">
        <v>2.0999999046325701</v>
      </c>
      <c r="H689">
        <v>2.1300001144409202</v>
      </c>
      <c r="I689">
        <v>2.8699998855590798</v>
      </c>
      <c r="J689">
        <v>0</v>
      </c>
      <c r="K689">
        <v>35</v>
      </c>
      <c r="L689">
        <v>41</v>
      </c>
      <c r="M689">
        <v>195</v>
      </c>
      <c r="N689">
        <v>659</v>
      </c>
      <c r="O689">
        <v>2046</v>
      </c>
    </row>
    <row r="690" spans="1:15">
      <c r="A690">
        <v>6962181067</v>
      </c>
      <c r="B690" s="1">
        <v>42480</v>
      </c>
      <c r="C690">
        <v>13928</v>
      </c>
      <c r="D690">
        <v>9.5500001907348597</v>
      </c>
      <c r="E690">
        <v>9.5500001907348597</v>
      </c>
      <c r="F690">
        <v>0</v>
      </c>
      <c r="G690">
        <v>4.2800002098083496</v>
      </c>
      <c r="H690">
        <v>0.18999999761581399</v>
      </c>
      <c r="I690">
        <v>5.0900001525878897</v>
      </c>
      <c r="J690">
        <v>0</v>
      </c>
      <c r="K690">
        <v>48</v>
      </c>
      <c r="L690">
        <v>4</v>
      </c>
      <c r="M690">
        <v>297</v>
      </c>
      <c r="N690">
        <v>639</v>
      </c>
      <c r="O690">
        <v>2174</v>
      </c>
    </row>
    <row r="691" spans="1:15">
      <c r="A691">
        <v>6962181067</v>
      </c>
      <c r="B691" s="1">
        <v>42481</v>
      </c>
      <c r="C691">
        <v>11835</v>
      </c>
      <c r="D691">
        <v>9.7100000381469709</v>
      </c>
      <c r="E691">
        <v>7.8800001144409197</v>
      </c>
      <c r="F691">
        <v>4.0816922187805202</v>
      </c>
      <c r="G691">
        <v>3.9900000095367401</v>
      </c>
      <c r="H691">
        <v>2.0999999046325701</v>
      </c>
      <c r="I691">
        <v>3.5099999904632599</v>
      </c>
      <c r="J691">
        <v>0.109999999403954</v>
      </c>
      <c r="K691">
        <v>53</v>
      </c>
      <c r="L691">
        <v>27</v>
      </c>
      <c r="M691">
        <v>214</v>
      </c>
      <c r="N691">
        <v>708</v>
      </c>
      <c r="O691">
        <v>2179</v>
      </c>
    </row>
    <row r="692" spans="1:15">
      <c r="A692">
        <v>6962181067</v>
      </c>
      <c r="B692" s="1">
        <v>42482</v>
      </c>
      <c r="C692">
        <v>10725</v>
      </c>
      <c r="D692">
        <v>7.0900001525878897</v>
      </c>
      <c r="E692">
        <v>7.0900001525878897</v>
      </c>
      <c r="F692">
        <v>0</v>
      </c>
      <c r="G692">
        <v>1.7699999809265099</v>
      </c>
      <c r="H692">
        <v>1.54999995231628</v>
      </c>
      <c r="I692">
        <v>3.7699999809265101</v>
      </c>
      <c r="J692">
        <v>0</v>
      </c>
      <c r="K692">
        <v>30</v>
      </c>
      <c r="L692">
        <v>33</v>
      </c>
      <c r="M692">
        <v>240</v>
      </c>
      <c r="N692">
        <v>659</v>
      </c>
      <c r="O692">
        <v>2086</v>
      </c>
    </row>
    <row r="693" spans="1:15">
      <c r="A693">
        <v>6962181067</v>
      </c>
      <c r="B693" s="1">
        <v>42483</v>
      </c>
      <c r="C693">
        <v>20031</v>
      </c>
      <c r="D693">
        <v>13.2399997711182</v>
      </c>
      <c r="E693">
        <v>13.2399997711182</v>
      </c>
      <c r="F693">
        <v>0</v>
      </c>
      <c r="G693">
        <v>4.1999998092651403</v>
      </c>
      <c r="H693">
        <v>2</v>
      </c>
      <c r="I693">
        <v>7.03999996185303</v>
      </c>
      <c r="J693">
        <v>0</v>
      </c>
      <c r="K693">
        <v>58</v>
      </c>
      <c r="L693">
        <v>41</v>
      </c>
      <c r="M693">
        <v>347</v>
      </c>
      <c r="N693">
        <v>484</v>
      </c>
      <c r="O693">
        <v>2571</v>
      </c>
    </row>
    <row r="694" spans="1:15">
      <c r="A694">
        <v>6962181067</v>
      </c>
      <c r="B694" s="1">
        <v>42484</v>
      </c>
      <c r="C694">
        <v>5029</v>
      </c>
      <c r="D694">
        <v>3.3199999332428001</v>
      </c>
      <c r="E694">
        <v>3.3199999332428001</v>
      </c>
      <c r="F694">
        <v>0</v>
      </c>
      <c r="G694">
        <v>0</v>
      </c>
      <c r="H694">
        <v>0</v>
      </c>
      <c r="I694">
        <v>3.3199999332428001</v>
      </c>
      <c r="J694">
        <v>0</v>
      </c>
      <c r="K694">
        <v>0</v>
      </c>
      <c r="L694">
        <v>0</v>
      </c>
      <c r="M694">
        <v>199</v>
      </c>
      <c r="N694">
        <v>720</v>
      </c>
      <c r="O694">
        <v>1705</v>
      </c>
    </row>
    <row r="695" spans="1:15">
      <c r="A695">
        <v>6962181067</v>
      </c>
      <c r="B695" s="1">
        <v>42485</v>
      </c>
      <c r="C695">
        <v>13239</v>
      </c>
      <c r="D695">
        <v>9.2700004577636701</v>
      </c>
      <c r="E695">
        <v>9.0799999237060494</v>
      </c>
      <c r="F695">
        <v>2.7851750850677499</v>
      </c>
      <c r="G695">
        <v>3.0199999809265101</v>
      </c>
      <c r="H695">
        <v>1.6799999475479099</v>
      </c>
      <c r="I695">
        <v>4.46000003814697</v>
      </c>
      <c r="J695">
        <v>0.10000000149011599</v>
      </c>
      <c r="K695">
        <v>35</v>
      </c>
      <c r="L695">
        <v>31</v>
      </c>
      <c r="M695">
        <v>282</v>
      </c>
      <c r="N695">
        <v>637</v>
      </c>
      <c r="O695">
        <v>2194</v>
      </c>
    </row>
    <row r="696" spans="1:15">
      <c r="A696">
        <v>6962181067</v>
      </c>
      <c r="B696" s="1">
        <v>42486</v>
      </c>
      <c r="C696">
        <v>10433</v>
      </c>
      <c r="D696">
        <v>6.9000000953674299</v>
      </c>
      <c r="E696">
        <v>6.9000000953674299</v>
      </c>
      <c r="F696">
        <v>0</v>
      </c>
      <c r="G696">
        <v>2.5799999237060498</v>
      </c>
      <c r="H696">
        <v>0.41999998688697798</v>
      </c>
      <c r="I696">
        <v>3.9000000953674299</v>
      </c>
      <c r="J696">
        <v>0</v>
      </c>
      <c r="K696">
        <v>36</v>
      </c>
      <c r="L696">
        <v>7</v>
      </c>
      <c r="M696">
        <v>254</v>
      </c>
      <c r="N696">
        <v>680</v>
      </c>
      <c r="O696">
        <v>2012</v>
      </c>
    </row>
    <row r="697" spans="1:15">
      <c r="A697">
        <v>6962181067</v>
      </c>
      <c r="B697" s="1">
        <v>42487</v>
      </c>
      <c r="C697">
        <v>10320</v>
      </c>
      <c r="D697">
        <v>6.8200001716613796</v>
      </c>
      <c r="E697">
        <v>6.8200001716613796</v>
      </c>
      <c r="F697">
        <v>0</v>
      </c>
      <c r="G697">
        <v>0.55000001192092896</v>
      </c>
      <c r="H697">
        <v>2.0199999809265101</v>
      </c>
      <c r="I697">
        <v>4.25</v>
      </c>
      <c r="J697">
        <v>0</v>
      </c>
      <c r="K697">
        <v>7</v>
      </c>
      <c r="L697">
        <v>38</v>
      </c>
      <c r="M697">
        <v>279</v>
      </c>
      <c r="N697">
        <v>697</v>
      </c>
      <c r="O697">
        <v>2034</v>
      </c>
    </row>
    <row r="698" spans="1:15">
      <c r="A698">
        <v>6962181067</v>
      </c>
      <c r="B698" s="1">
        <v>42488</v>
      </c>
      <c r="C698">
        <v>12627</v>
      </c>
      <c r="D698">
        <v>8.3500003814697301</v>
      </c>
      <c r="E698">
        <v>8.3500003814697301</v>
      </c>
      <c r="F698">
        <v>0</v>
      </c>
      <c r="G698">
        <v>2.5099999904632599</v>
      </c>
      <c r="H698">
        <v>0.239999994635582</v>
      </c>
      <c r="I698">
        <v>5.5900001525878897</v>
      </c>
      <c r="J698">
        <v>0</v>
      </c>
      <c r="K698">
        <v>38</v>
      </c>
      <c r="L698">
        <v>8</v>
      </c>
      <c r="M698">
        <v>288</v>
      </c>
      <c r="N698">
        <v>621</v>
      </c>
      <c r="O698">
        <v>2182</v>
      </c>
    </row>
    <row r="699" spans="1:15">
      <c r="A699">
        <v>6962181067</v>
      </c>
      <c r="B699" s="1">
        <v>42489</v>
      </c>
      <c r="C699">
        <v>10762</v>
      </c>
      <c r="D699">
        <v>7.1100001335143999</v>
      </c>
      <c r="E699">
        <v>7.1100001335143999</v>
      </c>
      <c r="F699">
        <v>0</v>
      </c>
      <c r="G699">
        <v>0.81999999284744296</v>
      </c>
      <c r="H699">
        <v>0.479999989271164</v>
      </c>
      <c r="I699">
        <v>5.8099999427795401</v>
      </c>
      <c r="J699">
        <v>0</v>
      </c>
      <c r="K699">
        <v>12</v>
      </c>
      <c r="L699">
        <v>15</v>
      </c>
      <c r="M699">
        <v>369</v>
      </c>
      <c r="N699">
        <v>645</v>
      </c>
      <c r="O699">
        <v>2254</v>
      </c>
    </row>
    <row r="700" spans="1:15">
      <c r="A700">
        <v>6962181067</v>
      </c>
      <c r="B700" s="1">
        <v>42490</v>
      </c>
      <c r="C700">
        <v>10081</v>
      </c>
      <c r="D700">
        <v>6.6599998474121103</v>
      </c>
      <c r="E700">
        <v>6.6599998474121103</v>
      </c>
      <c r="F700">
        <v>0</v>
      </c>
      <c r="G700">
        <v>2.2400000095367401</v>
      </c>
      <c r="H700">
        <v>0.75999999046325695</v>
      </c>
      <c r="I700">
        <v>3.6700000762939502</v>
      </c>
      <c r="J700">
        <v>0</v>
      </c>
      <c r="K700">
        <v>32</v>
      </c>
      <c r="L700">
        <v>16</v>
      </c>
      <c r="M700">
        <v>237</v>
      </c>
      <c r="N700">
        <v>731</v>
      </c>
      <c r="O700">
        <v>2002</v>
      </c>
    </row>
    <row r="701" spans="1:15">
      <c r="A701">
        <v>6962181067</v>
      </c>
      <c r="B701" s="1">
        <v>42491</v>
      </c>
      <c r="C701">
        <v>5454</v>
      </c>
      <c r="D701">
        <v>3.6099998950958301</v>
      </c>
      <c r="E701">
        <v>3.6099998950958301</v>
      </c>
      <c r="F701">
        <v>0</v>
      </c>
      <c r="G701">
        <v>0</v>
      </c>
      <c r="H701">
        <v>0</v>
      </c>
      <c r="I701">
        <v>3.6099998950958301</v>
      </c>
      <c r="J701">
        <v>0</v>
      </c>
      <c r="K701">
        <v>0</v>
      </c>
      <c r="L701">
        <v>0</v>
      </c>
      <c r="M701">
        <v>215</v>
      </c>
      <c r="N701">
        <v>722</v>
      </c>
      <c r="O701">
        <v>1740</v>
      </c>
    </row>
    <row r="702" spans="1:15">
      <c r="A702">
        <v>6962181067</v>
      </c>
      <c r="B702" s="1">
        <v>42492</v>
      </c>
      <c r="C702">
        <v>12912</v>
      </c>
      <c r="D702">
        <v>8.5399999618530291</v>
      </c>
      <c r="E702">
        <v>8.5399999618530291</v>
      </c>
      <c r="F702">
        <v>0</v>
      </c>
      <c r="G702">
        <v>1.20000004768372</v>
      </c>
      <c r="H702">
        <v>2</v>
      </c>
      <c r="I702">
        <v>5.3400001525878897</v>
      </c>
      <c r="J702">
        <v>0</v>
      </c>
      <c r="K702">
        <v>18</v>
      </c>
      <c r="L702">
        <v>39</v>
      </c>
      <c r="M702">
        <v>313</v>
      </c>
      <c r="N702">
        <v>655</v>
      </c>
      <c r="O702">
        <v>2162</v>
      </c>
    </row>
    <row r="703" spans="1:15">
      <c r="A703">
        <v>6962181067</v>
      </c>
      <c r="B703" s="1">
        <v>42493</v>
      </c>
      <c r="C703">
        <v>12109</v>
      </c>
      <c r="D703">
        <v>8.1199998855590803</v>
      </c>
      <c r="E703">
        <v>8.1199998855590803</v>
      </c>
      <c r="F703">
        <v>0</v>
      </c>
      <c r="G703">
        <v>1.7400000095367401</v>
      </c>
      <c r="H703">
        <v>2.03999996185303</v>
      </c>
      <c r="I703">
        <v>4.3299999237060502</v>
      </c>
      <c r="J703">
        <v>0</v>
      </c>
      <c r="K703">
        <v>21</v>
      </c>
      <c r="L703">
        <v>36</v>
      </c>
      <c r="M703">
        <v>267</v>
      </c>
      <c r="N703">
        <v>654</v>
      </c>
      <c r="O703">
        <v>2072</v>
      </c>
    </row>
    <row r="704" spans="1:15">
      <c r="A704">
        <v>6962181067</v>
      </c>
      <c r="B704" s="1">
        <v>42494</v>
      </c>
      <c r="C704">
        <v>10147</v>
      </c>
      <c r="D704">
        <v>6.71000003814697</v>
      </c>
      <c r="E704">
        <v>6.71000003814697</v>
      </c>
      <c r="F704">
        <v>0</v>
      </c>
      <c r="G704">
        <v>0.46999999880790699</v>
      </c>
      <c r="H704">
        <v>1.6799999475479099</v>
      </c>
      <c r="I704">
        <v>4.5500001907348597</v>
      </c>
      <c r="J704">
        <v>0</v>
      </c>
      <c r="K704">
        <v>15</v>
      </c>
      <c r="L704">
        <v>36</v>
      </c>
      <c r="M704">
        <v>284</v>
      </c>
      <c r="N704">
        <v>683</v>
      </c>
      <c r="O704">
        <v>2086</v>
      </c>
    </row>
    <row r="705" spans="1:15">
      <c r="A705">
        <v>6962181067</v>
      </c>
      <c r="B705" s="1">
        <v>42495</v>
      </c>
      <c r="C705">
        <v>10524</v>
      </c>
      <c r="D705">
        <v>6.96000003814697</v>
      </c>
      <c r="E705">
        <v>6.96000003814697</v>
      </c>
      <c r="F705">
        <v>0</v>
      </c>
      <c r="G705">
        <v>0.99000000953674305</v>
      </c>
      <c r="H705">
        <v>1.1599999666214</v>
      </c>
      <c r="I705">
        <v>4.8099999427795401</v>
      </c>
      <c r="J705">
        <v>0</v>
      </c>
      <c r="K705">
        <v>14</v>
      </c>
      <c r="L705">
        <v>22</v>
      </c>
      <c r="M705">
        <v>305</v>
      </c>
      <c r="N705">
        <v>591</v>
      </c>
      <c r="O705">
        <v>2066</v>
      </c>
    </row>
    <row r="706" spans="1:15">
      <c r="A706">
        <v>6962181067</v>
      </c>
      <c r="B706" s="1">
        <v>42496</v>
      </c>
      <c r="C706">
        <v>5908</v>
      </c>
      <c r="D706">
        <v>3.9100000858306898</v>
      </c>
      <c r="E706">
        <v>3.9100000858306898</v>
      </c>
      <c r="F706">
        <v>0</v>
      </c>
      <c r="G706">
        <v>0</v>
      </c>
      <c r="H706">
        <v>0</v>
      </c>
      <c r="I706">
        <v>3.9100000858306898</v>
      </c>
      <c r="J706">
        <v>0</v>
      </c>
      <c r="K706">
        <v>0</v>
      </c>
      <c r="L706">
        <v>0</v>
      </c>
      <c r="M706">
        <v>299</v>
      </c>
      <c r="N706">
        <v>717</v>
      </c>
      <c r="O706">
        <v>1850</v>
      </c>
    </row>
    <row r="707" spans="1:15">
      <c r="A707">
        <v>6962181067</v>
      </c>
      <c r="B707" s="1">
        <v>42497</v>
      </c>
      <c r="C707">
        <v>6815</v>
      </c>
      <c r="D707">
        <v>4.5</v>
      </c>
      <c r="E707">
        <v>4.5</v>
      </c>
      <c r="F707">
        <v>0</v>
      </c>
      <c r="G707">
        <v>0</v>
      </c>
      <c r="H707">
        <v>0</v>
      </c>
      <c r="I707">
        <v>4.5</v>
      </c>
      <c r="J707">
        <v>0</v>
      </c>
      <c r="K707">
        <v>0</v>
      </c>
      <c r="L707">
        <v>0</v>
      </c>
      <c r="M707">
        <v>328</v>
      </c>
      <c r="N707">
        <v>745</v>
      </c>
      <c r="O707">
        <v>1947</v>
      </c>
    </row>
    <row r="708" spans="1:15">
      <c r="A708">
        <v>6962181067</v>
      </c>
      <c r="B708" s="1">
        <v>42498</v>
      </c>
      <c r="C708">
        <v>4188</v>
      </c>
      <c r="D708">
        <v>2.7699999809265101</v>
      </c>
      <c r="E708">
        <v>2.7699999809265101</v>
      </c>
      <c r="F708">
        <v>0</v>
      </c>
      <c r="G708">
        <v>0</v>
      </c>
      <c r="H708">
        <v>0.519999980926514</v>
      </c>
      <c r="I708">
        <v>2.25</v>
      </c>
      <c r="J708">
        <v>0</v>
      </c>
      <c r="K708">
        <v>0</v>
      </c>
      <c r="L708">
        <v>14</v>
      </c>
      <c r="M708">
        <v>151</v>
      </c>
      <c r="N708">
        <v>709</v>
      </c>
      <c r="O708">
        <v>1659</v>
      </c>
    </row>
    <row r="709" spans="1:15">
      <c r="A709">
        <v>6962181067</v>
      </c>
      <c r="B709" s="1">
        <v>42499</v>
      </c>
      <c r="C709">
        <v>12342</v>
      </c>
      <c r="D709">
        <v>8.7200002670288104</v>
      </c>
      <c r="E709">
        <v>8.6800003051757795</v>
      </c>
      <c r="F709">
        <v>3.1678218841552699</v>
      </c>
      <c r="G709">
        <v>3.9000000953674299</v>
      </c>
      <c r="H709">
        <v>1.1799999475479099</v>
      </c>
      <c r="I709">
        <v>3.6500000953674299</v>
      </c>
      <c r="J709">
        <v>0</v>
      </c>
      <c r="K709">
        <v>43</v>
      </c>
      <c r="L709">
        <v>21</v>
      </c>
      <c r="M709">
        <v>231</v>
      </c>
      <c r="N709">
        <v>607</v>
      </c>
      <c r="O709">
        <v>2105</v>
      </c>
    </row>
    <row r="710" spans="1:15">
      <c r="A710">
        <v>6962181067</v>
      </c>
      <c r="B710" s="1">
        <v>42500</v>
      </c>
      <c r="C710">
        <v>15448</v>
      </c>
      <c r="D710">
        <v>10.210000038146999</v>
      </c>
      <c r="E710">
        <v>10.210000038146999</v>
      </c>
      <c r="F710">
        <v>0</v>
      </c>
      <c r="G710">
        <v>3.4700000286102299</v>
      </c>
      <c r="H710">
        <v>1.75</v>
      </c>
      <c r="I710">
        <v>4.9899997711181596</v>
      </c>
      <c r="J710">
        <v>0</v>
      </c>
      <c r="K710">
        <v>62</v>
      </c>
      <c r="L710">
        <v>34</v>
      </c>
      <c r="M710">
        <v>275</v>
      </c>
      <c r="N710">
        <v>626</v>
      </c>
      <c r="O710">
        <v>2361</v>
      </c>
    </row>
    <row r="711" spans="1:15">
      <c r="A711">
        <v>6962181067</v>
      </c>
      <c r="B711" s="1">
        <v>42501</v>
      </c>
      <c r="C711">
        <v>6722</v>
      </c>
      <c r="D711">
        <v>4.4400000572204599</v>
      </c>
      <c r="E711">
        <v>4.4400000572204599</v>
      </c>
      <c r="F711">
        <v>0</v>
      </c>
      <c r="G711">
        <v>1.4900000095367401</v>
      </c>
      <c r="H711">
        <v>0.31000000238418601</v>
      </c>
      <c r="I711">
        <v>2.6500000953674299</v>
      </c>
      <c r="J711">
        <v>0</v>
      </c>
      <c r="K711">
        <v>24</v>
      </c>
      <c r="L711">
        <v>7</v>
      </c>
      <c r="M711">
        <v>199</v>
      </c>
      <c r="N711">
        <v>709</v>
      </c>
      <c r="O711">
        <v>1855</v>
      </c>
    </row>
    <row r="712" spans="1:15">
      <c r="A712">
        <v>6962181067</v>
      </c>
      <c r="B712" s="1">
        <v>42502</v>
      </c>
      <c r="C712">
        <v>3587</v>
      </c>
      <c r="D712">
        <v>2.3699998855590798</v>
      </c>
      <c r="E712">
        <v>2.3699998855590798</v>
      </c>
      <c r="F712">
        <v>0</v>
      </c>
      <c r="G712">
        <v>0</v>
      </c>
      <c r="H712">
        <v>0.25</v>
      </c>
      <c r="I712">
        <v>2.1099998950958301</v>
      </c>
      <c r="J712">
        <v>0</v>
      </c>
      <c r="K712">
        <v>0</v>
      </c>
      <c r="L712">
        <v>8</v>
      </c>
      <c r="M712">
        <v>105</v>
      </c>
      <c r="N712">
        <v>127</v>
      </c>
      <c r="O712">
        <v>928</v>
      </c>
    </row>
    <row r="713" spans="1:15">
      <c r="A713">
        <v>7007744171</v>
      </c>
      <c r="B713" s="1">
        <v>42472</v>
      </c>
      <c r="C713">
        <v>14172</v>
      </c>
      <c r="D713">
        <v>10.289999961853001</v>
      </c>
      <c r="E713">
        <v>9.4799995422363299</v>
      </c>
      <c r="F713">
        <v>4.8697829246520996</v>
      </c>
      <c r="G713">
        <v>4.5</v>
      </c>
      <c r="H713">
        <v>0.37999999523162797</v>
      </c>
      <c r="I713">
        <v>5.4099998474121103</v>
      </c>
      <c r="J713">
        <v>0</v>
      </c>
      <c r="K713">
        <v>53</v>
      </c>
      <c r="L713">
        <v>8</v>
      </c>
      <c r="M713">
        <v>355</v>
      </c>
      <c r="N713">
        <v>1024</v>
      </c>
      <c r="O713">
        <v>2937</v>
      </c>
    </row>
    <row r="714" spans="1:15">
      <c r="A714">
        <v>7007744171</v>
      </c>
      <c r="B714" s="1">
        <v>42473</v>
      </c>
      <c r="C714">
        <v>12862</v>
      </c>
      <c r="D714">
        <v>9.6499996185302699</v>
      </c>
      <c r="E714">
        <v>8.6000003814697301</v>
      </c>
      <c r="F714">
        <v>4.8513069152831996</v>
      </c>
      <c r="G714">
        <v>4.6100001335143999</v>
      </c>
      <c r="H714">
        <v>0.56000000238418601</v>
      </c>
      <c r="I714">
        <v>4.4800000190734899</v>
      </c>
      <c r="J714">
        <v>0</v>
      </c>
      <c r="K714">
        <v>56</v>
      </c>
      <c r="L714">
        <v>22</v>
      </c>
      <c r="M714">
        <v>261</v>
      </c>
      <c r="N714">
        <v>1101</v>
      </c>
      <c r="O714">
        <v>2742</v>
      </c>
    </row>
    <row r="715" spans="1:15">
      <c r="A715">
        <v>7007744171</v>
      </c>
      <c r="B715" s="1">
        <v>42474</v>
      </c>
      <c r="C715">
        <v>11179</v>
      </c>
      <c r="D715">
        <v>8.2399997711181605</v>
      </c>
      <c r="E715">
        <v>7.4800000190734899</v>
      </c>
      <c r="F715">
        <v>3.2854149341583301</v>
      </c>
      <c r="G715">
        <v>2.9500000476837198</v>
      </c>
      <c r="H715">
        <v>0.34000000357627902</v>
      </c>
      <c r="I715">
        <v>4.96000003814697</v>
      </c>
      <c r="J715">
        <v>0</v>
      </c>
      <c r="K715">
        <v>34</v>
      </c>
      <c r="L715">
        <v>6</v>
      </c>
      <c r="M715">
        <v>304</v>
      </c>
      <c r="N715">
        <v>1096</v>
      </c>
      <c r="O715">
        <v>2668</v>
      </c>
    </row>
    <row r="716" spans="1:15">
      <c r="A716">
        <v>7007744171</v>
      </c>
      <c r="B716" s="1">
        <v>42475</v>
      </c>
      <c r="C716">
        <v>5273</v>
      </c>
      <c r="D716">
        <v>3.5299999713897701</v>
      </c>
      <c r="E716">
        <v>3.5299999713897701</v>
      </c>
      <c r="F716">
        <v>0</v>
      </c>
      <c r="G716">
        <v>0</v>
      </c>
      <c r="H716">
        <v>0</v>
      </c>
      <c r="I716">
        <v>3.5299999713897701</v>
      </c>
      <c r="J716">
        <v>0</v>
      </c>
      <c r="K716">
        <v>0</v>
      </c>
      <c r="L716">
        <v>0</v>
      </c>
      <c r="M716">
        <v>202</v>
      </c>
      <c r="N716">
        <v>1238</v>
      </c>
      <c r="O716">
        <v>2098</v>
      </c>
    </row>
    <row r="717" spans="1:15">
      <c r="A717">
        <v>7007744171</v>
      </c>
      <c r="B717" s="1">
        <v>42476</v>
      </c>
      <c r="C717">
        <v>4631</v>
      </c>
      <c r="D717">
        <v>3.0999999046325701</v>
      </c>
      <c r="E717">
        <v>3.0999999046325701</v>
      </c>
      <c r="F717">
        <v>0</v>
      </c>
      <c r="G717">
        <v>0</v>
      </c>
      <c r="H717">
        <v>0</v>
      </c>
      <c r="I717">
        <v>3.0999999046325701</v>
      </c>
      <c r="J717">
        <v>0</v>
      </c>
      <c r="K717">
        <v>0</v>
      </c>
      <c r="L717">
        <v>0</v>
      </c>
      <c r="M717">
        <v>203</v>
      </c>
      <c r="N717">
        <v>1155</v>
      </c>
      <c r="O717">
        <v>2076</v>
      </c>
    </row>
    <row r="718" spans="1:15">
      <c r="A718">
        <v>7007744171</v>
      </c>
      <c r="B718" s="1">
        <v>42477</v>
      </c>
      <c r="C718">
        <v>8059</v>
      </c>
      <c r="D718">
        <v>5.3899998664856001</v>
      </c>
      <c r="E718">
        <v>5.3899998664856001</v>
      </c>
      <c r="F718">
        <v>0</v>
      </c>
      <c r="G718">
        <v>0</v>
      </c>
      <c r="H718">
        <v>0</v>
      </c>
      <c r="I718">
        <v>5.3899998664856001</v>
      </c>
      <c r="J718">
        <v>0</v>
      </c>
      <c r="K718">
        <v>0</v>
      </c>
      <c r="L718">
        <v>0</v>
      </c>
      <c r="M718">
        <v>305</v>
      </c>
      <c r="N718">
        <v>1135</v>
      </c>
      <c r="O718">
        <v>2383</v>
      </c>
    </row>
    <row r="719" spans="1:15">
      <c r="A719">
        <v>7007744171</v>
      </c>
      <c r="B719" s="1">
        <v>42478</v>
      </c>
      <c r="C719">
        <v>14816</v>
      </c>
      <c r="D719">
        <v>10.9799995422363</v>
      </c>
      <c r="E719">
        <v>9.9099998474121094</v>
      </c>
      <c r="F719">
        <v>4.9305500984191903</v>
      </c>
      <c r="G719">
        <v>3.78999996185303</v>
      </c>
      <c r="H719">
        <v>2.1199998855590798</v>
      </c>
      <c r="I719">
        <v>5.0500001907348597</v>
      </c>
      <c r="J719">
        <v>1.9999999552965199E-2</v>
      </c>
      <c r="K719">
        <v>48</v>
      </c>
      <c r="L719">
        <v>31</v>
      </c>
      <c r="M719">
        <v>284</v>
      </c>
      <c r="N719">
        <v>1077</v>
      </c>
      <c r="O719">
        <v>2832</v>
      </c>
    </row>
    <row r="720" spans="1:15">
      <c r="A720">
        <v>7007744171</v>
      </c>
      <c r="B720" s="1">
        <v>42479</v>
      </c>
      <c r="C720">
        <v>14194</v>
      </c>
      <c r="D720">
        <v>10.4799995422363</v>
      </c>
      <c r="E720">
        <v>9.5</v>
      </c>
      <c r="F720">
        <v>4.9421420097351101</v>
      </c>
      <c r="G720">
        <v>4.4099998474121103</v>
      </c>
      <c r="H720">
        <v>0.75999999046325695</v>
      </c>
      <c r="I720">
        <v>5.3099999427795401</v>
      </c>
      <c r="J720">
        <v>0</v>
      </c>
      <c r="K720">
        <v>53</v>
      </c>
      <c r="L720">
        <v>17</v>
      </c>
      <c r="M720">
        <v>304</v>
      </c>
      <c r="N720">
        <v>1066</v>
      </c>
      <c r="O720">
        <v>2812</v>
      </c>
    </row>
    <row r="721" spans="1:15">
      <c r="A721">
        <v>7007744171</v>
      </c>
      <c r="B721" s="1">
        <v>42480</v>
      </c>
      <c r="C721">
        <v>15566</v>
      </c>
      <c r="D721">
        <v>11.310000419616699</v>
      </c>
      <c r="E721">
        <v>10.4099998474121</v>
      </c>
      <c r="F721">
        <v>4.9248409271240199</v>
      </c>
      <c r="G721">
        <v>4.78999996185303</v>
      </c>
      <c r="H721">
        <v>0.67000001668930098</v>
      </c>
      <c r="I721">
        <v>5.8600001335143999</v>
      </c>
      <c r="J721">
        <v>0</v>
      </c>
      <c r="K721">
        <v>60</v>
      </c>
      <c r="L721">
        <v>33</v>
      </c>
      <c r="M721">
        <v>347</v>
      </c>
      <c r="N721">
        <v>1000</v>
      </c>
      <c r="O721">
        <v>3096</v>
      </c>
    </row>
    <row r="722" spans="1:15">
      <c r="A722">
        <v>7007744171</v>
      </c>
      <c r="B722" s="1">
        <v>42481</v>
      </c>
      <c r="C722">
        <v>13744</v>
      </c>
      <c r="D722">
        <v>9.1899995803833008</v>
      </c>
      <c r="E722">
        <v>9.1899995803833008</v>
      </c>
      <c r="F722">
        <v>0</v>
      </c>
      <c r="G722">
        <v>2.1500000953674299</v>
      </c>
      <c r="H722">
        <v>1.87000000476837</v>
      </c>
      <c r="I722">
        <v>5.1700000762939498</v>
      </c>
      <c r="J722">
        <v>0</v>
      </c>
      <c r="K722">
        <v>30</v>
      </c>
      <c r="L722">
        <v>34</v>
      </c>
      <c r="M722">
        <v>327</v>
      </c>
      <c r="N722">
        <v>1049</v>
      </c>
      <c r="O722">
        <v>2763</v>
      </c>
    </row>
    <row r="723" spans="1:15">
      <c r="A723">
        <v>7007744171</v>
      </c>
      <c r="B723" s="1">
        <v>42482</v>
      </c>
      <c r="C723">
        <v>15299</v>
      </c>
      <c r="D723">
        <v>10.2399997711182</v>
      </c>
      <c r="E723">
        <v>10.2399997711182</v>
      </c>
      <c r="F723">
        <v>0</v>
      </c>
      <c r="G723">
        <v>4.0999999046325701</v>
      </c>
      <c r="H723">
        <v>1.7599999904632599</v>
      </c>
      <c r="I723">
        <v>4.3699998855590803</v>
      </c>
      <c r="J723">
        <v>0</v>
      </c>
      <c r="K723">
        <v>64</v>
      </c>
      <c r="L723">
        <v>50</v>
      </c>
      <c r="M723">
        <v>261</v>
      </c>
      <c r="N723">
        <v>1065</v>
      </c>
      <c r="O723">
        <v>2889</v>
      </c>
    </row>
    <row r="724" spans="1:15">
      <c r="A724">
        <v>7007744171</v>
      </c>
      <c r="B724" s="1">
        <v>42483</v>
      </c>
      <c r="C724">
        <v>8093</v>
      </c>
      <c r="D724">
        <v>5.4099998474121103</v>
      </c>
      <c r="E724">
        <v>5.4099998474121103</v>
      </c>
      <c r="F724">
        <v>0</v>
      </c>
      <c r="G724">
        <v>0.129999995231628</v>
      </c>
      <c r="H724">
        <v>1.12999999523163</v>
      </c>
      <c r="I724">
        <v>4.1500000953674299</v>
      </c>
      <c r="J724">
        <v>0</v>
      </c>
      <c r="K724">
        <v>2</v>
      </c>
      <c r="L724">
        <v>25</v>
      </c>
      <c r="M724">
        <v>223</v>
      </c>
      <c r="N724">
        <v>1190</v>
      </c>
      <c r="O724">
        <v>2284</v>
      </c>
    </row>
    <row r="725" spans="1:15">
      <c r="A725">
        <v>7007744171</v>
      </c>
      <c r="B725" s="1">
        <v>42484</v>
      </c>
      <c r="C725">
        <v>11085</v>
      </c>
      <c r="D725">
        <v>7.4200000762939498</v>
      </c>
      <c r="E725">
        <v>7.4200000762939498</v>
      </c>
      <c r="F725">
        <v>0</v>
      </c>
      <c r="G725">
        <v>0</v>
      </c>
      <c r="H725">
        <v>0</v>
      </c>
      <c r="I725">
        <v>7.4200000762939498</v>
      </c>
      <c r="J725">
        <v>0</v>
      </c>
      <c r="K725">
        <v>0</v>
      </c>
      <c r="L725">
        <v>0</v>
      </c>
      <c r="M725">
        <v>419</v>
      </c>
      <c r="N725">
        <v>1021</v>
      </c>
      <c r="O725">
        <v>2667</v>
      </c>
    </row>
    <row r="726" spans="1:15">
      <c r="A726">
        <v>7007744171</v>
      </c>
      <c r="B726" s="1">
        <v>42485</v>
      </c>
      <c r="C726">
        <v>18229</v>
      </c>
      <c r="D726">
        <v>13.3400001525879</v>
      </c>
      <c r="E726">
        <v>12.199999809265099</v>
      </c>
      <c r="F726">
        <v>4.8617920875549299</v>
      </c>
      <c r="G726">
        <v>4.3099999427795401</v>
      </c>
      <c r="H726">
        <v>1.37000000476837</v>
      </c>
      <c r="I726">
        <v>7.6700000762939498</v>
      </c>
      <c r="J726">
        <v>0</v>
      </c>
      <c r="K726">
        <v>51</v>
      </c>
      <c r="L726">
        <v>24</v>
      </c>
      <c r="M726">
        <v>379</v>
      </c>
      <c r="N726">
        <v>986</v>
      </c>
      <c r="O726">
        <v>3055</v>
      </c>
    </row>
    <row r="727" spans="1:15">
      <c r="A727">
        <v>7007744171</v>
      </c>
      <c r="B727" s="1">
        <v>42486</v>
      </c>
      <c r="C727">
        <v>15090</v>
      </c>
      <c r="D727">
        <v>10.1000003814697</v>
      </c>
      <c r="E727">
        <v>10.1000003814697</v>
      </c>
      <c r="F727">
        <v>0</v>
      </c>
      <c r="G727">
        <v>0.93000000715255704</v>
      </c>
      <c r="H727">
        <v>0.93999999761581399</v>
      </c>
      <c r="I727">
        <v>8.2299995422363299</v>
      </c>
      <c r="J727">
        <v>0</v>
      </c>
      <c r="K727">
        <v>16</v>
      </c>
      <c r="L727">
        <v>22</v>
      </c>
      <c r="M727">
        <v>424</v>
      </c>
      <c r="N727">
        <v>978</v>
      </c>
      <c r="O727">
        <v>2939</v>
      </c>
    </row>
    <row r="728" spans="1:15">
      <c r="A728">
        <v>7007744171</v>
      </c>
      <c r="B728" s="1">
        <v>42487</v>
      </c>
      <c r="C728">
        <v>13541</v>
      </c>
      <c r="D728">
        <v>10.2200002670288</v>
      </c>
      <c r="E728">
        <v>9.0600004196166992</v>
      </c>
      <c r="F728">
        <v>4.8856048583984402</v>
      </c>
      <c r="G728">
        <v>4.2699999809265101</v>
      </c>
      <c r="H728">
        <v>0.66000002622604403</v>
      </c>
      <c r="I728">
        <v>5.28999996185303</v>
      </c>
      <c r="J728">
        <v>0</v>
      </c>
      <c r="K728">
        <v>50</v>
      </c>
      <c r="L728">
        <v>12</v>
      </c>
      <c r="M728">
        <v>337</v>
      </c>
      <c r="N728">
        <v>1041</v>
      </c>
      <c r="O728">
        <v>2830</v>
      </c>
    </row>
    <row r="729" spans="1:15">
      <c r="A729">
        <v>7007744171</v>
      </c>
      <c r="B729" s="1">
        <v>42488</v>
      </c>
      <c r="C729">
        <v>15128</v>
      </c>
      <c r="D729">
        <v>10.1199998855591</v>
      </c>
      <c r="E729">
        <v>10.1199998855591</v>
      </c>
      <c r="F729">
        <v>0</v>
      </c>
      <c r="G729">
        <v>1.0900000333786</v>
      </c>
      <c r="H729">
        <v>0.769999980926514</v>
      </c>
      <c r="I729">
        <v>8.2600002288818395</v>
      </c>
      <c r="J729">
        <v>0</v>
      </c>
      <c r="K729">
        <v>16</v>
      </c>
      <c r="L729">
        <v>16</v>
      </c>
      <c r="M729">
        <v>401</v>
      </c>
      <c r="N729">
        <v>1007</v>
      </c>
      <c r="O729">
        <v>2836</v>
      </c>
    </row>
    <row r="730" spans="1:15">
      <c r="A730">
        <v>7007744171</v>
      </c>
      <c r="B730" s="1">
        <v>42489</v>
      </c>
      <c r="C730">
        <v>20067</v>
      </c>
      <c r="D730">
        <v>14.300000190734901</v>
      </c>
      <c r="E730">
        <v>13.420000076293899</v>
      </c>
      <c r="F730">
        <v>4.9111461639404297</v>
      </c>
      <c r="G730">
        <v>4.3099999427795401</v>
      </c>
      <c r="H730">
        <v>2.0499999523162802</v>
      </c>
      <c r="I730">
        <v>7.9499998092651403</v>
      </c>
      <c r="J730">
        <v>0</v>
      </c>
      <c r="K730">
        <v>55</v>
      </c>
      <c r="L730">
        <v>42</v>
      </c>
      <c r="M730">
        <v>382</v>
      </c>
      <c r="N730">
        <v>961</v>
      </c>
      <c r="O730">
        <v>3180</v>
      </c>
    </row>
    <row r="731" spans="1:15">
      <c r="A731">
        <v>7007744171</v>
      </c>
      <c r="B731" s="1">
        <v>42490</v>
      </c>
      <c r="C731">
        <v>3761</v>
      </c>
      <c r="D731">
        <v>2.5199999809265101</v>
      </c>
      <c r="E731">
        <v>2.5199999809265101</v>
      </c>
      <c r="F731">
        <v>0</v>
      </c>
      <c r="G731">
        <v>0</v>
      </c>
      <c r="H731">
        <v>0</v>
      </c>
      <c r="I731">
        <v>2.5199999809265101</v>
      </c>
      <c r="J731">
        <v>0</v>
      </c>
      <c r="K731">
        <v>0</v>
      </c>
      <c r="L731">
        <v>0</v>
      </c>
      <c r="M731">
        <v>200</v>
      </c>
      <c r="N731">
        <v>1240</v>
      </c>
      <c r="O731">
        <v>2051</v>
      </c>
    </row>
    <row r="732" spans="1:15">
      <c r="A732">
        <v>7007744171</v>
      </c>
      <c r="B732" s="1">
        <v>42491</v>
      </c>
      <c r="C732">
        <v>5600</v>
      </c>
      <c r="D732">
        <v>3.75</v>
      </c>
      <c r="E732">
        <v>3.75</v>
      </c>
      <c r="F732">
        <v>0</v>
      </c>
      <c r="G732">
        <v>0</v>
      </c>
      <c r="H732">
        <v>0</v>
      </c>
      <c r="I732">
        <v>3.75</v>
      </c>
      <c r="J732">
        <v>0</v>
      </c>
      <c r="K732">
        <v>0</v>
      </c>
      <c r="L732">
        <v>0</v>
      </c>
      <c r="M732">
        <v>237</v>
      </c>
      <c r="N732">
        <v>1142</v>
      </c>
      <c r="O732">
        <v>2225</v>
      </c>
    </row>
    <row r="733" spans="1:15">
      <c r="A733">
        <v>7007744171</v>
      </c>
      <c r="B733" s="1">
        <v>42492</v>
      </c>
      <c r="C733">
        <v>13041</v>
      </c>
      <c r="D733">
        <v>9.1800003051757795</v>
      </c>
      <c r="E733">
        <v>8.7200002670288104</v>
      </c>
      <c r="F733">
        <v>2.83232593536377</v>
      </c>
      <c r="G733">
        <v>4.6399998664856001</v>
      </c>
      <c r="H733">
        <v>0.69999998807907104</v>
      </c>
      <c r="I733">
        <v>3.8299999237060498</v>
      </c>
      <c r="J733">
        <v>0</v>
      </c>
      <c r="K733">
        <v>64</v>
      </c>
      <c r="L733">
        <v>14</v>
      </c>
      <c r="M733">
        <v>250</v>
      </c>
      <c r="N733">
        <v>1112</v>
      </c>
      <c r="O733">
        <v>2642</v>
      </c>
    </row>
    <row r="734" spans="1:15">
      <c r="A734">
        <v>7007744171</v>
      </c>
      <c r="B734" s="1">
        <v>42493</v>
      </c>
      <c r="C734">
        <v>14510</v>
      </c>
      <c r="D734">
        <v>10.8699998855591</v>
      </c>
      <c r="E734">
        <v>9.7100000381469709</v>
      </c>
      <c r="F734">
        <v>4.9123678207397496</v>
      </c>
      <c r="G734">
        <v>4.4800000190734899</v>
      </c>
      <c r="H734">
        <v>1.0199999809265099</v>
      </c>
      <c r="I734">
        <v>5.3600001335143999</v>
      </c>
      <c r="J734">
        <v>0</v>
      </c>
      <c r="K734">
        <v>58</v>
      </c>
      <c r="L734">
        <v>31</v>
      </c>
      <c r="M734">
        <v>330</v>
      </c>
      <c r="N734">
        <v>1021</v>
      </c>
      <c r="O734">
        <v>2976</v>
      </c>
    </row>
    <row r="735" spans="1:15">
      <c r="A735">
        <v>7007744171</v>
      </c>
      <c r="B735" s="1">
        <v>42494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1440</v>
      </c>
      <c r="O735">
        <v>1557</v>
      </c>
    </row>
    <row r="736" spans="1:15">
      <c r="A736">
        <v>7007744171</v>
      </c>
      <c r="B736" s="1">
        <v>42495</v>
      </c>
      <c r="C736">
        <v>15010</v>
      </c>
      <c r="D736">
        <v>11.1000003814697</v>
      </c>
      <c r="E736">
        <v>10.039999961853001</v>
      </c>
      <c r="F736">
        <v>4.8782320022582999</v>
      </c>
      <c r="G736">
        <v>4.3299999237060502</v>
      </c>
      <c r="H736">
        <v>1.28999996185303</v>
      </c>
      <c r="I736">
        <v>5.4800000190734899</v>
      </c>
      <c r="J736">
        <v>0</v>
      </c>
      <c r="K736">
        <v>53</v>
      </c>
      <c r="L736">
        <v>23</v>
      </c>
      <c r="M736">
        <v>317</v>
      </c>
      <c r="N736">
        <v>1047</v>
      </c>
      <c r="O736">
        <v>2933</v>
      </c>
    </row>
    <row r="737" spans="1:15">
      <c r="A737">
        <v>7007744171</v>
      </c>
      <c r="B737" s="1">
        <v>42496</v>
      </c>
      <c r="C737">
        <v>11459</v>
      </c>
      <c r="D737">
        <v>7.6700000762939498</v>
      </c>
      <c r="E737">
        <v>7.6700000762939498</v>
      </c>
      <c r="F737">
        <v>0</v>
      </c>
      <c r="G737">
        <v>3</v>
      </c>
      <c r="H737">
        <v>0.81000000238418601</v>
      </c>
      <c r="I737">
        <v>3.8599998950958301</v>
      </c>
      <c r="J737">
        <v>0</v>
      </c>
      <c r="K737">
        <v>44</v>
      </c>
      <c r="L737">
        <v>13</v>
      </c>
      <c r="M737">
        <v>247</v>
      </c>
      <c r="N737">
        <v>1136</v>
      </c>
      <c r="O737">
        <v>2553</v>
      </c>
    </row>
    <row r="738" spans="1:15">
      <c r="A738">
        <v>7007744171</v>
      </c>
      <c r="B738" s="1">
        <v>42497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111</v>
      </c>
      <c r="O738">
        <v>120</v>
      </c>
    </row>
    <row r="739" spans="1:15">
      <c r="A739">
        <v>7086361926</v>
      </c>
      <c r="B739" s="1">
        <v>42472</v>
      </c>
      <c r="C739">
        <v>11317</v>
      </c>
      <c r="D739">
        <v>8.4099998474121094</v>
      </c>
      <c r="E739">
        <v>8.4099998474121094</v>
      </c>
      <c r="F739">
        <v>0</v>
      </c>
      <c r="G739">
        <v>5.2699999809265101</v>
      </c>
      <c r="H739">
        <v>0.15000000596046401</v>
      </c>
      <c r="I739">
        <v>2.9700000286102299</v>
      </c>
      <c r="J739">
        <v>0</v>
      </c>
      <c r="K739">
        <v>59</v>
      </c>
      <c r="L739">
        <v>6</v>
      </c>
      <c r="M739">
        <v>153</v>
      </c>
      <c r="N739">
        <v>745</v>
      </c>
      <c r="O739">
        <v>2772</v>
      </c>
    </row>
    <row r="740" spans="1:15">
      <c r="A740">
        <v>7086361926</v>
      </c>
      <c r="B740" s="1">
        <v>42473</v>
      </c>
      <c r="C740">
        <v>5813</v>
      </c>
      <c r="D740">
        <v>3.6199998855590798</v>
      </c>
      <c r="E740">
        <v>3.6199998855590798</v>
      </c>
      <c r="F740">
        <v>0</v>
      </c>
      <c r="G740">
        <v>0.56000000238418601</v>
      </c>
      <c r="H740">
        <v>0.20999999344348899</v>
      </c>
      <c r="I740">
        <v>2.8399999141693102</v>
      </c>
      <c r="J740">
        <v>0</v>
      </c>
      <c r="K740">
        <v>31</v>
      </c>
      <c r="L740">
        <v>26</v>
      </c>
      <c r="M740">
        <v>155</v>
      </c>
      <c r="N740">
        <v>744</v>
      </c>
      <c r="O740">
        <v>2516</v>
      </c>
    </row>
    <row r="741" spans="1:15">
      <c r="A741">
        <v>7086361926</v>
      </c>
      <c r="B741" s="1">
        <v>42474</v>
      </c>
      <c r="C741">
        <v>9123</v>
      </c>
      <c r="D741">
        <v>6.1199998855590803</v>
      </c>
      <c r="E741">
        <v>6.1199998855590803</v>
      </c>
      <c r="F741">
        <v>0</v>
      </c>
      <c r="G741">
        <v>2.0299999713897701</v>
      </c>
      <c r="H741">
        <v>0.33000001311302202</v>
      </c>
      <c r="I741">
        <v>3.6600000858306898</v>
      </c>
      <c r="J741">
        <v>0</v>
      </c>
      <c r="K741">
        <v>35</v>
      </c>
      <c r="L741">
        <v>32</v>
      </c>
      <c r="M741">
        <v>189</v>
      </c>
      <c r="N741">
        <v>787</v>
      </c>
      <c r="O741">
        <v>2734</v>
      </c>
    </row>
    <row r="742" spans="1:15">
      <c r="A742">
        <v>7086361926</v>
      </c>
      <c r="B742" s="1">
        <v>42475</v>
      </c>
      <c r="C742">
        <v>8585</v>
      </c>
      <c r="D742">
        <v>5.6700000762939498</v>
      </c>
      <c r="E742">
        <v>5.6700000762939498</v>
      </c>
      <c r="F742">
        <v>0</v>
      </c>
      <c r="G742">
        <v>2.03999996185303</v>
      </c>
      <c r="H742">
        <v>1.1100000143051101</v>
      </c>
      <c r="I742">
        <v>2.5299999713897701</v>
      </c>
      <c r="J742">
        <v>0</v>
      </c>
      <c r="K742">
        <v>30</v>
      </c>
      <c r="L742">
        <v>21</v>
      </c>
      <c r="M742">
        <v>139</v>
      </c>
      <c r="N742">
        <v>864</v>
      </c>
      <c r="O742">
        <v>2395</v>
      </c>
    </row>
    <row r="743" spans="1:15">
      <c r="A743">
        <v>7086361926</v>
      </c>
      <c r="B743" s="1">
        <v>42476</v>
      </c>
      <c r="C743">
        <v>31</v>
      </c>
      <c r="D743">
        <v>9.9999997764825804E-3</v>
      </c>
      <c r="E743">
        <v>9.9999997764825804E-3</v>
      </c>
      <c r="F743">
        <v>0</v>
      </c>
      <c r="G743">
        <v>0</v>
      </c>
      <c r="H743">
        <v>0</v>
      </c>
      <c r="I743">
        <v>9.9999997764825804E-3</v>
      </c>
      <c r="J743">
        <v>0</v>
      </c>
      <c r="K743">
        <v>0</v>
      </c>
      <c r="L743">
        <v>0</v>
      </c>
      <c r="M743">
        <v>3</v>
      </c>
      <c r="N743">
        <v>1437</v>
      </c>
      <c r="O743">
        <v>1635</v>
      </c>
    </row>
    <row r="744" spans="1:15">
      <c r="A744">
        <v>7086361926</v>
      </c>
      <c r="B744" s="1">
        <v>42477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1440</v>
      </c>
      <c r="O744">
        <v>1629</v>
      </c>
    </row>
    <row r="745" spans="1:15">
      <c r="A745">
        <v>7086361926</v>
      </c>
      <c r="B745" s="1">
        <v>42478</v>
      </c>
      <c r="C745">
        <v>9827</v>
      </c>
      <c r="D745">
        <v>6.71000003814697</v>
      </c>
      <c r="E745">
        <v>6.71000003814697</v>
      </c>
      <c r="F745">
        <v>0</v>
      </c>
      <c r="G745">
        <v>3.1700000762939502</v>
      </c>
      <c r="H745">
        <v>1.2200000286102299</v>
      </c>
      <c r="I745">
        <v>2.3099999427795401</v>
      </c>
      <c r="J745">
        <v>0</v>
      </c>
      <c r="K745">
        <v>61</v>
      </c>
      <c r="L745">
        <v>51</v>
      </c>
      <c r="M745">
        <v>114</v>
      </c>
      <c r="N745">
        <v>1136</v>
      </c>
      <c r="O745">
        <v>2743</v>
      </c>
    </row>
    <row r="746" spans="1:15">
      <c r="A746">
        <v>7086361926</v>
      </c>
      <c r="B746" s="1">
        <v>42479</v>
      </c>
      <c r="C746">
        <v>10688</v>
      </c>
      <c r="D746">
        <v>7.28999996185303</v>
      </c>
      <c r="E746">
        <v>7.28999996185303</v>
      </c>
      <c r="F746">
        <v>0</v>
      </c>
      <c r="G746">
        <v>3.5299999713897701</v>
      </c>
      <c r="H746">
        <v>1.2300000190734901</v>
      </c>
      <c r="I746">
        <v>2.5099999904632599</v>
      </c>
      <c r="J746">
        <v>0</v>
      </c>
      <c r="K746">
        <v>67</v>
      </c>
      <c r="L746">
        <v>69</v>
      </c>
      <c r="M746">
        <v>124</v>
      </c>
      <c r="N746">
        <v>671</v>
      </c>
      <c r="O746">
        <v>2944</v>
      </c>
    </row>
    <row r="747" spans="1:15">
      <c r="A747">
        <v>7086361926</v>
      </c>
      <c r="B747" s="1">
        <v>42480</v>
      </c>
      <c r="C747">
        <v>14365</v>
      </c>
      <c r="D747">
        <v>10.6400003433228</v>
      </c>
      <c r="E747">
        <v>10.6400003433228</v>
      </c>
      <c r="F747">
        <v>0</v>
      </c>
      <c r="G747">
        <v>7.6399998664856001</v>
      </c>
      <c r="H747">
        <v>0.44999998807907099</v>
      </c>
      <c r="I747">
        <v>2.53999996185303</v>
      </c>
      <c r="J747">
        <v>0</v>
      </c>
      <c r="K747">
        <v>87</v>
      </c>
      <c r="L747">
        <v>13</v>
      </c>
      <c r="M747">
        <v>145</v>
      </c>
      <c r="N747">
        <v>797</v>
      </c>
      <c r="O747">
        <v>2997</v>
      </c>
    </row>
    <row r="748" spans="1:15">
      <c r="A748">
        <v>7086361926</v>
      </c>
      <c r="B748" s="1">
        <v>42481</v>
      </c>
      <c r="C748">
        <v>9469</v>
      </c>
      <c r="D748">
        <v>6.1799998283386204</v>
      </c>
      <c r="E748">
        <v>6.1799998283386204</v>
      </c>
      <c r="F748">
        <v>0</v>
      </c>
      <c r="G748">
        <v>1.3600000143051101</v>
      </c>
      <c r="H748">
        <v>0.30000001192092901</v>
      </c>
      <c r="I748">
        <v>4.5100002288818404</v>
      </c>
      <c r="J748">
        <v>0</v>
      </c>
      <c r="K748">
        <v>19</v>
      </c>
      <c r="L748">
        <v>6</v>
      </c>
      <c r="M748">
        <v>206</v>
      </c>
      <c r="N748">
        <v>758</v>
      </c>
      <c r="O748">
        <v>2463</v>
      </c>
    </row>
    <row r="749" spans="1:15">
      <c r="A749">
        <v>7086361926</v>
      </c>
      <c r="B749" s="1">
        <v>42482</v>
      </c>
      <c r="C749">
        <v>9753</v>
      </c>
      <c r="D749">
        <v>6.5300002098083496</v>
      </c>
      <c r="E749">
        <v>6.5300002098083496</v>
      </c>
      <c r="F749">
        <v>0</v>
      </c>
      <c r="G749">
        <v>2.8699998855590798</v>
      </c>
      <c r="H749">
        <v>0.97000002861022905</v>
      </c>
      <c r="I749">
        <v>2.6700000762939502</v>
      </c>
      <c r="J749">
        <v>0</v>
      </c>
      <c r="K749">
        <v>58</v>
      </c>
      <c r="L749">
        <v>59</v>
      </c>
      <c r="M749">
        <v>153</v>
      </c>
      <c r="N749">
        <v>762</v>
      </c>
      <c r="O749">
        <v>2846</v>
      </c>
    </row>
    <row r="750" spans="1:15">
      <c r="A750">
        <v>7086361926</v>
      </c>
      <c r="B750" s="1">
        <v>42483</v>
      </c>
      <c r="C750">
        <v>2817</v>
      </c>
      <c r="D750">
        <v>1.8099999427795399</v>
      </c>
      <c r="E750">
        <v>1.8099999427795399</v>
      </c>
      <c r="F750">
        <v>0</v>
      </c>
      <c r="G750">
        <v>0</v>
      </c>
      <c r="H750">
        <v>0</v>
      </c>
      <c r="I750">
        <v>1.79999995231628</v>
      </c>
      <c r="J750">
        <v>0</v>
      </c>
      <c r="K750">
        <v>0</v>
      </c>
      <c r="L750">
        <v>0</v>
      </c>
      <c r="M750">
        <v>90</v>
      </c>
      <c r="N750">
        <v>1350</v>
      </c>
      <c r="O750">
        <v>1965</v>
      </c>
    </row>
    <row r="751" spans="1:15">
      <c r="A751">
        <v>7086361926</v>
      </c>
      <c r="B751" s="1">
        <v>42484</v>
      </c>
      <c r="C751">
        <v>3520</v>
      </c>
      <c r="D751">
        <v>2.1600000858306898</v>
      </c>
      <c r="E751">
        <v>2.1600000858306898</v>
      </c>
      <c r="F751">
        <v>0</v>
      </c>
      <c r="G751">
        <v>0</v>
      </c>
      <c r="H751">
        <v>0</v>
      </c>
      <c r="I751">
        <v>2.1500000953674299</v>
      </c>
      <c r="J751">
        <v>0</v>
      </c>
      <c r="K751">
        <v>0</v>
      </c>
      <c r="L751">
        <v>0</v>
      </c>
      <c r="M751">
        <v>125</v>
      </c>
      <c r="N751">
        <v>566</v>
      </c>
      <c r="O751">
        <v>2049</v>
      </c>
    </row>
    <row r="752" spans="1:15">
      <c r="A752">
        <v>7086361926</v>
      </c>
      <c r="B752" s="1">
        <v>42485</v>
      </c>
      <c r="C752">
        <v>10091</v>
      </c>
      <c r="D752">
        <v>6.8200001716613796</v>
      </c>
      <c r="E752">
        <v>6.8200001716613796</v>
      </c>
      <c r="F752">
        <v>0</v>
      </c>
      <c r="G752">
        <v>3.75</v>
      </c>
      <c r="H752">
        <v>0.69999998807907104</v>
      </c>
      <c r="I752">
        <v>2.3699998855590798</v>
      </c>
      <c r="J752">
        <v>0</v>
      </c>
      <c r="K752">
        <v>69</v>
      </c>
      <c r="L752">
        <v>39</v>
      </c>
      <c r="M752">
        <v>129</v>
      </c>
      <c r="N752">
        <v>706</v>
      </c>
      <c r="O752">
        <v>2752</v>
      </c>
    </row>
    <row r="753" spans="1:15">
      <c r="A753">
        <v>7086361926</v>
      </c>
      <c r="B753" s="1">
        <v>42486</v>
      </c>
      <c r="C753">
        <v>10387</v>
      </c>
      <c r="D753">
        <v>7.0700001716613796</v>
      </c>
      <c r="E753">
        <v>7.0700001716613796</v>
      </c>
      <c r="F753">
        <v>0</v>
      </c>
      <c r="G753">
        <v>4.1599998474121103</v>
      </c>
      <c r="H753">
        <v>0.769999980926514</v>
      </c>
      <c r="I753">
        <v>2.1199998855590798</v>
      </c>
      <c r="J753">
        <v>0</v>
      </c>
      <c r="K753">
        <v>70</v>
      </c>
      <c r="L753">
        <v>33</v>
      </c>
      <c r="M753">
        <v>132</v>
      </c>
      <c r="N753">
        <v>726</v>
      </c>
      <c r="O753">
        <v>2781</v>
      </c>
    </row>
    <row r="754" spans="1:15">
      <c r="A754">
        <v>7086361926</v>
      </c>
      <c r="B754" s="1">
        <v>42487</v>
      </c>
      <c r="C754">
        <v>11107</v>
      </c>
      <c r="D754">
        <v>8.3400001525878906</v>
      </c>
      <c r="E754">
        <v>8.3400001525878906</v>
      </c>
      <c r="F754">
        <v>0</v>
      </c>
      <c r="G754">
        <v>5.6300001144409197</v>
      </c>
      <c r="H754">
        <v>0.18000000715255701</v>
      </c>
      <c r="I754">
        <v>2.5299999713897701</v>
      </c>
      <c r="J754">
        <v>0</v>
      </c>
      <c r="K754">
        <v>55</v>
      </c>
      <c r="L754">
        <v>6</v>
      </c>
      <c r="M754">
        <v>145</v>
      </c>
      <c r="N754">
        <v>829</v>
      </c>
      <c r="O754">
        <v>2693</v>
      </c>
    </row>
    <row r="755" spans="1:15">
      <c r="A755">
        <v>7086361926</v>
      </c>
      <c r="B755" s="1">
        <v>42488</v>
      </c>
      <c r="C755">
        <v>11584</v>
      </c>
      <c r="D755">
        <v>7.8000001907348597</v>
      </c>
      <c r="E755">
        <v>7.8000001907348597</v>
      </c>
      <c r="F755">
        <v>0</v>
      </c>
      <c r="G755">
        <v>2.78999996185303</v>
      </c>
      <c r="H755">
        <v>1.6399999856948899</v>
      </c>
      <c r="I755">
        <v>3.3599998950958301</v>
      </c>
      <c r="J755">
        <v>0</v>
      </c>
      <c r="K755">
        <v>54</v>
      </c>
      <c r="L755">
        <v>48</v>
      </c>
      <c r="M755">
        <v>161</v>
      </c>
      <c r="N755">
        <v>810</v>
      </c>
      <c r="O755">
        <v>2862</v>
      </c>
    </row>
    <row r="756" spans="1:15">
      <c r="A756">
        <v>7086361926</v>
      </c>
      <c r="B756" s="1">
        <v>42489</v>
      </c>
      <c r="C756">
        <v>7881</v>
      </c>
      <c r="D756">
        <v>4.9499998092651403</v>
      </c>
      <c r="E756">
        <v>4.9499998092651403</v>
      </c>
      <c r="F756">
        <v>0</v>
      </c>
      <c r="G756">
        <v>0.490000009536743</v>
      </c>
      <c r="H756">
        <v>0.44999998807907099</v>
      </c>
      <c r="I756">
        <v>4</v>
      </c>
      <c r="J756">
        <v>0</v>
      </c>
      <c r="K756">
        <v>24</v>
      </c>
      <c r="L756">
        <v>36</v>
      </c>
      <c r="M756">
        <v>182</v>
      </c>
      <c r="N756">
        <v>1198</v>
      </c>
      <c r="O756">
        <v>2616</v>
      </c>
    </row>
    <row r="757" spans="1:15">
      <c r="A757">
        <v>7086361926</v>
      </c>
      <c r="B757" s="1">
        <v>42490</v>
      </c>
      <c r="C757">
        <v>14560</v>
      </c>
      <c r="D757">
        <v>9.4099998474121094</v>
      </c>
      <c r="E757">
        <v>9.4099998474121094</v>
      </c>
      <c r="F757">
        <v>0</v>
      </c>
      <c r="G757">
        <v>3.1199998855590798</v>
      </c>
      <c r="H757">
        <v>1.03999996185303</v>
      </c>
      <c r="I757">
        <v>5.2399997711181596</v>
      </c>
      <c r="J757">
        <v>0</v>
      </c>
      <c r="K757">
        <v>42</v>
      </c>
      <c r="L757">
        <v>17</v>
      </c>
      <c r="M757">
        <v>308</v>
      </c>
      <c r="N757">
        <v>584</v>
      </c>
      <c r="O757">
        <v>2995</v>
      </c>
    </row>
    <row r="758" spans="1:15">
      <c r="A758">
        <v>7086361926</v>
      </c>
      <c r="B758" s="1">
        <v>42491</v>
      </c>
      <c r="C758">
        <v>12390</v>
      </c>
      <c r="D758">
        <v>8.0699996948242205</v>
      </c>
      <c r="E758">
        <v>8.0699996948242205</v>
      </c>
      <c r="F758">
        <v>0</v>
      </c>
      <c r="G758">
        <v>2.2999999523162802</v>
      </c>
      <c r="H758">
        <v>0.89999997615814198</v>
      </c>
      <c r="I758">
        <v>4.8499999046325701</v>
      </c>
      <c r="J758">
        <v>0</v>
      </c>
      <c r="K758">
        <v>30</v>
      </c>
      <c r="L758">
        <v>15</v>
      </c>
      <c r="M758">
        <v>258</v>
      </c>
      <c r="N758">
        <v>685</v>
      </c>
      <c r="O758">
        <v>2730</v>
      </c>
    </row>
    <row r="759" spans="1:15">
      <c r="A759">
        <v>7086361926</v>
      </c>
      <c r="B759" s="1">
        <v>42492</v>
      </c>
      <c r="C759">
        <v>10052</v>
      </c>
      <c r="D759">
        <v>6.8099999427795401</v>
      </c>
      <c r="E759">
        <v>6.8099999427795401</v>
      </c>
      <c r="F759">
        <v>0</v>
      </c>
      <c r="G759">
        <v>3.4800000190734899</v>
      </c>
      <c r="H759">
        <v>0.66000002622604403</v>
      </c>
      <c r="I759">
        <v>2.6600000858306898</v>
      </c>
      <c r="J759">
        <v>0</v>
      </c>
      <c r="K759">
        <v>66</v>
      </c>
      <c r="L759">
        <v>26</v>
      </c>
      <c r="M759">
        <v>139</v>
      </c>
      <c r="N759">
        <v>737</v>
      </c>
      <c r="O759">
        <v>2754</v>
      </c>
    </row>
    <row r="760" spans="1:15">
      <c r="A760">
        <v>7086361926</v>
      </c>
      <c r="B760" s="1">
        <v>42493</v>
      </c>
      <c r="C760">
        <v>10288</v>
      </c>
      <c r="D760">
        <v>6.7600002288818404</v>
      </c>
      <c r="E760">
        <v>6.7600002288818404</v>
      </c>
      <c r="F760">
        <v>0</v>
      </c>
      <c r="G760">
        <v>2.7400000095367401</v>
      </c>
      <c r="H760">
        <v>0.85000002384185802</v>
      </c>
      <c r="I760">
        <v>3.1600000858306898</v>
      </c>
      <c r="J760">
        <v>0</v>
      </c>
      <c r="K760">
        <v>57</v>
      </c>
      <c r="L760">
        <v>36</v>
      </c>
      <c r="M760">
        <v>152</v>
      </c>
      <c r="N760">
        <v>761</v>
      </c>
      <c r="O760">
        <v>2754</v>
      </c>
    </row>
    <row r="761" spans="1:15">
      <c r="A761">
        <v>7086361926</v>
      </c>
      <c r="B761" s="1">
        <v>42494</v>
      </c>
      <c r="C761">
        <v>10988</v>
      </c>
      <c r="D761">
        <v>8.3100004196166992</v>
      </c>
      <c r="E761">
        <v>8.3100004196166992</v>
      </c>
      <c r="F761">
        <v>0</v>
      </c>
      <c r="G761">
        <v>5.2800002098083496</v>
      </c>
      <c r="H761">
        <v>0.119999997317791</v>
      </c>
      <c r="I761">
        <v>2.9000000953674299</v>
      </c>
      <c r="J761">
        <v>0</v>
      </c>
      <c r="K761">
        <v>45</v>
      </c>
      <c r="L761">
        <v>12</v>
      </c>
      <c r="M761">
        <v>135</v>
      </c>
      <c r="N761">
        <v>843</v>
      </c>
      <c r="O761">
        <v>2655</v>
      </c>
    </row>
    <row r="762" spans="1:15">
      <c r="A762">
        <v>7086361926</v>
      </c>
      <c r="B762" s="1">
        <v>42495</v>
      </c>
      <c r="C762">
        <v>8564</v>
      </c>
      <c r="D762">
        <v>5.5999999046325701</v>
      </c>
      <c r="E762">
        <v>5.5999999046325701</v>
      </c>
      <c r="F762">
        <v>0</v>
      </c>
      <c r="G762">
        <v>1.7799999713897701</v>
      </c>
      <c r="H762">
        <v>0.82999998331069902</v>
      </c>
      <c r="I762">
        <v>2.9500000476837198</v>
      </c>
      <c r="J762">
        <v>0</v>
      </c>
      <c r="K762">
        <v>24</v>
      </c>
      <c r="L762">
        <v>14</v>
      </c>
      <c r="M762">
        <v>149</v>
      </c>
      <c r="N762">
        <v>1253</v>
      </c>
      <c r="O762">
        <v>2386</v>
      </c>
    </row>
    <row r="763" spans="1:15">
      <c r="A763">
        <v>7086361926</v>
      </c>
      <c r="B763" s="1">
        <v>42496</v>
      </c>
      <c r="C763">
        <v>12461</v>
      </c>
      <c r="D763">
        <v>8.3800001144409197</v>
      </c>
      <c r="E763">
        <v>8.3800001144409197</v>
      </c>
      <c r="F763">
        <v>0</v>
      </c>
      <c r="G763">
        <v>3.8199999332428001</v>
      </c>
      <c r="H763">
        <v>1.4299999475479099</v>
      </c>
      <c r="I763">
        <v>3.1199998855590798</v>
      </c>
      <c r="J763">
        <v>0</v>
      </c>
      <c r="K763">
        <v>84</v>
      </c>
      <c r="L763">
        <v>35</v>
      </c>
      <c r="M763">
        <v>154</v>
      </c>
      <c r="N763">
        <v>834</v>
      </c>
      <c r="O763">
        <v>2924</v>
      </c>
    </row>
    <row r="764" spans="1:15">
      <c r="A764">
        <v>7086361926</v>
      </c>
      <c r="B764" s="1">
        <v>42497</v>
      </c>
      <c r="C764">
        <v>12827</v>
      </c>
      <c r="D764">
        <v>8.4799995422363299</v>
      </c>
      <c r="E764">
        <v>8.4799995422363299</v>
      </c>
      <c r="F764">
        <v>0</v>
      </c>
      <c r="G764">
        <v>1.46000003814697</v>
      </c>
      <c r="H764">
        <v>2.3299999237060498</v>
      </c>
      <c r="I764">
        <v>4.6799998283386204</v>
      </c>
      <c r="J764">
        <v>0</v>
      </c>
      <c r="K764">
        <v>20</v>
      </c>
      <c r="L764">
        <v>42</v>
      </c>
      <c r="M764">
        <v>209</v>
      </c>
      <c r="N764">
        <v>621</v>
      </c>
      <c r="O764">
        <v>2739</v>
      </c>
    </row>
    <row r="765" spans="1:15">
      <c r="A765">
        <v>7086361926</v>
      </c>
      <c r="B765" s="1">
        <v>42498</v>
      </c>
      <c r="C765">
        <v>10677</v>
      </c>
      <c r="D765">
        <v>7.0999999046325701</v>
      </c>
      <c r="E765">
        <v>7.0999999046325701</v>
      </c>
      <c r="F765">
        <v>0</v>
      </c>
      <c r="G765">
        <v>2.3099999427795401</v>
      </c>
      <c r="H765">
        <v>1.5299999713897701</v>
      </c>
      <c r="I765">
        <v>3.25</v>
      </c>
      <c r="J765">
        <v>0</v>
      </c>
      <c r="K765">
        <v>32</v>
      </c>
      <c r="L765">
        <v>27</v>
      </c>
      <c r="M765">
        <v>147</v>
      </c>
      <c r="N765">
        <v>695</v>
      </c>
      <c r="O765">
        <v>2534</v>
      </c>
    </row>
    <row r="766" spans="1:15">
      <c r="A766">
        <v>7086361926</v>
      </c>
      <c r="B766" s="1">
        <v>42499</v>
      </c>
      <c r="C766">
        <v>13566</v>
      </c>
      <c r="D766">
        <v>9.1099996566772496</v>
      </c>
      <c r="E766">
        <v>9.1099996566772496</v>
      </c>
      <c r="F766">
        <v>0</v>
      </c>
      <c r="G766">
        <v>4.2600002288818404</v>
      </c>
      <c r="H766">
        <v>1.71000003814697</v>
      </c>
      <c r="I766">
        <v>3.1199998855590798</v>
      </c>
      <c r="J766">
        <v>0</v>
      </c>
      <c r="K766">
        <v>67</v>
      </c>
      <c r="L766">
        <v>50</v>
      </c>
      <c r="M766">
        <v>171</v>
      </c>
      <c r="N766">
        <v>743</v>
      </c>
      <c r="O766">
        <v>2960</v>
      </c>
    </row>
    <row r="767" spans="1:15">
      <c r="A767">
        <v>7086361926</v>
      </c>
      <c r="B767" s="1">
        <v>42500</v>
      </c>
      <c r="C767">
        <v>14433</v>
      </c>
      <c r="D767">
        <v>10.789999961853001</v>
      </c>
      <c r="E767">
        <v>10.789999961853001</v>
      </c>
      <c r="F767">
        <v>0</v>
      </c>
      <c r="G767">
        <v>7.1100001335143999</v>
      </c>
      <c r="H767">
        <v>1.20000004768372</v>
      </c>
      <c r="I767">
        <v>2.4500000476837198</v>
      </c>
      <c r="J767">
        <v>0</v>
      </c>
      <c r="K767">
        <v>72</v>
      </c>
      <c r="L767">
        <v>23</v>
      </c>
      <c r="M767">
        <v>106</v>
      </c>
      <c r="N767">
        <v>1182</v>
      </c>
      <c r="O767">
        <v>2800</v>
      </c>
    </row>
    <row r="768" spans="1:15">
      <c r="A768">
        <v>7086361926</v>
      </c>
      <c r="B768" s="1">
        <v>42501</v>
      </c>
      <c r="C768">
        <v>9572</v>
      </c>
      <c r="D768">
        <v>6.5199999809265101</v>
      </c>
      <c r="E768">
        <v>6.5199999809265101</v>
      </c>
      <c r="F768">
        <v>0</v>
      </c>
      <c r="G768">
        <v>2.8900001049041699</v>
      </c>
      <c r="H768">
        <v>1.3899999856948899</v>
      </c>
      <c r="I768">
        <v>2.2300000190734899</v>
      </c>
      <c r="J768">
        <v>0</v>
      </c>
      <c r="K768">
        <v>57</v>
      </c>
      <c r="L768">
        <v>40</v>
      </c>
      <c r="M768">
        <v>128</v>
      </c>
      <c r="N768">
        <v>757</v>
      </c>
      <c r="O768">
        <v>2735</v>
      </c>
    </row>
    <row r="769" spans="1:15">
      <c r="A769">
        <v>7086361926</v>
      </c>
      <c r="B769" s="1">
        <v>42502</v>
      </c>
      <c r="C769">
        <v>3789</v>
      </c>
      <c r="D769">
        <v>2.5599999427795401</v>
      </c>
      <c r="E769">
        <v>2.5599999427795401</v>
      </c>
      <c r="F769">
        <v>0</v>
      </c>
      <c r="G769">
        <v>0.37999999523162797</v>
      </c>
      <c r="H769">
        <v>0.270000010728836</v>
      </c>
      <c r="I769">
        <v>1.8899999856948899</v>
      </c>
      <c r="J769">
        <v>0</v>
      </c>
      <c r="K769">
        <v>5</v>
      </c>
      <c r="L769">
        <v>4</v>
      </c>
      <c r="M769">
        <v>58</v>
      </c>
      <c r="N769">
        <v>343</v>
      </c>
      <c r="O769">
        <v>1199</v>
      </c>
    </row>
    <row r="770" spans="1:15">
      <c r="A770">
        <v>8053475328</v>
      </c>
      <c r="B770" s="1">
        <v>42472</v>
      </c>
      <c r="C770">
        <v>18060</v>
      </c>
      <c r="D770">
        <v>14.1199998855591</v>
      </c>
      <c r="E770">
        <v>14.1199998855591</v>
      </c>
      <c r="F770">
        <v>0</v>
      </c>
      <c r="G770">
        <v>11.6400003433228</v>
      </c>
      <c r="H770">
        <v>0.38999998569488498</v>
      </c>
      <c r="I770">
        <v>2.0999999046325701</v>
      </c>
      <c r="J770">
        <v>0</v>
      </c>
      <c r="K770">
        <v>116</v>
      </c>
      <c r="L770">
        <v>8</v>
      </c>
      <c r="M770">
        <v>123</v>
      </c>
      <c r="N770">
        <v>1193</v>
      </c>
      <c r="O770">
        <v>3186</v>
      </c>
    </row>
    <row r="771" spans="1:15">
      <c r="A771">
        <v>8053475328</v>
      </c>
      <c r="B771" s="1">
        <v>42473</v>
      </c>
      <c r="C771">
        <v>16433</v>
      </c>
      <c r="D771">
        <v>13.3500003814697</v>
      </c>
      <c r="E771">
        <v>13.3500003814697</v>
      </c>
      <c r="F771">
        <v>0</v>
      </c>
      <c r="G771">
        <v>10.430000305175801</v>
      </c>
      <c r="H771">
        <v>0.46999999880790699</v>
      </c>
      <c r="I771">
        <v>2.4500000476837198</v>
      </c>
      <c r="J771">
        <v>0</v>
      </c>
      <c r="K771">
        <v>95</v>
      </c>
      <c r="L771">
        <v>12</v>
      </c>
      <c r="M771">
        <v>156</v>
      </c>
      <c r="N771">
        <v>1177</v>
      </c>
      <c r="O771">
        <v>3140</v>
      </c>
    </row>
    <row r="772" spans="1:15">
      <c r="A772">
        <v>8053475328</v>
      </c>
      <c r="B772" s="1">
        <v>42474</v>
      </c>
      <c r="C772">
        <v>20159</v>
      </c>
      <c r="D772">
        <v>15.9700002670288</v>
      </c>
      <c r="E772">
        <v>15.9700002670288</v>
      </c>
      <c r="F772">
        <v>0</v>
      </c>
      <c r="G772">
        <v>12.3400001525879</v>
      </c>
      <c r="H772">
        <v>0.20999999344348899</v>
      </c>
      <c r="I772">
        <v>3.3599998950958301</v>
      </c>
      <c r="J772">
        <v>0</v>
      </c>
      <c r="K772">
        <v>119</v>
      </c>
      <c r="L772">
        <v>5</v>
      </c>
      <c r="M772">
        <v>193</v>
      </c>
      <c r="N772">
        <v>1123</v>
      </c>
      <c r="O772">
        <v>3411</v>
      </c>
    </row>
    <row r="773" spans="1:15">
      <c r="A773">
        <v>8053475328</v>
      </c>
      <c r="B773" s="1">
        <v>42475</v>
      </c>
      <c r="C773">
        <v>20669</v>
      </c>
      <c r="D773">
        <v>16.2399997711182</v>
      </c>
      <c r="E773">
        <v>16.2399997711182</v>
      </c>
      <c r="F773">
        <v>0</v>
      </c>
      <c r="G773">
        <v>13.2600002288818</v>
      </c>
      <c r="H773">
        <v>0.38999998569488498</v>
      </c>
      <c r="I773">
        <v>2.5899999141693102</v>
      </c>
      <c r="J773">
        <v>0</v>
      </c>
      <c r="K773">
        <v>132</v>
      </c>
      <c r="L773">
        <v>8</v>
      </c>
      <c r="M773">
        <v>158</v>
      </c>
      <c r="N773">
        <v>1142</v>
      </c>
      <c r="O773">
        <v>3410</v>
      </c>
    </row>
    <row r="774" spans="1:15">
      <c r="A774">
        <v>8053475328</v>
      </c>
      <c r="B774" s="1">
        <v>42476</v>
      </c>
      <c r="C774">
        <v>14549</v>
      </c>
      <c r="D774">
        <v>11.1099996566772</v>
      </c>
      <c r="E774">
        <v>11.1099996566772</v>
      </c>
      <c r="F774">
        <v>0</v>
      </c>
      <c r="G774">
        <v>9.3599996566772496</v>
      </c>
      <c r="H774">
        <v>0.270000010728836</v>
      </c>
      <c r="I774">
        <v>1.4900000095367401</v>
      </c>
      <c r="J774">
        <v>0</v>
      </c>
      <c r="K774">
        <v>96</v>
      </c>
      <c r="L774">
        <v>6</v>
      </c>
      <c r="M774">
        <v>83</v>
      </c>
      <c r="N774">
        <v>1255</v>
      </c>
      <c r="O774">
        <v>2867</v>
      </c>
    </row>
    <row r="775" spans="1:15">
      <c r="A775">
        <v>8053475328</v>
      </c>
      <c r="B775" s="1">
        <v>42477</v>
      </c>
      <c r="C775">
        <v>18827</v>
      </c>
      <c r="D775">
        <v>13.689999580383301</v>
      </c>
      <c r="E775">
        <v>13.689999580383301</v>
      </c>
      <c r="F775">
        <v>0</v>
      </c>
      <c r="G775">
        <v>9.2399997711181605</v>
      </c>
      <c r="H775">
        <v>0.80000001192092896</v>
      </c>
      <c r="I775">
        <v>3.6400001049041699</v>
      </c>
      <c r="J775">
        <v>0</v>
      </c>
      <c r="K775">
        <v>111</v>
      </c>
      <c r="L775">
        <v>21</v>
      </c>
      <c r="M775">
        <v>195</v>
      </c>
      <c r="N775">
        <v>1113</v>
      </c>
      <c r="O775">
        <v>3213</v>
      </c>
    </row>
    <row r="776" spans="1:15">
      <c r="A776">
        <v>8053475328</v>
      </c>
      <c r="B776" s="1">
        <v>42478</v>
      </c>
      <c r="C776">
        <v>17076</v>
      </c>
      <c r="D776">
        <v>12.6599998474121</v>
      </c>
      <c r="E776">
        <v>12.6599998474121</v>
      </c>
      <c r="F776">
        <v>0</v>
      </c>
      <c r="G776">
        <v>9.0799999237060494</v>
      </c>
      <c r="H776">
        <v>0.230000004172325</v>
      </c>
      <c r="I776">
        <v>3.3499999046325701</v>
      </c>
      <c r="J776">
        <v>0</v>
      </c>
      <c r="K776">
        <v>102</v>
      </c>
      <c r="L776">
        <v>6</v>
      </c>
      <c r="M776">
        <v>195</v>
      </c>
      <c r="N776">
        <v>1137</v>
      </c>
      <c r="O776">
        <v>3133</v>
      </c>
    </row>
    <row r="777" spans="1:15">
      <c r="A777">
        <v>8053475328</v>
      </c>
      <c r="B777" s="1">
        <v>42479</v>
      </c>
      <c r="C777">
        <v>15929</v>
      </c>
      <c r="D777">
        <v>12.4799995422363</v>
      </c>
      <c r="E777">
        <v>12.4799995422363</v>
      </c>
      <c r="F777">
        <v>0</v>
      </c>
      <c r="G777">
        <v>9.2200002670288104</v>
      </c>
      <c r="H777">
        <v>0.31000000238418601</v>
      </c>
      <c r="I777">
        <v>2.9500000476837198</v>
      </c>
      <c r="J777">
        <v>0</v>
      </c>
      <c r="K777">
        <v>90</v>
      </c>
      <c r="L777">
        <v>7</v>
      </c>
      <c r="M777">
        <v>191</v>
      </c>
      <c r="N777">
        <v>1152</v>
      </c>
      <c r="O777">
        <v>3114</v>
      </c>
    </row>
    <row r="778" spans="1:15">
      <c r="A778">
        <v>8053475328</v>
      </c>
      <c r="B778" s="1">
        <v>42480</v>
      </c>
      <c r="C778">
        <v>15108</v>
      </c>
      <c r="D778">
        <v>12.189999580383301</v>
      </c>
      <c r="E778">
        <v>12.189999580383301</v>
      </c>
      <c r="F778">
        <v>0</v>
      </c>
      <c r="G778">
        <v>9.5799999237060494</v>
      </c>
      <c r="H778">
        <v>0.230000004172325</v>
      </c>
      <c r="I778">
        <v>2.3800001144409202</v>
      </c>
      <c r="J778">
        <v>0</v>
      </c>
      <c r="K778">
        <v>89</v>
      </c>
      <c r="L778">
        <v>5</v>
      </c>
      <c r="M778">
        <v>158</v>
      </c>
      <c r="N778">
        <v>695</v>
      </c>
      <c r="O778">
        <v>3043</v>
      </c>
    </row>
    <row r="779" spans="1:15">
      <c r="A779">
        <v>8053475328</v>
      </c>
      <c r="B779" s="1">
        <v>42481</v>
      </c>
      <c r="C779">
        <v>16057</v>
      </c>
      <c r="D779">
        <v>12.5100002288818</v>
      </c>
      <c r="E779">
        <v>12.5100002288818</v>
      </c>
      <c r="F779">
        <v>0</v>
      </c>
      <c r="G779">
        <v>9.6700000762939506</v>
      </c>
      <c r="H779">
        <v>0.25</v>
      </c>
      <c r="I779">
        <v>2.5799999237060498</v>
      </c>
      <c r="J779">
        <v>0</v>
      </c>
      <c r="K779">
        <v>100</v>
      </c>
      <c r="L779">
        <v>6</v>
      </c>
      <c r="M779">
        <v>170</v>
      </c>
      <c r="N779">
        <v>1164</v>
      </c>
      <c r="O779">
        <v>3103</v>
      </c>
    </row>
    <row r="780" spans="1:15">
      <c r="A780">
        <v>8053475328</v>
      </c>
      <c r="B780" s="1">
        <v>42482</v>
      </c>
      <c r="C780">
        <v>10520</v>
      </c>
      <c r="D780">
        <v>8.2899999618530291</v>
      </c>
      <c r="E780">
        <v>8.2899999618530291</v>
      </c>
      <c r="F780">
        <v>0</v>
      </c>
      <c r="G780">
        <v>6.2600002288818404</v>
      </c>
      <c r="H780">
        <v>0.15000000596046401</v>
      </c>
      <c r="I780">
        <v>1.87999999523163</v>
      </c>
      <c r="J780">
        <v>0</v>
      </c>
      <c r="K780">
        <v>60</v>
      </c>
      <c r="L780">
        <v>3</v>
      </c>
      <c r="M780">
        <v>117</v>
      </c>
      <c r="N780">
        <v>1260</v>
      </c>
      <c r="O780">
        <v>2655</v>
      </c>
    </row>
    <row r="781" spans="1:15">
      <c r="A781">
        <v>8053475328</v>
      </c>
      <c r="B781" s="1">
        <v>42483</v>
      </c>
      <c r="C781">
        <v>22359</v>
      </c>
      <c r="D781">
        <v>17.190000534057599</v>
      </c>
      <c r="E781">
        <v>17.190000534057599</v>
      </c>
      <c r="F781">
        <v>0</v>
      </c>
      <c r="G781">
        <v>12.539999961853001</v>
      </c>
      <c r="H781">
        <v>0.62999999523162797</v>
      </c>
      <c r="I781">
        <v>4.0199999809265101</v>
      </c>
      <c r="J781">
        <v>0</v>
      </c>
      <c r="K781">
        <v>125</v>
      </c>
      <c r="L781">
        <v>14</v>
      </c>
      <c r="M781">
        <v>223</v>
      </c>
      <c r="N781">
        <v>741</v>
      </c>
      <c r="O781">
        <v>3554</v>
      </c>
    </row>
    <row r="782" spans="1:15">
      <c r="A782">
        <v>8053475328</v>
      </c>
      <c r="B782" s="1">
        <v>42484</v>
      </c>
      <c r="C782">
        <v>22988</v>
      </c>
      <c r="D782">
        <v>17.950000762939499</v>
      </c>
      <c r="E782">
        <v>17.950000762939499</v>
      </c>
      <c r="F782">
        <v>0</v>
      </c>
      <c r="G782">
        <v>13.1300001144409</v>
      </c>
      <c r="H782">
        <v>1.54999995231628</v>
      </c>
      <c r="I782">
        <v>3.2599999904632599</v>
      </c>
      <c r="J782">
        <v>0</v>
      </c>
      <c r="K782">
        <v>129</v>
      </c>
      <c r="L782">
        <v>33</v>
      </c>
      <c r="M782">
        <v>182</v>
      </c>
      <c r="N782">
        <v>1096</v>
      </c>
      <c r="O782">
        <v>3577</v>
      </c>
    </row>
    <row r="783" spans="1:15">
      <c r="A783">
        <v>8053475328</v>
      </c>
      <c r="B783" s="1">
        <v>42485</v>
      </c>
      <c r="C783">
        <v>20500</v>
      </c>
      <c r="D783">
        <v>15.689999580383301</v>
      </c>
      <c r="E783">
        <v>15.689999580383301</v>
      </c>
      <c r="F783">
        <v>0</v>
      </c>
      <c r="G783">
        <v>11.3699998855591</v>
      </c>
      <c r="H783">
        <v>0.46000000834464999</v>
      </c>
      <c r="I783">
        <v>3.8599998950958301</v>
      </c>
      <c r="J783">
        <v>0</v>
      </c>
      <c r="K783">
        <v>118</v>
      </c>
      <c r="L783">
        <v>9</v>
      </c>
      <c r="M783">
        <v>209</v>
      </c>
      <c r="N783">
        <v>1104</v>
      </c>
      <c r="O783">
        <v>3403</v>
      </c>
    </row>
    <row r="784" spans="1:15">
      <c r="A784">
        <v>8053475328</v>
      </c>
      <c r="B784" s="1">
        <v>42486</v>
      </c>
      <c r="C784">
        <v>12685</v>
      </c>
      <c r="D784">
        <v>9.6199998855590803</v>
      </c>
      <c r="E784">
        <v>9.6199998855590803</v>
      </c>
      <c r="F784">
        <v>0</v>
      </c>
      <c r="G784">
        <v>6.3099999427795401</v>
      </c>
      <c r="H784">
        <v>0.20000000298023199</v>
      </c>
      <c r="I784">
        <v>3.0999999046325701</v>
      </c>
      <c r="J784">
        <v>0</v>
      </c>
      <c r="K784">
        <v>68</v>
      </c>
      <c r="L784">
        <v>5</v>
      </c>
      <c r="M784">
        <v>185</v>
      </c>
      <c r="N784">
        <v>1182</v>
      </c>
      <c r="O784">
        <v>2846</v>
      </c>
    </row>
    <row r="785" spans="1:15">
      <c r="A785">
        <v>8053475328</v>
      </c>
      <c r="B785" s="1">
        <v>42487</v>
      </c>
      <c r="C785">
        <v>12422</v>
      </c>
      <c r="D785">
        <v>9.8199996948242205</v>
      </c>
      <c r="E785">
        <v>9.8199996948242205</v>
      </c>
      <c r="F785">
        <v>0</v>
      </c>
      <c r="G785">
        <v>6.46000003814697</v>
      </c>
      <c r="H785">
        <v>0.43000000715255698</v>
      </c>
      <c r="I785">
        <v>2.9300000667571999</v>
      </c>
      <c r="J785">
        <v>0</v>
      </c>
      <c r="K785">
        <v>60</v>
      </c>
      <c r="L785">
        <v>10</v>
      </c>
      <c r="M785">
        <v>183</v>
      </c>
      <c r="N785">
        <v>1187</v>
      </c>
      <c r="O785">
        <v>2852</v>
      </c>
    </row>
    <row r="786" spans="1:15">
      <c r="A786">
        <v>8053475328</v>
      </c>
      <c r="B786" s="1">
        <v>42488</v>
      </c>
      <c r="C786">
        <v>15447</v>
      </c>
      <c r="D786">
        <v>12.3999996185303</v>
      </c>
      <c r="E786">
        <v>12.3999996185303</v>
      </c>
      <c r="F786">
        <v>0</v>
      </c>
      <c r="G786">
        <v>9.6700000762939506</v>
      </c>
      <c r="H786">
        <v>0.38999998569488498</v>
      </c>
      <c r="I786">
        <v>2.3499999046325701</v>
      </c>
      <c r="J786">
        <v>0</v>
      </c>
      <c r="K786">
        <v>90</v>
      </c>
      <c r="L786">
        <v>9</v>
      </c>
      <c r="M786">
        <v>153</v>
      </c>
      <c r="N786">
        <v>1188</v>
      </c>
      <c r="O786">
        <v>3062</v>
      </c>
    </row>
    <row r="787" spans="1:15">
      <c r="A787">
        <v>8053475328</v>
      </c>
      <c r="B787" s="1">
        <v>42489</v>
      </c>
      <c r="C787">
        <v>12315</v>
      </c>
      <c r="D787">
        <v>9.6499996185302699</v>
      </c>
      <c r="E787">
        <v>9.6499996185302699</v>
      </c>
      <c r="F787">
        <v>0</v>
      </c>
      <c r="G787">
        <v>6.1700000762939498</v>
      </c>
      <c r="H787">
        <v>0.31000000238418601</v>
      </c>
      <c r="I787">
        <v>3.1700000762939502</v>
      </c>
      <c r="J787">
        <v>0</v>
      </c>
      <c r="K787">
        <v>58</v>
      </c>
      <c r="L787">
        <v>8</v>
      </c>
      <c r="M787">
        <v>159</v>
      </c>
      <c r="N787">
        <v>1215</v>
      </c>
      <c r="O787">
        <v>2794</v>
      </c>
    </row>
    <row r="788" spans="1:15">
      <c r="A788">
        <v>8053475328</v>
      </c>
      <c r="B788" s="1">
        <v>42490</v>
      </c>
      <c r="C788">
        <v>7135</v>
      </c>
      <c r="D788">
        <v>5.5900001525878897</v>
      </c>
      <c r="E788">
        <v>5.5900001525878897</v>
      </c>
      <c r="F788">
        <v>0</v>
      </c>
      <c r="G788">
        <v>2.9900000095367401</v>
      </c>
      <c r="H788">
        <v>5.9999998658895499E-2</v>
      </c>
      <c r="I788">
        <v>2.53999996185303</v>
      </c>
      <c r="J788">
        <v>0</v>
      </c>
      <c r="K788">
        <v>27</v>
      </c>
      <c r="L788">
        <v>1</v>
      </c>
      <c r="M788">
        <v>131</v>
      </c>
      <c r="N788">
        <v>1281</v>
      </c>
      <c r="O788">
        <v>2408</v>
      </c>
    </row>
    <row r="789" spans="1:15">
      <c r="A789">
        <v>8053475328</v>
      </c>
      <c r="B789" s="1">
        <v>42491</v>
      </c>
      <c r="C789">
        <v>1170</v>
      </c>
      <c r="D789">
        <v>0.85000002384185802</v>
      </c>
      <c r="E789">
        <v>0.85000002384185802</v>
      </c>
      <c r="F789">
        <v>0</v>
      </c>
      <c r="G789">
        <v>0</v>
      </c>
      <c r="H789">
        <v>0</v>
      </c>
      <c r="I789">
        <v>0.85000002384185802</v>
      </c>
      <c r="J789">
        <v>0</v>
      </c>
      <c r="K789">
        <v>0</v>
      </c>
      <c r="L789">
        <v>0</v>
      </c>
      <c r="M789">
        <v>51</v>
      </c>
      <c r="N789">
        <v>1389</v>
      </c>
      <c r="O789">
        <v>1886</v>
      </c>
    </row>
    <row r="790" spans="1:15">
      <c r="A790">
        <v>8053475328</v>
      </c>
      <c r="B790" s="1">
        <v>42492</v>
      </c>
      <c r="C790">
        <v>1969</v>
      </c>
      <c r="D790">
        <v>1.4299999475479099</v>
      </c>
      <c r="E790">
        <v>1.4299999475479099</v>
      </c>
      <c r="F790">
        <v>0</v>
      </c>
      <c r="G790">
        <v>0</v>
      </c>
      <c r="H790">
        <v>0</v>
      </c>
      <c r="I790">
        <v>1.4299999475479099</v>
      </c>
      <c r="J790">
        <v>0</v>
      </c>
      <c r="K790">
        <v>0</v>
      </c>
      <c r="L790">
        <v>0</v>
      </c>
      <c r="M790">
        <v>95</v>
      </c>
      <c r="N790">
        <v>1345</v>
      </c>
      <c r="O790">
        <v>1988</v>
      </c>
    </row>
    <row r="791" spans="1:15">
      <c r="A791">
        <v>8053475328</v>
      </c>
      <c r="B791" s="1">
        <v>42493</v>
      </c>
      <c r="C791">
        <v>15484</v>
      </c>
      <c r="D791">
        <v>11.8999996185303</v>
      </c>
      <c r="E791">
        <v>11.8999996185303</v>
      </c>
      <c r="F791">
        <v>0</v>
      </c>
      <c r="G791">
        <v>8.3900003433227504</v>
      </c>
      <c r="H791">
        <v>0.93000000715255704</v>
      </c>
      <c r="I791">
        <v>2.5899999141693102</v>
      </c>
      <c r="J791">
        <v>0</v>
      </c>
      <c r="K791">
        <v>87</v>
      </c>
      <c r="L791">
        <v>22</v>
      </c>
      <c r="M791">
        <v>165</v>
      </c>
      <c r="N791">
        <v>1166</v>
      </c>
      <c r="O791">
        <v>3023</v>
      </c>
    </row>
    <row r="792" spans="1:15">
      <c r="A792">
        <v>8053475328</v>
      </c>
      <c r="B792" s="1">
        <v>42494</v>
      </c>
      <c r="C792">
        <v>14581</v>
      </c>
      <c r="D792">
        <v>11.1499996185303</v>
      </c>
      <c r="E792">
        <v>11.1499996185303</v>
      </c>
      <c r="F792">
        <v>0</v>
      </c>
      <c r="G792">
        <v>8.8199996948242205</v>
      </c>
      <c r="H792">
        <v>0.40000000596046398</v>
      </c>
      <c r="I792">
        <v>1.9099999666214</v>
      </c>
      <c r="J792">
        <v>0</v>
      </c>
      <c r="K792">
        <v>89</v>
      </c>
      <c r="L792">
        <v>8</v>
      </c>
      <c r="M792">
        <v>123</v>
      </c>
      <c r="N792">
        <v>1220</v>
      </c>
      <c r="O792">
        <v>2918</v>
      </c>
    </row>
    <row r="793" spans="1:15">
      <c r="A793">
        <v>8053475328</v>
      </c>
      <c r="B793" s="1">
        <v>42495</v>
      </c>
      <c r="C793">
        <v>14990</v>
      </c>
      <c r="D793">
        <v>11.5100002288818</v>
      </c>
      <c r="E793">
        <v>11.5100002288818</v>
      </c>
      <c r="F793">
        <v>0</v>
      </c>
      <c r="G793">
        <v>8.8500003814697301</v>
      </c>
      <c r="H793">
        <v>0.44999998807907099</v>
      </c>
      <c r="I793">
        <v>2.21000003814697</v>
      </c>
      <c r="J793">
        <v>0</v>
      </c>
      <c r="K793">
        <v>93</v>
      </c>
      <c r="L793">
        <v>9</v>
      </c>
      <c r="M793">
        <v>130</v>
      </c>
      <c r="N793">
        <v>1208</v>
      </c>
      <c r="O793">
        <v>2950</v>
      </c>
    </row>
    <row r="794" spans="1:15">
      <c r="A794">
        <v>8053475328</v>
      </c>
      <c r="B794" s="1">
        <v>42496</v>
      </c>
      <c r="C794">
        <v>13953</v>
      </c>
      <c r="D794">
        <v>11</v>
      </c>
      <c r="E794">
        <v>11</v>
      </c>
      <c r="F794">
        <v>0</v>
      </c>
      <c r="G794">
        <v>9.1000003814697301</v>
      </c>
      <c r="H794">
        <v>0.68999999761581399</v>
      </c>
      <c r="I794">
        <v>1.21000003814697</v>
      </c>
      <c r="J794">
        <v>0</v>
      </c>
      <c r="K794">
        <v>90</v>
      </c>
      <c r="L794">
        <v>15</v>
      </c>
      <c r="M794">
        <v>90</v>
      </c>
      <c r="N794">
        <v>1245</v>
      </c>
      <c r="O794">
        <v>2859</v>
      </c>
    </row>
    <row r="795" spans="1:15">
      <c r="A795">
        <v>8053475328</v>
      </c>
      <c r="B795" s="1">
        <v>42497</v>
      </c>
      <c r="C795">
        <v>19769</v>
      </c>
      <c r="D795">
        <v>15.670000076293899</v>
      </c>
      <c r="E795">
        <v>15.670000076293899</v>
      </c>
      <c r="F795">
        <v>0</v>
      </c>
      <c r="G795">
        <v>12.439999580383301</v>
      </c>
      <c r="H795">
        <v>0.87999999523162797</v>
      </c>
      <c r="I795">
        <v>2.3499999046325701</v>
      </c>
      <c r="J795">
        <v>0</v>
      </c>
      <c r="K795">
        <v>121</v>
      </c>
      <c r="L795">
        <v>20</v>
      </c>
      <c r="M795">
        <v>148</v>
      </c>
      <c r="N795">
        <v>1076</v>
      </c>
      <c r="O795">
        <v>3331</v>
      </c>
    </row>
    <row r="796" spans="1:15">
      <c r="A796">
        <v>8053475328</v>
      </c>
      <c r="B796" s="1">
        <v>42498</v>
      </c>
      <c r="C796">
        <v>22026</v>
      </c>
      <c r="D796">
        <v>17.649999618530298</v>
      </c>
      <c r="E796">
        <v>17.649999618530298</v>
      </c>
      <c r="F796">
        <v>0</v>
      </c>
      <c r="G796">
        <v>13.3999996185303</v>
      </c>
      <c r="H796">
        <v>0.58999997377395597</v>
      </c>
      <c r="I796">
        <v>3.6600000858306898</v>
      </c>
      <c r="J796">
        <v>0</v>
      </c>
      <c r="K796">
        <v>125</v>
      </c>
      <c r="L796">
        <v>14</v>
      </c>
      <c r="M796">
        <v>228</v>
      </c>
      <c r="N796">
        <v>1073</v>
      </c>
      <c r="O796">
        <v>3589</v>
      </c>
    </row>
    <row r="797" spans="1:15">
      <c r="A797">
        <v>8053475328</v>
      </c>
      <c r="B797" s="1">
        <v>42499</v>
      </c>
      <c r="C797">
        <v>12465</v>
      </c>
      <c r="D797">
        <v>9.3800001144409197</v>
      </c>
      <c r="E797">
        <v>9.3800001144409197</v>
      </c>
      <c r="F797">
        <v>0</v>
      </c>
      <c r="G797">
        <v>6.1199998855590803</v>
      </c>
      <c r="H797">
        <v>0.56999999284744296</v>
      </c>
      <c r="I797">
        <v>2.6900000572204599</v>
      </c>
      <c r="J797">
        <v>0</v>
      </c>
      <c r="K797">
        <v>66</v>
      </c>
      <c r="L797">
        <v>12</v>
      </c>
      <c r="M797">
        <v>148</v>
      </c>
      <c r="N797">
        <v>1214</v>
      </c>
      <c r="O797">
        <v>2765</v>
      </c>
    </row>
    <row r="798" spans="1:15">
      <c r="A798">
        <v>8053475328</v>
      </c>
      <c r="B798" s="1">
        <v>42500</v>
      </c>
      <c r="C798">
        <v>14810</v>
      </c>
      <c r="D798">
        <v>11.3599996566772</v>
      </c>
      <c r="E798">
        <v>11.3599996566772</v>
      </c>
      <c r="F798">
        <v>0</v>
      </c>
      <c r="G798">
        <v>9.0900001525878906</v>
      </c>
      <c r="H798">
        <v>0.41999998688697798</v>
      </c>
      <c r="I798">
        <v>1.8500000238418599</v>
      </c>
      <c r="J798">
        <v>0</v>
      </c>
      <c r="K798">
        <v>96</v>
      </c>
      <c r="L798">
        <v>10</v>
      </c>
      <c r="M798">
        <v>115</v>
      </c>
      <c r="N798">
        <v>1219</v>
      </c>
      <c r="O798">
        <v>2926</v>
      </c>
    </row>
    <row r="799" spans="1:15">
      <c r="A799">
        <v>8053475328</v>
      </c>
      <c r="B799" s="1">
        <v>42501</v>
      </c>
      <c r="C799">
        <v>12209</v>
      </c>
      <c r="D799">
        <v>9.3999996185302699</v>
      </c>
      <c r="E799">
        <v>9.3999996185302699</v>
      </c>
      <c r="F799">
        <v>0</v>
      </c>
      <c r="G799">
        <v>6.0799999237060502</v>
      </c>
      <c r="H799">
        <v>0.28000000119209301</v>
      </c>
      <c r="I799">
        <v>3.03999996185303</v>
      </c>
      <c r="J799">
        <v>0</v>
      </c>
      <c r="K799">
        <v>60</v>
      </c>
      <c r="L799">
        <v>7</v>
      </c>
      <c r="M799">
        <v>184</v>
      </c>
      <c r="N799">
        <v>1189</v>
      </c>
      <c r="O799">
        <v>2809</v>
      </c>
    </row>
    <row r="800" spans="1:15">
      <c r="A800">
        <v>8053475328</v>
      </c>
      <c r="B800" s="1">
        <v>42502</v>
      </c>
      <c r="C800">
        <v>4998</v>
      </c>
      <c r="D800">
        <v>3.9100000858306898</v>
      </c>
      <c r="E800">
        <v>3.9100000858306898</v>
      </c>
      <c r="F800">
        <v>0</v>
      </c>
      <c r="G800">
        <v>2.9500000476837198</v>
      </c>
      <c r="H800">
        <v>0.20000000298023199</v>
      </c>
      <c r="I800">
        <v>0.75999999046325695</v>
      </c>
      <c r="J800">
        <v>0</v>
      </c>
      <c r="K800">
        <v>28</v>
      </c>
      <c r="L800">
        <v>4</v>
      </c>
      <c r="M800">
        <v>39</v>
      </c>
      <c r="N800">
        <v>839</v>
      </c>
      <c r="O800">
        <v>1505</v>
      </c>
    </row>
    <row r="801" spans="1:15">
      <c r="A801">
        <v>8253242879</v>
      </c>
      <c r="B801" s="1">
        <v>42472</v>
      </c>
      <c r="C801">
        <v>9033</v>
      </c>
      <c r="D801">
        <v>7.1599998474121103</v>
      </c>
      <c r="E801">
        <v>7.1599998474121103</v>
      </c>
      <c r="F801">
        <v>0</v>
      </c>
      <c r="G801">
        <v>5.4299998283386204</v>
      </c>
      <c r="H801">
        <v>0.140000000596046</v>
      </c>
      <c r="I801">
        <v>1.5900000333786</v>
      </c>
      <c r="J801">
        <v>0</v>
      </c>
      <c r="K801">
        <v>40</v>
      </c>
      <c r="L801">
        <v>2</v>
      </c>
      <c r="M801">
        <v>154</v>
      </c>
      <c r="N801">
        <v>1244</v>
      </c>
      <c r="O801">
        <v>2044</v>
      </c>
    </row>
    <row r="802" spans="1:15">
      <c r="A802">
        <v>8253242879</v>
      </c>
      <c r="B802" s="1">
        <v>42473</v>
      </c>
      <c r="C802">
        <v>8053</v>
      </c>
      <c r="D802">
        <v>6.0999999046325701</v>
      </c>
      <c r="E802">
        <v>6.0999999046325701</v>
      </c>
      <c r="F802">
        <v>0</v>
      </c>
      <c r="G802">
        <v>4.1700000762939498</v>
      </c>
      <c r="H802">
        <v>0.62999999523162797</v>
      </c>
      <c r="I802">
        <v>1.3099999427795399</v>
      </c>
      <c r="J802">
        <v>0</v>
      </c>
      <c r="K802">
        <v>35</v>
      </c>
      <c r="L802">
        <v>11</v>
      </c>
      <c r="M802">
        <v>96</v>
      </c>
      <c r="N802">
        <v>1298</v>
      </c>
      <c r="O802">
        <v>1935</v>
      </c>
    </row>
    <row r="803" spans="1:15">
      <c r="A803">
        <v>8253242879</v>
      </c>
      <c r="B803" s="1">
        <v>42474</v>
      </c>
      <c r="C803">
        <v>5234</v>
      </c>
      <c r="D803">
        <v>3.46000003814697</v>
      </c>
      <c r="E803">
        <v>3.46000003814697</v>
      </c>
      <c r="F803">
        <v>0</v>
      </c>
      <c r="G803">
        <v>1.9299999475479099</v>
      </c>
      <c r="H803">
        <v>0.99000000953674305</v>
      </c>
      <c r="I803">
        <v>0.54000002145767201</v>
      </c>
      <c r="J803">
        <v>0</v>
      </c>
      <c r="K803">
        <v>29</v>
      </c>
      <c r="L803">
        <v>16</v>
      </c>
      <c r="M803">
        <v>33</v>
      </c>
      <c r="N803">
        <v>1362</v>
      </c>
      <c r="O803">
        <v>1705</v>
      </c>
    </row>
    <row r="804" spans="1:15">
      <c r="A804">
        <v>8253242879</v>
      </c>
      <c r="B804" s="1">
        <v>42475</v>
      </c>
      <c r="C804">
        <v>2672</v>
      </c>
      <c r="D804">
        <v>1.7699999809265099</v>
      </c>
      <c r="E804">
        <v>1.7699999809265099</v>
      </c>
      <c r="F804">
        <v>0</v>
      </c>
      <c r="G804">
        <v>0</v>
      </c>
      <c r="H804">
        <v>0</v>
      </c>
      <c r="I804">
        <v>1.7599999904632599</v>
      </c>
      <c r="J804">
        <v>0</v>
      </c>
      <c r="K804">
        <v>0</v>
      </c>
      <c r="L804">
        <v>0</v>
      </c>
      <c r="M804">
        <v>105</v>
      </c>
      <c r="N804">
        <v>1335</v>
      </c>
      <c r="O804">
        <v>1632</v>
      </c>
    </row>
    <row r="805" spans="1:15">
      <c r="A805">
        <v>8253242879</v>
      </c>
      <c r="B805" s="1">
        <v>42476</v>
      </c>
      <c r="C805">
        <v>9256</v>
      </c>
      <c r="D805">
        <v>6.1399998664856001</v>
      </c>
      <c r="E805">
        <v>6.1399998664856001</v>
      </c>
      <c r="F805">
        <v>0</v>
      </c>
      <c r="G805">
        <v>0.43000000715255698</v>
      </c>
      <c r="H805">
        <v>3.2699999809265101</v>
      </c>
      <c r="I805">
        <v>2.4500000476837198</v>
      </c>
      <c r="J805">
        <v>0</v>
      </c>
      <c r="K805">
        <v>6</v>
      </c>
      <c r="L805">
        <v>51</v>
      </c>
      <c r="M805">
        <v>115</v>
      </c>
      <c r="N805">
        <v>1268</v>
      </c>
      <c r="O805">
        <v>1880</v>
      </c>
    </row>
    <row r="806" spans="1:15">
      <c r="A806">
        <v>8253242879</v>
      </c>
      <c r="B806" s="1">
        <v>42477</v>
      </c>
      <c r="C806">
        <v>10204</v>
      </c>
      <c r="D806">
        <v>7.9099998474121103</v>
      </c>
      <c r="E806">
        <v>7.9099998474121103</v>
      </c>
      <c r="F806">
        <v>0</v>
      </c>
      <c r="G806">
        <v>5.4299998283386204</v>
      </c>
      <c r="H806">
        <v>0.15000000596046401</v>
      </c>
      <c r="I806">
        <v>2.3299999237060498</v>
      </c>
      <c r="J806">
        <v>0</v>
      </c>
      <c r="K806">
        <v>41</v>
      </c>
      <c r="L806">
        <v>5</v>
      </c>
      <c r="M806">
        <v>157</v>
      </c>
      <c r="N806">
        <v>1237</v>
      </c>
      <c r="O806">
        <v>2112</v>
      </c>
    </row>
    <row r="807" spans="1:15">
      <c r="A807">
        <v>8253242879</v>
      </c>
      <c r="B807" s="1">
        <v>42478</v>
      </c>
      <c r="C807">
        <v>5151</v>
      </c>
      <c r="D807">
        <v>3.4800000190734899</v>
      </c>
      <c r="E807">
        <v>3.4800000190734899</v>
      </c>
      <c r="F807">
        <v>0</v>
      </c>
      <c r="G807">
        <v>1.03999996185303</v>
      </c>
      <c r="H807">
        <v>0.62999999523162797</v>
      </c>
      <c r="I807">
        <v>1.79999995231628</v>
      </c>
      <c r="J807">
        <v>0</v>
      </c>
      <c r="K807">
        <v>16</v>
      </c>
      <c r="L807">
        <v>16</v>
      </c>
      <c r="M807">
        <v>130</v>
      </c>
      <c r="N807">
        <v>1278</v>
      </c>
      <c r="O807">
        <v>1829</v>
      </c>
    </row>
    <row r="808" spans="1:15">
      <c r="A808">
        <v>8253242879</v>
      </c>
      <c r="B808" s="1">
        <v>42479</v>
      </c>
      <c r="C808">
        <v>4212</v>
      </c>
      <c r="D808">
        <v>2.7799999713897701</v>
      </c>
      <c r="E808">
        <v>2.7799999713897701</v>
      </c>
      <c r="F808">
        <v>0</v>
      </c>
      <c r="G808">
        <v>0</v>
      </c>
      <c r="H808">
        <v>0</v>
      </c>
      <c r="I808">
        <v>2.7799999713897701</v>
      </c>
      <c r="J808">
        <v>0</v>
      </c>
      <c r="K808">
        <v>0</v>
      </c>
      <c r="L808">
        <v>0</v>
      </c>
      <c r="M808">
        <v>164</v>
      </c>
      <c r="N808">
        <v>1276</v>
      </c>
      <c r="O808">
        <v>1763</v>
      </c>
    </row>
    <row r="809" spans="1:15">
      <c r="A809">
        <v>8253242879</v>
      </c>
      <c r="B809" s="1">
        <v>42480</v>
      </c>
      <c r="C809">
        <v>6466</v>
      </c>
      <c r="D809">
        <v>4.2699999809265101</v>
      </c>
      <c r="E809">
        <v>4.2699999809265101</v>
      </c>
      <c r="F809">
        <v>0</v>
      </c>
      <c r="G809">
        <v>0.33000001311302202</v>
      </c>
      <c r="H809">
        <v>0.81999999284744296</v>
      </c>
      <c r="I809">
        <v>3.1099998950958301</v>
      </c>
      <c r="J809">
        <v>9.9999997764825804E-3</v>
      </c>
      <c r="K809">
        <v>5</v>
      </c>
      <c r="L809">
        <v>18</v>
      </c>
      <c r="M809">
        <v>216</v>
      </c>
      <c r="N809">
        <v>1201</v>
      </c>
      <c r="O809">
        <v>1931</v>
      </c>
    </row>
    <row r="810" spans="1:15">
      <c r="A810">
        <v>8253242879</v>
      </c>
      <c r="B810" s="1">
        <v>42481</v>
      </c>
      <c r="C810">
        <v>11268</v>
      </c>
      <c r="D810">
        <v>8.5600004196166992</v>
      </c>
      <c r="E810">
        <v>8.5600004196166992</v>
      </c>
      <c r="F810">
        <v>0</v>
      </c>
      <c r="G810">
        <v>5.8800001144409197</v>
      </c>
      <c r="H810">
        <v>0.93000000715255704</v>
      </c>
      <c r="I810">
        <v>1.75</v>
      </c>
      <c r="J810">
        <v>0</v>
      </c>
      <c r="K810">
        <v>49</v>
      </c>
      <c r="L810">
        <v>20</v>
      </c>
      <c r="M810">
        <v>172</v>
      </c>
      <c r="N810">
        <v>1199</v>
      </c>
      <c r="O810">
        <v>2218</v>
      </c>
    </row>
    <row r="811" spans="1:15">
      <c r="A811">
        <v>8253242879</v>
      </c>
      <c r="B811" s="1">
        <v>42482</v>
      </c>
      <c r="C811">
        <v>2824</v>
      </c>
      <c r="D811">
        <v>1.87000000476837</v>
      </c>
      <c r="E811">
        <v>1.87000000476837</v>
      </c>
      <c r="F811">
        <v>0</v>
      </c>
      <c r="G811">
        <v>0</v>
      </c>
      <c r="H811">
        <v>0</v>
      </c>
      <c r="I811">
        <v>1.87000000476837</v>
      </c>
      <c r="J811">
        <v>0</v>
      </c>
      <c r="K811">
        <v>0</v>
      </c>
      <c r="L811">
        <v>0</v>
      </c>
      <c r="M811">
        <v>120</v>
      </c>
      <c r="N811">
        <v>1320</v>
      </c>
      <c r="O811">
        <v>1651</v>
      </c>
    </row>
    <row r="812" spans="1:15">
      <c r="A812">
        <v>8253242879</v>
      </c>
      <c r="B812" s="1">
        <v>42483</v>
      </c>
      <c r="C812">
        <v>9282</v>
      </c>
      <c r="D812">
        <v>6.2600002288818404</v>
      </c>
      <c r="E812">
        <v>6.2600002288818404</v>
      </c>
      <c r="F812">
        <v>0</v>
      </c>
      <c r="G812">
        <v>2.0899999141693102</v>
      </c>
      <c r="H812">
        <v>1.03999996185303</v>
      </c>
      <c r="I812">
        <v>3.1300001144409202</v>
      </c>
      <c r="J812">
        <v>0</v>
      </c>
      <c r="K812">
        <v>30</v>
      </c>
      <c r="L812">
        <v>26</v>
      </c>
      <c r="M812">
        <v>191</v>
      </c>
      <c r="N812">
        <v>1193</v>
      </c>
      <c r="O812">
        <v>2132</v>
      </c>
    </row>
    <row r="813" spans="1:15">
      <c r="A813">
        <v>8253242879</v>
      </c>
      <c r="B813" s="1">
        <v>42484</v>
      </c>
      <c r="C813">
        <v>8905</v>
      </c>
      <c r="D813">
        <v>7.1300001144409197</v>
      </c>
      <c r="E813">
        <v>7.1300001144409197</v>
      </c>
      <c r="F813">
        <v>0</v>
      </c>
      <c r="G813">
        <v>5.5999999046325701</v>
      </c>
      <c r="H813">
        <v>0.18999999761581399</v>
      </c>
      <c r="I813">
        <v>1.3400000333786</v>
      </c>
      <c r="J813">
        <v>0</v>
      </c>
      <c r="K813">
        <v>41</v>
      </c>
      <c r="L813">
        <v>4</v>
      </c>
      <c r="M813">
        <v>82</v>
      </c>
      <c r="N813">
        <v>1313</v>
      </c>
      <c r="O813">
        <v>1976</v>
      </c>
    </row>
    <row r="814" spans="1:15">
      <c r="A814">
        <v>8253242879</v>
      </c>
      <c r="B814" s="1">
        <v>42485</v>
      </c>
      <c r="C814">
        <v>6829</v>
      </c>
      <c r="D814">
        <v>4.5100002288818404</v>
      </c>
      <c r="E814">
        <v>4.5100002288818404</v>
      </c>
      <c r="F814">
        <v>0</v>
      </c>
      <c r="G814">
        <v>0.36000001430511502</v>
      </c>
      <c r="H814">
        <v>2.3900001049041699</v>
      </c>
      <c r="I814">
        <v>1.7699999809265099</v>
      </c>
      <c r="J814">
        <v>0</v>
      </c>
      <c r="K814">
        <v>7</v>
      </c>
      <c r="L814">
        <v>54</v>
      </c>
      <c r="M814">
        <v>118</v>
      </c>
      <c r="N814">
        <v>1261</v>
      </c>
      <c r="O814">
        <v>1909</v>
      </c>
    </row>
    <row r="815" spans="1:15">
      <c r="A815">
        <v>8253242879</v>
      </c>
      <c r="B815" s="1">
        <v>42486</v>
      </c>
      <c r="C815">
        <v>4562</v>
      </c>
      <c r="D815">
        <v>3.03999996185303</v>
      </c>
      <c r="E815">
        <v>3.03999996185303</v>
      </c>
      <c r="F815">
        <v>0</v>
      </c>
      <c r="G815">
        <v>1.1799999475479099</v>
      </c>
      <c r="H815">
        <v>0.490000009536743</v>
      </c>
      <c r="I815">
        <v>1.37000000476837</v>
      </c>
      <c r="J815">
        <v>0</v>
      </c>
      <c r="K815">
        <v>19</v>
      </c>
      <c r="L815">
        <v>14</v>
      </c>
      <c r="M815">
        <v>108</v>
      </c>
      <c r="N815">
        <v>1299</v>
      </c>
      <c r="O815">
        <v>1813</v>
      </c>
    </row>
    <row r="816" spans="1:15">
      <c r="A816">
        <v>8253242879</v>
      </c>
      <c r="B816" s="1">
        <v>42487</v>
      </c>
      <c r="C816">
        <v>10232</v>
      </c>
      <c r="D816">
        <v>8.1800003051757795</v>
      </c>
      <c r="E816">
        <v>8.1800003051757795</v>
      </c>
      <c r="F816">
        <v>0</v>
      </c>
      <c r="G816">
        <v>6.2399997711181596</v>
      </c>
      <c r="H816">
        <v>0.230000004172325</v>
      </c>
      <c r="I816">
        <v>1.70000004768372</v>
      </c>
      <c r="J816">
        <v>0</v>
      </c>
      <c r="K816">
        <v>45</v>
      </c>
      <c r="L816">
        <v>5</v>
      </c>
      <c r="M816">
        <v>104</v>
      </c>
      <c r="N816">
        <v>1286</v>
      </c>
      <c r="O816">
        <v>2008</v>
      </c>
    </row>
    <row r="817" spans="1:15">
      <c r="A817">
        <v>8253242879</v>
      </c>
      <c r="B817" s="1">
        <v>42488</v>
      </c>
      <c r="C817">
        <v>2718</v>
      </c>
      <c r="D817">
        <v>1.79999995231628</v>
      </c>
      <c r="E817">
        <v>1.79999995231628</v>
      </c>
      <c r="F817">
        <v>0</v>
      </c>
      <c r="G817">
        <v>0.67000001668930098</v>
      </c>
      <c r="H817">
        <v>0.77999997138977095</v>
      </c>
      <c r="I817">
        <v>0.34000000357627902</v>
      </c>
      <c r="J817">
        <v>0</v>
      </c>
      <c r="K817">
        <v>11</v>
      </c>
      <c r="L817">
        <v>16</v>
      </c>
      <c r="M817">
        <v>20</v>
      </c>
      <c r="N817">
        <v>1393</v>
      </c>
      <c r="O817">
        <v>1580</v>
      </c>
    </row>
    <row r="818" spans="1:15">
      <c r="A818">
        <v>8253242879</v>
      </c>
      <c r="B818" s="1">
        <v>42489</v>
      </c>
      <c r="C818">
        <v>6260</v>
      </c>
      <c r="D818">
        <v>4.2600002288818404</v>
      </c>
      <c r="E818">
        <v>4.2600002288818404</v>
      </c>
      <c r="F818">
        <v>0</v>
      </c>
      <c r="G818">
        <v>1.28999996185303</v>
      </c>
      <c r="H818">
        <v>0.54000002145767201</v>
      </c>
      <c r="I818">
        <v>2.4000000953674299</v>
      </c>
      <c r="J818">
        <v>0</v>
      </c>
      <c r="K818">
        <v>16</v>
      </c>
      <c r="L818">
        <v>14</v>
      </c>
      <c r="M818">
        <v>136</v>
      </c>
      <c r="N818">
        <v>1257</v>
      </c>
      <c r="O818">
        <v>1854</v>
      </c>
    </row>
    <row r="819" spans="1:15">
      <c r="A819">
        <v>8253242879</v>
      </c>
      <c r="B819" s="1">
        <v>42490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1440</v>
      </c>
      <c r="O819">
        <v>0</v>
      </c>
    </row>
    <row r="820" spans="1:15">
      <c r="A820">
        <v>8378563200</v>
      </c>
      <c r="B820" s="1">
        <v>42472</v>
      </c>
      <c r="C820">
        <v>7626</v>
      </c>
      <c r="D820">
        <v>6.0500001907348597</v>
      </c>
      <c r="E820">
        <v>6.0500001907348597</v>
      </c>
      <c r="F820">
        <v>2.2530810832977299</v>
      </c>
      <c r="G820">
        <v>0.82999998331069902</v>
      </c>
      <c r="H820">
        <v>0.70999997854232799</v>
      </c>
      <c r="I820">
        <v>4.5</v>
      </c>
      <c r="J820">
        <v>0</v>
      </c>
      <c r="K820">
        <v>65</v>
      </c>
      <c r="L820">
        <v>15</v>
      </c>
      <c r="M820">
        <v>156</v>
      </c>
      <c r="N820">
        <v>723</v>
      </c>
      <c r="O820">
        <v>3635</v>
      </c>
    </row>
    <row r="821" spans="1:15">
      <c r="A821">
        <v>8378563200</v>
      </c>
      <c r="B821" s="1">
        <v>42473</v>
      </c>
      <c r="C821">
        <v>12386</v>
      </c>
      <c r="D821">
        <v>9.8199996948242205</v>
      </c>
      <c r="E821">
        <v>9.8199996948242205</v>
      </c>
      <c r="F821">
        <v>2.0921471118927002</v>
      </c>
      <c r="G821">
        <v>4.96000003814697</v>
      </c>
      <c r="H821">
        <v>0.64999997615814198</v>
      </c>
      <c r="I821">
        <v>4.21000003814697</v>
      </c>
      <c r="J821">
        <v>0</v>
      </c>
      <c r="K821">
        <v>116</v>
      </c>
      <c r="L821">
        <v>14</v>
      </c>
      <c r="M821">
        <v>169</v>
      </c>
      <c r="N821">
        <v>680</v>
      </c>
      <c r="O821">
        <v>4079</v>
      </c>
    </row>
    <row r="822" spans="1:15">
      <c r="A822">
        <v>8378563200</v>
      </c>
      <c r="B822" s="1">
        <v>42474</v>
      </c>
      <c r="C822">
        <v>13318</v>
      </c>
      <c r="D822">
        <v>10.560000419616699</v>
      </c>
      <c r="E822">
        <v>10.560000419616699</v>
      </c>
      <c r="F822">
        <v>2.2530810832977299</v>
      </c>
      <c r="G822">
        <v>5.6199998855590803</v>
      </c>
      <c r="H822">
        <v>1.0299999713897701</v>
      </c>
      <c r="I822">
        <v>3.9100000858306898</v>
      </c>
      <c r="J822">
        <v>0</v>
      </c>
      <c r="K822">
        <v>123</v>
      </c>
      <c r="L822">
        <v>21</v>
      </c>
      <c r="M822">
        <v>174</v>
      </c>
      <c r="N822">
        <v>699</v>
      </c>
      <c r="O822">
        <v>4163</v>
      </c>
    </row>
    <row r="823" spans="1:15">
      <c r="A823">
        <v>8378563200</v>
      </c>
      <c r="B823" s="1">
        <v>42475</v>
      </c>
      <c r="C823">
        <v>14461</v>
      </c>
      <c r="D823">
        <v>11.4700002670288</v>
      </c>
      <c r="E823">
        <v>11.4700002670288</v>
      </c>
      <c r="F823">
        <v>0</v>
      </c>
      <c r="G823">
        <v>4.9099998474121103</v>
      </c>
      <c r="H823">
        <v>1.1499999761581401</v>
      </c>
      <c r="I823">
        <v>5.4099998474121103</v>
      </c>
      <c r="J823">
        <v>0</v>
      </c>
      <c r="K823">
        <v>60</v>
      </c>
      <c r="L823">
        <v>23</v>
      </c>
      <c r="M823">
        <v>190</v>
      </c>
      <c r="N823">
        <v>729</v>
      </c>
      <c r="O823">
        <v>3666</v>
      </c>
    </row>
    <row r="824" spans="1:15">
      <c r="A824">
        <v>8378563200</v>
      </c>
      <c r="B824" s="1">
        <v>42476</v>
      </c>
      <c r="C824">
        <v>11207</v>
      </c>
      <c r="D824">
        <v>8.8900003433227504</v>
      </c>
      <c r="E824">
        <v>8.8900003433227504</v>
      </c>
      <c r="F824">
        <v>0</v>
      </c>
      <c r="G824">
        <v>5.3699998855590803</v>
      </c>
      <c r="H824">
        <v>1.0700000524520901</v>
      </c>
      <c r="I824">
        <v>2.4400000572204599</v>
      </c>
      <c r="J824">
        <v>0</v>
      </c>
      <c r="K824">
        <v>64</v>
      </c>
      <c r="L824">
        <v>21</v>
      </c>
      <c r="M824">
        <v>142</v>
      </c>
      <c r="N824">
        <v>563</v>
      </c>
      <c r="O824">
        <v>3363</v>
      </c>
    </row>
    <row r="825" spans="1:15">
      <c r="A825">
        <v>8378563200</v>
      </c>
      <c r="B825" s="1">
        <v>42477</v>
      </c>
      <c r="C825">
        <v>2132</v>
      </c>
      <c r="D825">
        <v>1.6900000572204601</v>
      </c>
      <c r="E825">
        <v>1.6900000572204601</v>
      </c>
      <c r="F825">
        <v>0</v>
      </c>
      <c r="G825">
        <v>0</v>
      </c>
      <c r="H825">
        <v>0</v>
      </c>
      <c r="I825">
        <v>1.6900000572204601</v>
      </c>
      <c r="J825">
        <v>0</v>
      </c>
      <c r="K825">
        <v>0</v>
      </c>
      <c r="L825">
        <v>0</v>
      </c>
      <c r="M825">
        <v>93</v>
      </c>
      <c r="N825">
        <v>599</v>
      </c>
      <c r="O825">
        <v>2572</v>
      </c>
    </row>
    <row r="826" spans="1:15">
      <c r="A826">
        <v>8378563200</v>
      </c>
      <c r="B826" s="1">
        <v>42478</v>
      </c>
      <c r="C826">
        <v>13630</v>
      </c>
      <c r="D826">
        <v>10.810000419616699</v>
      </c>
      <c r="E826">
        <v>10.810000419616699</v>
      </c>
      <c r="F826">
        <v>2.0921471118927002</v>
      </c>
      <c r="G826">
        <v>5.0500001907348597</v>
      </c>
      <c r="H826">
        <v>0.56000000238418601</v>
      </c>
      <c r="I826">
        <v>5.1999998092651403</v>
      </c>
      <c r="J826">
        <v>0</v>
      </c>
      <c r="K826">
        <v>117</v>
      </c>
      <c r="L826">
        <v>10</v>
      </c>
      <c r="M826">
        <v>174</v>
      </c>
      <c r="N826">
        <v>720</v>
      </c>
      <c r="O826">
        <v>4157</v>
      </c>
    </row>
    <row r="827" spans="1:15">
      <c r="A827">
        <v>8378563200</v>
      </c>
      <c r="B827" s="1">
        <v>42479</v>
      </c>
      <c r="C827">
        <v>13070</v>
      </c>
      <c r="D827">
        <v>10.3599996566772</v>
      </c>
      <c r="E827">
        <v>10.3599996566772</v>
      </c>
      <c r="F827">
        <v>2.2530810832977299</v>
      </c>
      <c r="G827">
        <v>5.3000001907348597</v>
      </c>
      <c r="H827">
        <v>0.87999999523162797</v>
      </c>
      <c r="I827">
        <v>4.1799998283386204</v>
      </c>
      <c r="J827">
        <v>0</v>
      </c>
      <c r="K827">
        <v>120</v>
      </c>
      <c r="L827">
        <v>19</v>
      </c>
      <c r="M827">
        <v>154</v>
      </c>
      <c r="N827">
        <v>737</v>
      </c>
      <c r="O827">
        <v>4092</v>
      </c>
    </row>
    <row r="828" spans="1:15">
      <c r="A828">
        <v>8378563200</v>
      </c>
      <c r="B828" s="1">
        <v>42480</v>
      </c>
      <c r="C828">
        <v>9388</v>
      </c>
      <c r="D828">
        <v>7.4400000572204599</v>
      </c>
      <c r="E828">
        <v>7.4400000572204599</v>
      </c>
      <c r="F828">
        <v>2.0921471118927002</v>
      </c>
      <c r="G828">
        <v>2.2300000190734899</v>
      </c>
      <c r="H828">
        <v>0.43999999761581399</v>
      </c>
      <c r="I828">
        <v>4.7800002098083496</v>
      </c>
      <c r="J828">
        <v>0</v>
      </c>
      <c r="K828">
        <v>82</v>
      </c>
      <c r="L828">
        <v>8</v>
      </c>
      <c r="M828">
        <v>169</v>
      </c>
      <c r="N828">
        <v>763</v>
      </c>
      <c r="O828">
        <v>3787</v>
      </c>
    </row>
    <row r="829" spans="1:15">
      <c r="A829">
        <v>8378563200</v>
      </c>
      <c r="B829" s="1">
        <v>42481</v>
      </c>
      <c r="C829">
        <v>15148</v>
      </c>
      <c r="D829">
        <v>12.0100002288818</v>
      </c>
      <c r="E829">
        <v>12.0100002288818</v>
      </c>
      <c r="F829">
        <v>2.2530810832977299</v>
      </c>
      <c r="G829">
        <v>6.9000000953674299</v>
      </c>
      <c r="H829">
        <v>0.81999999284744296</v>
      </c>
      <c r="I829">
        <v>4.28999996185303</v>
      </c>
      <c r="J829">
        <v>0</v>
      </c>
      <c r="K829">
        <v>137</v>
      </c>
      <c r="L829">
        <v>16</v>
      </c>
      <c r="M829">
        <v>145</v>
      </c>
      <c r="N829">
        <v>677</v>
      </c>
      <c r="O829">
        <v>4236</v>
      </c>
    </row>
    <row r="830" spans="1:15">
      <c r="A830">
        <v>8378563200</v>
      </c>
      <c r="B830" s="1">
        <v>42482</v>
      </c>
      <c r="C830">
        <v>12200</v>
      </c>
      <c r="D830">
        <v>9.6700000762939506</v>
      </c>
      <c r="E830">
        <v>9.6700000762939506</v>
      </c>
      <c r="F830">
        <v>2.0921471118927002</v>
      </c>
      <c r="G830">
        <v>4.9099998474121103</v>
      </c>
      <c r="H830">
        <v>0.58999997377395597</v>
      </c>
      <c r="I830">
        <v>4.1799998283386204</v>
      </c>
      <c r="J830">
        <v>0</v>
      </c>
      <c r="K830">
        <v>113</v>
      </c>
      <c r="L830">
        <v>12</v>
      </c>
      <c r="M830">
        <v>159</v>
      </c>
      <c r="N830">
        <v>769</v>
      </c>
      <c r="O830">
        <v>4044</v>
      </c>
    </row>
    <row r="831" spans="1:15">
      <c r="A831">
        <v>8378563200</v>
      </c>
      <c r="B831" s="1">
        <v>42483</v>
      </c>
      <c r="C831">
        <v>5709</v>
      </c>
      <c r="D831">
        <v>4.5300002098083496</v>
      </c>
      <c r="E831">
        <v>4.5300002098083496</v>
      </c>
      <c r="F831">
        <v>0</v>
      </c>
      <c r="G831">
        <v>1.5199999809265099</v>
      </c>
      <c r="H831">
        <v>0.519999980926514</v>
      </c>
      <c r="I831">
        <v>2.4800000190734899</v>
      </c>
      <c r="J831">
        <v>0</v>
      </c>
      <c r="K831">
        <v>19</v>
      </c>
      <c r="L831">
        <v>10</v>
      </c>
      <c r="M831">
        <v>136</v>
      </c>
      <c r="N831">
        <v>740</v>
      </c>
      <c r="O831">
        <v>2908</v>
      </c>
    </row>
    <row r="832" spans="1:15">
      <c r="A832">
        <v>8378563200</v>
      </c>
      <c r="B832" s="1">
        <v>42484</v>
      </c>
      <c r="C832">
        <v>3703</v>
      </c>
      <c r="D832">
        <v>2.9400000572204599</v>
      </c>
      <c r="E832">
        <v>2.9400000572204599</v>
      </c>
      <c r="F832">
        <v>0</v>
      </c>
      <c r="G832">
        <v>0</v>
      </c>
      <c r="H832">
        <v>0</v>
      </c>
      <c r="I832">
        <v>2.9400000572204599</v>
      </c>
      <c r="J832">
        <v>0</v>
      </c>
      <c r="K832">
        <v>0</v>
      </c>
      <c r="L832">
        <v>0</v>
      </c>
      <c r="M832">
        <v>135</v>
      </c>
      <c r="N832">
        <v>734</v>
      </c>
      <c r="O832">
        <v>2741</v>
      </c>
    </row>
    <row r="833" spans="1:15">
      <c r="A833">
        <v>8378563200</v>
      </c>
      <c r="B833" s="1">
        <v>42485</v>
      </c>
      <c r="C833">
        <v>12405</v>
      </c>
      <c r="D833">
        <v>9.8400001525878906</v>
      </c>
      <c r="E833">
        <v>9.8400001525878906</v>
      </c>
      <c r="F833">
        <v>2.0921471118927002</v>
      </c>
      <c r="G833">
        <v>5.0500001907348597</v>
      </c>
      <c r="H833">
        <v>0.87000000476837203</v>
      </c>
      <c r="I833">
        <v>3.9200000762939502</v>
      </c>
      <c r="J833">
        <v>0</v>
      </c>
      <c r="K833">
        <v>117</v>
      </c>
      <c r="L833">
        <v>16</v>
      </c>
      <c r="M833">
        <v>141</v>
      </c>
      <c r="N833">
        <v>692</v>
      </c>
      <c r="O833">
        <v>4005</v>
      </c>
    </row>
    <row r="834" spans="1:15">
      <c r="A834">
        <v>8378563200</v>
      </c>
      <c r="B834" s="1">
        <v>42486</v>
      </c>
      <c r="C834">
        <v>16208</v>
      </c>
      <c r="D834">
        <v>12.8500003814697</v>
      </c>
      <c r="E834">
        <v>12.8500003814697</v>
      </c>
      <c r="F834">
        <v>0</v>
      </c>
      <c r="G834">
        <v>7.5100002288818404</v>
      </c>
      <c r="H834">
        <v>0.92000001668930098</v>
      </c>
      <c r="I834">
        <v>4.4200000762939498</v>
      </c>
      <c r="J834">
        <v>0</v>
      </c>
      <c r="K834">
        <v>90</v>
      </c>
      <c r="L834">
        <v>18</v>
      </c>
      <c r="M834">
        <v>161</v>
      </c>
      <c r="N834">
        <v>593</v>
      </c>
      <c r="O834">
        <v>3763</v>
      </c>
    </row>
    <row r="835" spans="1:15">
      <c r="A835">
        <v>8378563200</v>
      </c>
      <c r="B835" s="1">
        <v>42487</v>
      </c>
      <c r="C835">
        <v>7359</v>
      </c>
      <c r="D835">
        <v>5.8400001525878897</v>
      </c>
      <c r="E835">
        <v>5.8400001525878897</v>
      </c>
      <c r="F835">
        <v>0</v>
      </c>
      <c r="G835">
        <v>0.33000001311302202</v>
      </c>
      <c r="H835">
        <v>0.18000000715255701</v>
      </c>
      <c r="I835">
        <v>5.3299999237060502</v>
      </c>
      <c r="J835">
        <v>0</v>
      </c>
      <c r="K835">
        <v>4</v>
      </c>
      <c r="L835">
        <v>4</v>
      </c>
      <c r="M835">
        <v>192</v>
      </c>
      <c r="N835">
        <v>676</v>
      </c>
      <c r="O835">
        <v>3061</v>
      </c>
    </row>
    <row r="836" spans="1:15">
      <c r="A836">
        <v>8378563200</v>
      </c>
      <c r="B836" s="1">
        <v>42488</v>
      </c>
      <c r="C836">
        <v>5417</v>
      </c>
      <c r="D836">
        <v>4.3000001907348597</v>
      </c>
      <c r="E836">
        <v>4.3000001907348597</v>
      </c>
      <c r="F836">
        <v>0</v>
      </c>
      <c r="G836">
        <v>0.89999997615814198</v>
      </c>
      <c r="H836">
        <v>0.490000009536743</v>
      </c>
      <c r="I836">
        <v>2.9100000858306898</v>
      </c>
      <c r="J836">
        <v>0</v>
      </c>
      <c r="K836">
        <v>11</v>
      </c>
      <c r="L836">
        <v>10</v>
      </c>
      <c r="M836">
        <v>139</v>
      </c>
      <c r="N836">
        <v>711</v>
      </c>
      <c r="O836">
        <v>2884</v>
      </c>
    </row>
    <row r="837" spans="1:15">
      <c r="A837">
        <v>8378563200</v>
      </c>
      <c r="B837" s="1">
        <v>42489</v>
      </c>
      <c r="C837">
        <v>6175</v>
      </c>
      <c r="D837">
        <v>4.9000000953674299</v>
      </c>
      <c r="E837">
        <v>4.9000000953674299</v>
      </c>
      <c r="F837">
        <v>0</v>
      </c>
      <c r="G837">
        <v>0.25</v>
      </c>
      <c r="H837">
        <v>0.36000001430511502</v>
      </c>
      <c r="I837">
        <v>4.2699999809265101</v>
      </c>
      <c r="J837">
        <v>0</v>
      </c>
      <c r="K837">
        <v>3</v>
      </c>
      <c r="L837">
        <v>7</v>
      </c>
      <c r="M837">
        <v>172</v>
      </c>
      <c r="N837">
        <v>767</v>
      </c>
      <c r="O837">
        <v>2982</v>
      </c>
    </row>
    <row r="838" spans="1:15">
      <c r="A838">
        <v>8378563200</v>
      </c>
      <c r="B838" s="1">
        <v>42490</v>
      </c>
      <c r="C838">
        <v>2946</v>
      </c>
      <c r="D838">
        <v>2.3399999141693102</v>
      </c>
      <c r="E838">
        <v>2.3399999141693102</v>
      </c>
      <c r="F838">
        <v>0</v>
      </c>
      <c r="G838">
        <v>0</v>
      </c>
      <c r="H838">
        <v>0</v>
      </c>
      <c r="I838">
        <v>2.3399999141693102</v>
      </c>
      <c r="J838">
        <v>0</v>
      </c>
      <c r="K838">
        <v>0</v>
      </c>
      <c r="L838">
        <v>0</v>
      </c>
      <c r="M838">
        <v>121</v>
      </c>
      <c r="N838">
        <v>780</v>
      </c>
      <c r="O838">
        <v>2660</v>
      </c>
    </row>
    <row r="839" spans="1:15">
      <c r="A839">
        <v>8378563200</v>
      </c>
      <c r="B839" s="1">
        <v>42491</v>
      </c>
      <c r="C839">
        <v>11419</v>
      </c>
      <c r="D839">
        <v>9.0600004196166992</v>
      </c>
      <c r="E839">
        <v>9.0600004196166992</v>
      </c>
      <c r="F839">
        <v>0</v>
      </c>
      <c r="G839">
        <v>6.0300002098083496</v>
      </c>
      <c r="H839">
        <v>0.56000000238418601</v>
      </c>
      <c r="I839">
        <v>2.4700000286102299</v>
      </c>
      <c r="J839">
        <v>0</v>
      </c>
      <c r="K839">
        <v>71</v>
      </c>
      <c r="L839">
        <v>10</v>
      </c>
      <c r="M839">
        <v>127</v>
      </c>
      <c r="N839">
        <v>669</v>
      </c>
      <c r="O839">
        <v>3369</v>
      </c>
    </row>
    <row r="840" spans="1:15">
      <c r="A840">
        <v>8378563200</v>
      </c>
      <c r="B840" s="1">
        <v>42492</v>
      </c>
      <c r="C840">
        <v>6064</v>
      </c>
      <c r="D840">
        <v>4.8099999427795401</v>
      </c>
      <c r="E840">
        <v>4.8099999427795401</v>
      </c>
      <c r="F840">
        <v>2.0921471118927002</v>
      </c>
      <c r="G840">
        <v>0.62999999523162797</v>
      </c>
      <c r="H840">
        <v>0.17000000178813901</v>
      </c>
      <c r="I840">
        <v>4.0100002288818404</v>
      </c>
      <c r="J840">
        <v>0</v>
      </c>
      <c r="K840">
        <v>63</v>
      </c>
      <c r="L840">
        <v>4</v>
      </c>
      <c r="M840">
        <v>142</v>
      </c>
      <c r="N840">
        <v>802</v>
      </c>
      <c r="O840">
        <v>3491</v>
      </c>
    </row>
    <row r="841" spans="1:15">
      <c r="A841">
        <v>8378563200</v>
      </c>
      <c r="B841" s="1">
        <v>42493</v>
      </c>
      <c r="C841">
        <v>8712</v>
      </c>
      <c r="D841">
        <v>6.9099998474121103</v>
      </c>
      <c r="E841">
        <v>6.9099998474121103</v>
      </c>
      <c r="F841">
        <v>2.2530810832977299</v>
      </c>
      <c r="G841">
        <v>1.3400000333786</v>
      </c>
      <c r="H841">
        <v>1.0599999427795399</v>
      </c>
      <c r="I841">
        <v>4.5</v>
      </c>
      <c r="J841">
        <v>0</v>
      </c>
      <c r="K841">
        <v>71</v>
      </c>
      <c r="L841">
        <v>20</v>
      </c>
      <c r="M841">
        <v>195</v>
      </c>
      <c r="N841">
        <v>822</v>
      </c>
      <c r="O841">
        <v>3784</v>
      </c>
    </row>
    <row r="842" spans="1:15">
      <c r="A842">
        <v>8378563200</v>
      </c>
      <c r="B842" s="1">
        <v>42494</v>
      </c>
      <c r="C842">
        <v>7875</v>
      </c>
      <c r="D842">
        <v>6.2399997711181596</v>
      </c>
      <c r="E842">
        <v>6.2399997711181596</v>
      </c>
      <c r="F842">
        <v>0</v>
      </c>
      <c r="G842">
        <v>1.5599999427795399</v>
      </c>
      <c r="H842">
        <v>0.490000009536743</v>
      </c>
      <c r="I842">
        <v>4.1999998092651403</v>
      </c>
      <c r="J842">
        <v>0</v>
      </c>
      <c r="K842">
        <v>19</v>
      </c>
      <c r="L842">
        <v>10</v>
      </c>
      <c r="M842">
        <v>167</v>
      </c>
      <c r="N842">
        <v>680</v>
      </c>
      <c r="O842">
        <v>3110</v>
      </c>
    </row>
    <row r="843" spans="1:15">
      <c r="A843">
        <v>8378563200</v>
      </c>
      <c r="B843" s="1">
        <v>42495</v>
      </c>
      <c r="C843">
        <v>8567</v>
      </c>
      <c r="D843">
        <v>6.78999996185303</v>
      </c>
      <c r="E843">
        <v>6.78999996185303</v>
      </c>
      <c r="F843">
        <v>2.2530810832977299</v>
      </c>
      <c r="G843">
        <v>0.88999998569488503</v>
      </c>
      <c r="H843">
        <v>0.15999999642372101</v>
      </c>
      <c r="I843">
        <v>5.7399997711181596</v>
      </c>
      <c r="J843">
        <v>0</v>
      </c>
      <c r="K843">
        <v>66</v>
      </c>
      <c r="L843">
        <v>3</v>
      </c>
      <c r="M843">
        <v>214</v>
      </c>
      <c r="N843">
        <v>764</v>
      </c>
      <c r="O843">
        <v>3783</v>
      </c>
    </row>
    <row r="844" spans="1:15">
      <c r="A844">
        <v>8378563200</v>
      </c>
      <c r="B844" s="1">
        <v>42496</v>
      </c>
      <c r="C844">
        <v>7045</v>
      </c>
      <c r="D844">
        <v>5.5900001525878897</v>
      </c>
      <c r="E844">
        <v>5.5900001525878897</v>
      </c>
      <c r="F844">
        <v>2.0921471118927002</v>
      </c>
      <c r="G844">
        <v>1.54999995231628</v>
      </c>
      <c r="H844">
        <v>0.25</v>
      </c>
      <c r="I844">
        <v>3.7799999713897701</v>
      </c>
      <c r="J844">
        <v>0</v>
      </c>
      <c r="K844">
        <v>74</v>
      </c>
      <c r="L844">
        <v>5</v>
      </c>
      <c r="M844">
        <v>166</v>
      </c>
      <c r="N844">
        <v>831</v>
      </c>
      <c r="O844">
        <v>3644</v>
      </c>
    </row>
    <row r="845" spans="1:15">
      <c r="A845">
        <v>8378563200</v>
      </c>
      <c r="B845" s="1">
        <v>42497</v>
      </c>
      <c r="C845">
        <v>4468</v>
      </c>
      <c r="D845">
        <v>3.53999996185303</v>
      </c>
      <c r="E845">
        <v>3.53999996185303</v>
      </c>
      <c r="F845">
        <v>0</v>
      </c>
      <c r="G845">
        <v>0</v>
      </c>
      <c r="H845">
        <v>0</v>
      </c>
      <c r="I845">
        <v>3.53999996185303</v>
      </c>
      <c r="J845">
        <v>0</v>
      </c>
      <c r="K845">
        <v>0</v>
      </c>
      <c r="L845">
        <v>0</v>
      </c>
      <c r="M845">
        <v>158</v>
      </c>
      <c r="N845">
        <v>851</v>
      </c>
      <c r="O845">
        <v>2799</v>
      </c>
    </row>
    <row r="846" spans="1:15">
      <c r="A846">
        <v>8378563200</v>
      </c>
      <c r="B846" s="1">
        <v>42498</v>
      </c>
      <c r="C846">
        <v>2943</v>
      </c>
      <c r="D846">
        <v>2.3299999237060498</v>
      </c>
      <c r="E846">
        <v>2.3299999237060498</v>
      </c>
      <c r="F846">
        <v>0</v>
      </c>
      <c r="G846">
        <v>0</v>
      </c>
      <c r="H846">
        <v>0</v>
      </c>
      <c r="I846">
        <v>2.3299999237060498</v>
      </c>
      <c r="J846">
        <v>0</v>
      </c>
      <c r="K846">
        <v>0</v>
      </c>
      <c r="L846">
        <v>0</v>
      </c>
      <c r="M846">
        <v>139</v>
      </c>
      <c r="N846">
        <v>621</v>
      </c>
      <c r="O846">
        <v>2685</v>
      </c>
    </row>
    <row r="847" spans="1:15">
      <c r="A847">
        <v>8378563200</v>
      </c>
      <c r="B847" s="1">
        <v>42499</v>
      </c>
      <c r="C847">
        <v>8382</v>
      </c>
      <c r="D847">
        <v>6.6500000953674299</v>
      </c>
      <c r="E847">
        <v>6.6500000953674299</v>
      </c>
      <c r="F847">
        <v>2.0921471118927002</v>
      </c>
      <c r="G847">
        <v>1.2699999809265099</v>
      </c>
      <c r="H847">
        <v>0.66000002622604403</v>
      </c>
      <c r="I847">
        <v>4.7199997901916504</v>
      </c>
      <c r="J847">
        <v>0</v>
      </c>
      <c r="K847">
        <v>71</v>
      </c>
      <c r="L847">
        <v>13</v>
      </c>
      <c r="M847">
        <v>171</v>
      </c>
      <c r="N847">
        <v>772</v>
      </c>
      <c r="O847">
        <v>3721</v>
      </c>
    </row>
    <row r="848" spans="1:15">
      <c r="A848">
        <v>8378563200</v>
      </c>
      <c r="B848" s="1">
        <v>42500</v>
      </c>
      <c r="C848">
        <v>6582</v>
      </c>
      <c r="D848">
        <v>5.2199997901916504</v>
      </c>
      <c r="E848">
        <v>5.2199997901916504</v>
      </c>
      <c r="F848">
        <v>2.2530810832977299</v>
      </c>
      <c r="G848">
        <v>0.66000002622604403</v>
      </c>
      <c r="H848">
        <v>0.63999998569488503</v>
      </c>
      <c r="I848">
        <v>3.9200000762939502</v>
      </c>
      <c r="J848">
        <v>0</v>
      </c>
      <c r="K848">
        <v>63</v>
      </c>
      <c r="L848">
        <v>13</v>
      </c>
      <c r="M848">
        <v>152</v>
      </c>
      <c r="N848">
        <v>840</v>
      </c>
      <c r="O848">
        <v>3586</v>
      </c>
    </row>
    <row r="849" spans="1:15">
      <c r="A849">
        <v>8378563200</v>
      </c>
      <c r="B849" s="1">
        <v>42501</v>
      </c>
      <c r="C849">
        <v>9143</v>
      </c>
      <c r="D849">
        <v>7.25</v>
      </c>
      <c r="E849">
        <v>7.25</v>
      </c>
      <c r="F849">
        <v>2.0921471118927002</v>
      </c>
      <c r="G849">
        <v>1.3899999856948899</v>
      </c>
      <c r="H849">
        <v>0.58999997377395597</v>
      </c>
      <c r="I849">
        <v>5.2699999809265101</v>
      </c>
      <c r="J849">
        <v>0</v>
      </c>
      <c r="K849">
        <v>72</v>
      </c>
      <c r="L849">
        <v>10</v>
      </c>
      <c r="M849">
        <v>184</v>
      </c>
      <c r="N849">
        <v>763</v>
      </c>
      <c r="O849">
        <v>3788</v>
      </c>
    </row>
    <row r="850" spans="1:15">
      <c r="A850">
        <v>8378563200</v>
      </c>
      <c r="B850" s="1">
        <v>42502</v>
      </c>
      <c r="C850">
        <v>4561</v>
      </c>
      <c r="D850">
        <v>3.6199998855590798</v>
      </c>
      <c r="E850">
        <v>3.6199998855590798</v>
      </c>
      <c r="F850">
        <v>0</v>
      </c>
      <c r="G850">
        <v>0.64999997615814198</v>
      </c>
      <c r="H850">
        <v>0.270000010728836</v>
      </c>
      <c r="I850">
        <v>2.6900000572204599</v>
      </c>
      <c r="J850">
        <v>0</v>
      </c>
      <c r="K850">
        <v>8</v>
      </c>
      <c r="L850">
        <v>6</v>
      </c>
      <c r="M850">
        <v>102</v>
      </c>
      <c r="N850">
        <v>433</v>
      </c>
      <c r="O850">
        <v>1976</v>
      </c>
    </row>
    <row r="851" spans="1:15">
      <c r="A851">
        <v>8583815059</v>
      </c>
      <c r="B851" s="1">
        <v>42472</v>
      </c>
      <c r="C851">
        <v>5014</v>
      </c>
      <c r="D851">
        <v>3.9100000858306898</v>
      </c>
      <c r="E851">
        <v>3.9100000858306898</v>
      </c>
      <c r="F851">
        <v>0</v>
      </c>
      <c r="G851">
        <v>0</v>
      </c>
      <c r="H851">
        <v>0.33000001311302202</v>
      </c>
      <c r="I851">
        <v>3.5799999237060498</v>
      </c>
      <c r="J851">
        <v>0</v>
      </c>
      <c r="K851">
        <v>0</v>
      </c>
      <c r="L851">
        <v>7</v>
      </c>
      <c r="M851">
        <v>196</v>
      </c>
      <c r="N851">
        <v>1237</v>
      </c>
      <c r="O851">
        <v>2650</v>
      </c>
    </row>
    <row r="852" spans="1:15">
      <c r="A852">
        <v>8583815059</v>
      </c>
      <c r="B852" s="1">
        <v>42473</v>
      </c>
      <c r="C852">
        <v>5571</v>
      </c>
      <c r="D852">
        <v>4.3499999046325701</v>
      </c>
      <c r="E852">
        <v>4.3499999046325701</v>
      </c>
      <c r="F852">
        <v>0</v>
      </c>
      <c r="G852">
        <v>0.15000000596046401</v>
      </c>
      <c r="H852">
        <v>0.97000002861022905</v>
      </c>
      <c r="I852">
        <v>3.2300000190734899</v>
      </c>
      <c r="J852">
        <v>0</v>
      </c>
      <c r="K852">
        <v>2</v>
      </c>
      <c r="L852">
        <v>23</v>
      </c>
      <c r="M852">
        <v>163</v>
      </c>
      <c r="N852">
        <v>1252</v>
      </c>
      <c r="O852">
        <v>2654</v>
      </c>
    </row>
    <row r="853" spans="1:15">
      <c r="A853">
        <v>8583815059</v>
      </c>
      <c r="B853" s="1">
        <v>42474</v>
      </c>
      <c r="C853">
        <v>3135</v>
      </c>
      <c r="D853">
        <v>2.4500000476837198</v>
      </c>
      <c r="E853">
        <v>2.4500000476837198</v>
      </c>
      <c r="F853">
        <v>0</v>
      </c>
      <c r="G853">
        <v>0</v>
      </c>
      <c r="H853">
        <v>0</v>
      </c>
      <c r="I853">
        <v>2.4300000667571999</v>
      </c>
      <c r="J853">
        <v>0</v>
      </c>
      <c r="K853">
        <v>0</v>
      </c>
      <c r="L853">
        <v>0</v>
      </c>
      <c r="M853">
        <v>134</v>
      </c>
      <c r="N853">
        <v>1306</v>
      </c>
      <c r="O853">
        <v>2443</v>
      </c>
    </row>
    <row r="854" spans="1:15">
      <c r="A854">
        <v>8583815059</v>
      </c>
      <c r="B854" s="1">
        <v>42475</v>
      </c>
      <c r="C854">
        <v>3430</v>
      </c>
      <c r="D854">
        <v>2.6800000667571999</v>
      </c>
      <c r="E854">
        <v>2.6800000667571999</v>
      </c>
      <c r="F854">
        <v>0</v>
      </c>
      <c r="G854">
        <v>0</v>
      </c>
      <c r="H854">
        <v>0</v>
      </c>
      <c r="I854">
        <v>0.89999997615814198</v>
      </c>
      <c r="J854">
        <v>0</v>
      </c>
      <c r="K854">
        <v>0</v>
      </c>
      <c r="L854">
        <v>0</v>
      </c>
      <c r="M854">
        <v>65</v>
      </c>
      <c r="N854">
        <v>1375</v>
      </c>
      <c r="O854">
        <v>2505</v>
      </c>
    </row>
    <row r="855" spans="1:15">
      <c r="A855">
        <v>8583815059</v>
      </c>
      <c r="B855" s="1">
        <v>42476</v>
      </c>
      <c r="C855">
        <v>5319</v>
      </c>
      <c r="D855">
        <v>4.1500000953674299</v>
      </c>
      <c r="E855">
        <v>4.1500000953674299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1440</v>
      </c>
      <c r="O855">
        <v>2693</v>
      </c>
    </row>
    <row r="856" spans="1:15">
      <c r="A856">
        <v>8583815059</v>
      </c>
      <c r="B856" s="1">
        <v>42477</v>
      </c>
      <c r="C856">
        <v>3008</v>
      </c>
      <c r="D856">
        <v>2.3499999046325701</v>
      </c>
      <c r="E856">
        <v>2.3499999046325701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1440</v>
      </c>
      <c r="O856">
        <v>2439</v>
      </c>
    </row>
    <row r="857" spans="1:15">
      <c r="A857">
        <v>8583815059</v>
      </c>
      <c r="B857" s="1">
        <v>42478</v>
      </c>
      <c r="C857">
        <v>3864</v>
      </c>
      <c r="D857">
        <v>3.0099999904632599</v>
      </c>
      <c r="E857">
        <v>3.0099999904632599</v>
      </c>
      <c r="F857">
        <v>0</v>
      </c>
      <c r="G857">
        <v>0.31000000238418601</v>
      </c>
      <c r="H857">
        <v>1.0599999427795399</v>
      </c>
      <c r="I857">
        <v>1.3500000238418599</v>
      </c>
      <c r="J857">
        <v>0</v>
      </c>
      <c r="K857">
        <v>4</v>
      </c>
      <c r="L857">
        <v>22</v>
      </c>
      <c r="M857">
        <v>105</v>
      </c>
      <c r="N857">
        <v>1309</v>
      </c>
      <c r="O857">
        <v>2536</v>
      </c>
    </row>
    <row r="858" spans="1:15">
      <c r="A858">
        <v>8583815059</v>
      </c>
      <c r="B858" s="1">
        <v>42479</v>
      </c>
      <c r="C858">
        <v>5697</v>
      </c>
      <c r="D858">
        <v>4.4400000572204599</v>
      </c>
      <c r="E858">
        <v>4.4400000572204599</v>
      </c>
      <c r="F858">
        <v>0</v>
      </c>
      <c r="G858">
        <v>0.52999997138977095</v>
      </c>
      <c r="H858">
        <v>0.479999989271164</v>
      </c>
      <c r="I858">
        <v>3.4400000572204599</v>
      </c>
      <c r="J858">
        <v>0</v>
      </c>
      <c r="K858">
        <v>7</v>
      </c>
      <c r="L858">
        <v>10</v>
      </c>
      <c r="M858">
        <v>166</v>
      </c>
      <c r="N858">
        <v>1257</v>
      </c>
      <c r="O858">
        <v>2668</v>
      </c>
    </row>
    <row r="859" spans="1:15">
      <c r="A859">
        <v>8583815059</v>
      </c>
      <c r="B859" s="1">
        <v>42480</v>
      </c>
      <c r="C859">
        <v>5273</v>
      </c>
      <c r="D859">
        <v>4.1100001335143999</v>
      </c>
      <c r="E859">
        <v>4.1100001335143999</v>
      </c>
      <c r="F859">
        <v>0</v>
      </c>
      <c r="G859">
        <v>0</v>
      </c>
      <c r="H859">
        <v>1.03999996185303</v>
      </c>
      <c r="I859">
        <v>3.0699999332428001</v>
      </c>
      <c r="J859">
        <v>0</v>
      </c>
      <c r="K859">
        <v>0</v>
      </c>
      <c r="L859">
        <v>27</v>
      </c>
      <c r="M859">
        <v>167</v>
      </c>
      <c r="N859">
        <v>1246</v>
      </c>
      <c r="O859">
        <v>2647</v>
      </c>
    </row>
    <row r="860" spans="1:15">
      <c r="A860">
        <v>8583815059</v>
      </c>
      <c r="B860" s="1">
        <v>42481</v>
      </c>
      <c r="C860">
        <v>8538</v>
      </c>
      <c r="D860">
        <v>6.6599998474121103</v>
      </c>
      <c r="E860">
        <v>6.6599998474121103</v>
      </c>
      <c r="F860">
        <v>0</v>
      </c>
      <c r="G860">
        <v>2.6300001144409202</v>
      </c>
      <c r="H860">
        <v>1.0199999809265099</v>
      </c>
      <c r="I860">
        <v>3.0099999904632599</v>
      </c>
      <c r="J860">
        <v>0</v>
      </c>
      <c r="K860">
        <v>35</v>
      </c>
      <c r="L860">
        <v>18</v>
      </c>
      <c r="M860">
        <v>158</v>
      </c>
      <c r="N860">
        <v>1229</v>
      </c>
      <c r="O860">
        <v>2883</v>
      </c>
    </row>
    <row r="861" spans="1:15">
      <c r="A861">
        <v>8583815059</v>
      </c>
      <c r="B861" s="1">
        <v>42482</v>
      </c>
      <c r="C861">
        <v>8687</v>
      </c>
      <c r="D861">
        <v>6.7800002098083496</v>
      </c>
      <c r="E861">
        <v>6.7800002098083496</v>
      </c>
      <c r="F861">
        <v>0</v>
      </c>
      <c r="G861">
        <v>0.28999999165535001</v>
      </c>
      <c r="H861">
        <v>2.4100000858306898</v>
      </c>
      <c r="I861">
        <v>4.0799999237060502</v>
      </c>
      <c r="J861">
        <v>0</v>
      </c>
      <c r="K861">
        <v>4</v>
      </c>
      <c r="L861">
        <v>54</v>
      </c>
      <c r="M861">
        <v>212</v>
      </c>
      <c r="N861">
        <v>1170</v>
      </c>
      <c r="O861">
        <v>2944</v>
      </c>
    </row>
    <row r="862" spans="1:15">
      <c r="A862">
        <v>8583815059</v>
      </c>
      <c r="B862" s="1">
        <v>42483</v>
      </c>
      <c r="C862">
        <v>9423</v>
      </c>
      <c r="D862">
        <v>7.3499999046325701</v>
      </c>
      <c r="E862">
        <v>7.3499999046325701</v>
      </c>
      <c r="F862">
        <v>0</v>
      </c>
      <c r="G862">
        <v>0.52999997138977095</v>
      </c>
      <c r="H862">
        <v>2.0299999713897701</v>
      </c>
      <c r="I862">
        <v>4.75</v>
      </c>
      <c r="J862">
        <v>0</v>
      </c>
      <c r="K862">
        <v>7</v>
      </c>
      <c r="L862">
        <v>44</v>
      </c>
      <c r="M862">
        <v>238</v>
      </c>
      <c r="N862">
        <v>1151</v>
      </c>
      <c r="O862">
        <v>3012</v>
      </c>
    </row>
    <row r="863" spans="1:15">
      <c r="A863">
        <v>8583815059</v>
      </c>
      <c r="B863" s="1">
        <v>42484</v>
      </c>
      <c r="C863">
        <v>8286</v>
      </c>
      <c r="D863">
        <v>6.46000003814697</v>
      </c>
      <c r="E863">
        <v>6.46000003814697</v>
      </c>
      <c r="F863">
        <v>0</v>
      </c>
      <c r="G863">
        <v>0.15000000596046401</v>
      </c>
      <c r="H863">
        <v>2.0499999523162802</v>
      </c>
      <c r="I863">
        <v>4.2699999809265101</v>
      </c>
      <c r="J863">
        <v>0</v>
      </c>
      <c r="K863">
        <v>2</v>
      </c>
      <c r="L863">
        <v>44</v>
      </c>
      <c r="M863">
        <v>206</v>
      </c>
      <c r="N863">
        <v>1188</v>
      </c>
      <c r="O863">
        <v>2889</v>
      </c>
    </row>
    <row r="864" spans="1:15">
      <c r="A864">
        <v>8583815059</v>
      </c>
      <c r="B864" s="1">
        <v>42485</v>
      </c>
      <c r="C864">
        <v>4503</v>
      </c>
      <c r="D864">
        <v>3.5099999904632599</v>
      </c>
      <c r="E864">
        <v>3.5099999904632599</v>
      </c>
      <c r="F864">
        <v>0</v>
      </c>
      <c r="G864">
        <v>1.4700000286102299</v>
      </c>
      <c r="H864">
        <v>0.239999994635582</v>
      </c>
      <c r="I864">
        <v>1.8099999427795399</v>
      </c>
      <c r="J864">
        <v>0</v>
      </c>
      <c r="K864">
        <v>18</v>
      </c>
      <c r="L864">
        <v>6</v>
      </c>
      <c r="M864">
        <v>122</v>
      </c>
      <c r="N864">
        <v>1294</v>
      </c>
      <c r="O864">
        <v>2547</v>
      </c>
    </row>
    <row r="865" spans="1:15">
      <c r="A865">
        <v>8583815059</v>
      </c>
      <c r="B865" s="1">
        <v>42486</v>
      </c>
      <c r="C865">
        <v>10499</v>
      </c>
      <c r="D865">
        <v>8.1899995803833008</v>
      </c>
      <c r="E865">
        <v>8.1899995803833008</v>
      </c>
      <c r="F865">
        <v>0</v>
      </c>
      <c r="G865">
        <v>7.0000000298023196E-2</v>
      </c>
      <c r="H865">
        <v>4.2199997901916504</v>
      </c>
      <c r="I865">
        <v>3.8900001049041699</v>
      </c>
      <c r="J865">
        <v>0</v>
      </c>
      <c r="K865">
        <v>1</v>
      </c>
      <c r="L865">
        <v>91</v>
      </c>
      <c r="M865">
        <v>214</v>
      </c>
      <c r="N865">
        <v>1134</v>
      </c>
      <c r="O865">
        <v>3093</v>
      </c>
    </row>
    <row r="866" spans="1:15">
      <c r="A866">
        <v>8583815059</v>
      </c>
      <c r="B866" s="1">
        <v>42487</v>
      </c>
      <c r="C866">
        <v>12474</v>
      </c>
      <c r="D866">
        <v>9.7299995422363299</v>
      </c>
      <c r="E866">
        <v>9.7299995422363299</v>
      </c>
      <c r="F866">
        <v>0</v>
      </c>
      <c r="G866">
        <v>6.5999999046325701</v>
      </c>
      <c r="H866">
        <v>0.270000010728836</v>
      </c>
      <c r="I866">
        <v>2.8699998855590798</v>
      </c>
      <c r="J866">
        <v>0</v>
      </c>
      <c r="K866">
        <v>77</v>
      </c>
      <c r="L866">
        <v>5</v>
      </c>
      <c r="M866">
        <v>129</v>
      </c>
      <c r="N866">
        <v>1229</v>
      </c>
      <c r="O866">
        <v>3142</v>
      </c>
    </row>
    <row r="867" spans="1:15">
      <c r="A867">
        <v>8583815059</v>
      </c>
      <c r="B867" s="1">
        <v>42488</v>
      </c>
      <c r="C867">
        <v>6174</v>
      </c>
      <c r="D867">
        <v>4.8200001716613796</v>
      </c>
      <c r="E867">
        <v>4.8200001716613796</v>
      </c>
      <c r="F867">
        <v>0</v>
      </c>
      <c r="G867">
        <v>0</v>
      </c>
      <c r="H867">
        <v>1.20000004768372</v>
      </c>
      <c r="I867">
        <v>3.6099998950958301</v>
      </c>
      <c r="J867">
        <v>0</v>
      </c>
      <c r="K867">
        <v>0</v>
      </c>
      <c r="L867">
        <v>28</v>
      </c>
      <c r="M867">
        <v>203</v>
      </c>
      <c r="N867">
        <v>1209</v>
      </c>
      <c r="O867">
        <v>2757</v>
      </c>
    </row>
    <row r="868" spans="1:15">
      <c r="A868">
        <v>8583815059</v>
      </c>
      <c r="B868" s="1">
        <v>42489</v>
      </c>
      <c r="C868">
        <v>15168</v>
      </c>
      <c r="D868">
        <v>11.829999923706101</v>
      </c>
      <c r="E868">
        <v>11.829999923706101</v>
      </c>
      <c r="F868">
        <v>0</v>
      </c>
      <c r="G868">
        <v>3.9000000953674299</v>
      </c>
      <c r="H868">
        <v>3</v>
      </c>
      <c r="I868">
        <v>4.9200000762939498</v>
      </c>
      <c r="J868">
        <v>0</v>
      </c>
      <c r="K868">
        <v>46</v>
      </c>
      <c r="L868">
        <v>67</v>
      </c>
      <c r="M868">
        <v>258</v>
      </c>
      <c r="N868">
        <v>1069</v>
      </c>
      <c r="O868">
        <v>3513</v>
      </c>
    </row>
    <row r="869" spans="1:15">
      <c r="A869">
        <v>8583815059</v>
      </c>
      <c r="B869" s="1">
        <v>42490</v>
      </c>
      <c r="C869">
        <v>10085</v>
      </c>
      <c r="D869">
        <v>7.8699998855590803</v>
      </c>
      <c r="E869">
        <v>7.8699998855590803</v>
      </c>
      <c r="F869">
        <v>0</v>
      </c>
      <c r="G869">
        <v>0.15000000596046401</v>
      </c>
      <c r="H869">
        <v>1.2799999713897701</v>
      </c>
      <c r="I869">
        <v>6.4299998283386204</v>
      </c>
      <c r="J869">
        <v>0</v>
      </c>
      <c r="K869">
        <v>2</v>
      </c>
      <c r="L869">
        <v>28</v>
      </c>
      <c r="M869">
        <v>317</v>
      </c>
      <c r="N869">
        <v>1093</v>
      </c>
      <c r="O869">
        <v>3164</v>
      </c>
    </row>
    <row r="870" spans="1:15">
      <c r="A870">
        <v>8583815059</v>
      </c>
      <c r="B870" s="1">
        <v>42491</v>
      </c>
      <c r="C870">
        <v>4512</v>
      </c>
      <c r="D870">
        <v>3.5199999809265101</v>
      </c>
      <c r="E870">
        <v>3.5199999809265101</v>
      </c>
      <c r="F870">
        <v>0</v>
      </c>
      <c r="G870">
        <v>0.77999997138977095</v>
      </c>
      <c r="H870">
        <v>0.119999997317791</v>
      </c>
      <c r="I870">
        <v>2.03999996185303</v>
      </c>
      <c r="J870">
        <v>0</v>
      </c>
      <c r="K870">
        <v>10</v>
      </c>
      <c r="L870">
        <v>2</v>
      </c>
      <c r="M870">
        <v>117</v>
      </c>
      <c r="N870">
        <v>1311</v>
      </c>
      <c r="O870">
        <v>2596</v>
      </c>
    </row>
    <row r="871" spans="1:15">
      <c r="A871">
        <v>8583815059</v>
      </c>
      <c r="B871" s="1">
        <v>42492</v>
      </c>
      <c r="C871">
        <v>8469</v>
      </c>
      <c r="D871">
        <v>6.6100001335143999</v>
      </c>
      <c r="E871">
        <v>6.6100001335143999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1440</v>
      </c>
      <c r="O871">
        <v>2894</v>
      </c>
    </row>
    <row r="872" spans="1:15">
      <c r="A872">
        <v>8583815059</v>
      </c>
      <c r="B872" s="1">
        <v>42493</v>
      </c>
      <c r="C872">
        <v>12015</v>
      </c>
      <c r="D872">
        <v>9.3699998855590803</v>
      </c>
      <c r="E872">
        <v>9.3699998855590803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1440</v>
      </c>
      <c r="O872">
        <v>3212</v>
      </c>
    </row>
    <row r="873" spans="1:15">
      <c r="A873">
        <v>8583815059</v>
      </c>
      <c r="B873" s="1">
        <v>42494</v>
      </c>
      <c r="C873">
        <v>3588</v>
      </c>
      <c r="D873">
        <v>2.7999999523162802</v>
      </c>
      <c r="E873">
        <v>2.7999999523162802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1440</v>
      </c>
      <c r="O873">
        <v>2516</v>
      </c>
    </row>
    <row r="874" spans="1:15">
      <c r="A874">
        <v>8583815059</v>
      </c>
      <c r="B874" s="1">
        <v>42495</v>
      </c>
      <c r="C874">
        <v>12427</v>
      </c>
      <c r="D874">
        <v>9.6899995803833008</v>
      </c>
      <c r="E874">
        <v>9.6899995803833008</v>
      </c>
      <c r="F874">
        <v>0</v>
      </c>
      <c r="G874">
        <v>0</v>
      </c>
      <c r="H874">
        <v>0</v>
      </c>
      <c r="I874">
        <v>1.1799999475479099</v>
      </c>
      <c r="J874">
        <v>0</v>
      </c>
      <c r="K874">
        <v>0</v>
      </c>
      <c r="L874">
        <v>0</v>
      </c>
      <c r="M874">
        <v>70</v>
      </c>
      <c r="N874">
        <v>1370</v>
      </c>
      <c r="O874">
        <v>3266</v>
      </c>
    </row>
    <row r="875" spans="1:15">
      <c r="A875">
        <v>8583815059</v>
      </c>
      <c r="B875" s="1">
        <v>42496</v>
      </c>
      <c r="C875">
        <v>5843</v>
      </c>
      <c r="D875">
        <v>4.5599999427795401</v>
      </c>
      <c r="E875">
        <v>4.5599999427795401</v>
      </c>
      <c r="F875">
        <v>0</v>
      </c>
      <c r="G875">
        <v>0.140000000596046</v>
      </c>
      <c r="H875">
        <v>1.1900000572204601</v>
      </c>
      <c r="I875">
        <v>3.2300000190734899</v>
      </c>
      <c r="J875">
        <v>0</v>
      </c>
      <c r="K875">
        <v>2</v>
      </c>
      <c r="L875">
        <v>22</v>
      </c>
      <c r="M875">
        <v>166</v>
      </c>
      <c r="N875">
        <v>1250</v>
      </c>
      <c r="O875">
        <v>2683</v>
      </c>
    </row>
    <row r="876" spans="1:15">
      <c r="A876">
        <v>8583815059</v>
      </c>
      <c r="B876" s="1">
        <v>42497</v>
      </c>
      <c r="C876">
        <v>6117</v>
      </c>
      <c r="D876">
        <v>4.7699999809265101</v>
      </c>
      <c r="E876">
        <v>4.7699999809265101</v>
      </c>
      <c r="F876">
        <v>0</v>
      </c>
      <c r="G876">
        <v>0</v>
      </c>
      <c r="H876">
        <v>0</v>
      </c>
      <c r="I876">
        <v>4.7699999809265101</v>
      </c>
      <c r="J876">
        <v>0</v>
      </c>
      <c r="K876">
        <v>0</v>
      </c>
      <c r="L876">
        <v>0</v>
      </c>
      <c r="M876">
        <v>250</v>
      </c>
      <c r="N876">
        <v>1190</v>
      </c>
      <c r="O876">
        <v>2810</v>
      </c>
    </row>
    <row r="877" spans="1:15">
      <c r="A877">
        <v>8583815059</v>
      </c>
      <c r="B877" s="1">
        <v>42498</v>
      </c>
      <c r="C877">
        <v>9217</v>
      </c>
      <c r="D877">
        <v>7.1900000572204599</v>
      </c>
      <c r="E877">
        <v>7.1900000572204599</v>
      </c>
      <c r="F877">
        <v>0</v>
      </c>
      <c r="G877">
        <v>0.21999999880790699</v>
      </c>
      <c r="H877">
        <v>3.3099999427795401</v>
      </c>
      <c r="I877">
        <v>3.6600000858306898</v>
      </c>
      <c r="J877">
        <v>0</v>
      </c>
      <c r="K877">
        <v>3</v>
      </c>
      <c r="L877">
        <v>72</v>
      </c>
      <c r="M877">
        <v>182</v>
      </c>
      <c r="N877">
        <v>1183</v>
      </c>
      <c r="O877">
        <v>2940</v>
      </c>
    </row>
    <row r="878" spans="1:15">
      <c r="A878">
        <v>8583815059</v>
      </c>
      <c r="B878" s="1">
        <v>42499</v>
      </c>
      <c r="C878">
        <v>9877</v>
      </c>
      <c r="D878">
        <v>7.6999998092651403</v>
      </c>
      <c r="E878">
        <v>7.6999998092651403</v>
      </c>
      <c r="F878">
        <v>0</v>
      </c>
      <c r="G878">
        <v>5.7600002288818404</v>
      </c>
      <c r="H878">
        <v>0.17000000178813901</v>
      </c>
      <c r="I878">
        <v>1.7300000190734901</v>
      </c>
      <c r="J878">
        <v>0</v>
      </c>
      <c r="K878">
        <v>66</v>
      </c>
      <c r="L878">
        <v>4</v>
      </c>
      <c r="M878">
        <v>110</v>
      </c>
      <c r="N878">
        <v>1260</v>
      </c>
      <c r="O878">
        <v>2947</v>
      </c>
    </row>
    <row r="879" spans="1:15">
      <c r="A879">
        <v>8583815059</v>
      </c>
      <c r="B879" s="1">
        <v>42500</v>
      </c>
      <c r="C879">
        <v>8240</v>
      </c>
      <c r="D879">
        <v>6.4299998283386204</v>
      </c>
      <c r="E879">
        <v>6.4299998283386204</v>
      </c>
      <c r="F879">
        <v>0</v>
      </c>
      <c r="G879">
        <v>0.68999999761581399</v>
      </c>
      <c r="H879">
        <v>2.0099999904632599</v>
      </c>
      <c r="I879">
        <v>3.7200000286102299</v>
      </c>
      <c r="J879">
        <v>0</v>
      </c>
      <c r="K879">
        <v>9</v>
      </c>
      <c r="L879">
        <v>43</v>
      </c>
      <c r="M879">
        <v>162</v>
      </c>
      <c r="N879">
        <v>1226</v>
      </c>
      <c r="O879">
        <v>2846</v>
      </c>
    </row>
    <row r="880" spans="1:15">
      <c r="A880">
        <v>8583815059</v>
      </c>
      <c r="B880" s="1">
        <v>42501</v>
      </c>
      <c r="C880">
        <v>8701</v>
      </c>
      <c r="D880">
        <v>6.78999996185303</v>
      </c>
      <c r="E880">
        <v>6.78999996185303</v>
      </c>
      <c r="F880">
        <v>0</v>
      </c>
      <c r="G880">
        <v>0.37000000476837203</v>
      </c>
      <c r="H880">
        <v>3.2400000095367401</v>
      </c>
      <c r="I880">
        <v>3.1700000762939502</v>
      </c>
      <c r="J880">
        <v>0</v>
      </c>
      <c r="K880">
        <v>5</v>
      </c>
      <c r="L880">
        <v>71</v>
      </c>
      <c r="M880">
        <v>177</v>
      </c>
      <c r="N880">
        <v>1106</v>
      </c>
      <c r="O880">
        <v>2804</v>
      </c>
    </row>
    <row r="881" spans="1:15">
      <c r="A881">
        <v>8583815059</v>
      </c>
      <c r="B881" s="1">
        <v>42502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1440</v>
      </c>
      <c r="O881">
        <v>0</v>
      </c>
    </row>
    <row r="882" spans="1:15">
      <c r="A882">
        <v>8792009665</v>
      </c>
      <c r="B882" s="1">
        <v>42472</v>
      </c>
      <c r="C882">
        <v>2564</v>
      </c>
      <c r="D882">
        <v>1.6399999856948899</v>
      </c>
      <c r="E882">
        <v>1.6399999856948899</v>
      </c>
      <c r="F882">
        <v>0</v>
      </c>
      <c r="G882">
        <v>0</v>
      </c>
      <c r="H882">
        <v>0</v>
      </c>
      <c r="I882">
        <v>1.6399999856948899</v>
      </c>
      <c r="J882">
        <v>0</v>
      </c>
      <c r="K882">
        <v>0</v>
      </c>
      <c r="L882">
        <v>0</v>
      </c>
      <c r="M882">
        <v>116</v>
      </c>
      <c r="N882">
        <v>831</v>
      </c>
      <c r="O882">
        <v>2044</v>
      </c>
    </row>
    <row r="883" spans="1:15">
      <c r="A883">
        <v>8792009665</v>
      </c>
      <c r="B883" s="1">
        <v>42473</v>
      </c>
      <c r="C883">
        <v>1320</v>
      </c>
      <c r="D883">
        <v>0.83999997377395597</v>
      </c>
      <c r="E883">
        <v>0.83999997377395597</v>
      </c>
      <c r="F883">
        <v>0</v>
      </c>
      <c r="G883">
        <v>0</v>
      </c>
      <c r="H883">
        <v>0</v>
      </c>
      <c r="I883">
        <v>0.83999997377395597</v>
      </c>
      <c r="J883">
        <v>0</v>
      </c>
      <c r="K883">
        <v>0</v>
      </c>
      <c r="L883">
        <v>0</v>
      </c>
      <c r="M883">
        <v>82</v>
      </c>
      <c r="N883">
        <v>806</v>
      </c>
      <c r="O883">
        <v>1934</v>
      </c>
    </row>
    <row r="884" spans="1:15">
      <c r="A884">
        <v>8792009665</v>
      </c>
      <c r="B884" s="1">
        <v>42474</v>
      </c>
      <c r="C884">
        <v>1219</v>
      </c>
      <c r="D884">
        <v>0.77999997138977095</v>
      </c>
      <c r="E884">
        <v>0.77999997138977095</v>
      </c>
      <c r="F884">
        <v>0</v>
      </c>
      <c r="G884">
        <v>0</v>
      </c>
      <c r="H884">
        <v>0</v>
      </c>
      <c r="I884">
        <v>0.77999997138977095</v>
      </c>
      <c r="J884">
        <v>0</v>
      </c>
      <c r="K884">
        <v>0</v>
      </c>
      <c r="L884">
        <v>0</v>
      </c>
      <c r="M884">
        <v>84</v>
      </c>
      <c r="N884">
        <v>853</v>
      </c>
      <c r="O884">
        <v>1963</v>
      </c>
    </row>
    <row r="885" spans="1:15">
      <c r="A885">
        <v>8792009665</v>
      </c>
      <c r="B885" s="1">
        <v>42475</v>
      </c>
      <c r="C885">
        <v>2483</v>
      </c>
      <c r="D885">
        <v>1.5900000333786</v>
      </c>
      <c r="E885">
        <v>1.5900000333786</v>
      </c>
      <c r="F885">
        <v>0</v>
      </c>
      <c r="G885">
        <v>0</v>
      </c>
      <c r="H885">
        <v>0</v>
      </c>
      <c r="I885">
        <v>1.5900000333786</v>
      </c>
      <c r="J885">
        <v>0</v>
      </c>
      <c r="K885">
        <v>0</v>
      </c>
      <c r="L885">
        <v>0</v>
      </c>
      <c r="M885">
        <v>126</v>
      </c>
      <c r="N885">
        <v>937</v>
      </c>
      <c r="O885">
        <v>2009</v>
      </c>
    </row>
    <row r="886" spans="1:15">
      <c r="A886">
        <v>8792009665</v>
      </c>
      <c r="B886" s="1">
        <v>42476</v>
      </c>
      <c r="C886">
        <v>244</v>
      </c>
      <c r="D886">
        <v>0.15999999642372101</v>
      </c>
      <c r="E886">
        <v>0.15999999642372101</v>
      </c>
      <c r="F886">
        <v>0</v>
      </c>
      <c r="G886">
        <v>0</v>
      </c>
      <c r="H886">
        <v>0</v>
      </c>
      <c r="I886">
        <v>0.15999999642372101</v>
      </c>
      <c r="J886">
        <v>0</v>
      </c>
      <c r="K886">
        <v>0</v>
      </c>
      <c r="L886">
        <v>0</v>
      </c>
      <c r="M886">
        <v>12</v>
      </c>
      <c r="N886">
        <v>1428</v>
      </c>
      <c r="O886">
        <v>1721</v>
      </c>
    </row>
    <row r="887" spans="1:15">
      <c r="A887">
        <v>8792009665</v>
      </c>
      <c r="B887" s="1">
        <v>42477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1440</v>
      </c>
      <c r="O887">
        <v>1688</v>
      </c>
    </row>
    <row r="888" spans="1:15">
      <c r="A888">
        <v>8792009665</v>
      </c>
      <c r="B888" s="1">
        <v>42478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1440</v>
      </c>
      <c r="O888">
        <v>1688</v>
      </c>
    </row>
    <row r="889" spans="1:15">
      <c r="A889">
        <v>8792009665</v>
      </c>
      <c r="B889" s="1">
        <v>42479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1440</v>
      </c>
      <c r="O889">
        <v>1688</v>
      </c>
    </row>
    <row r="890" spans="1:15">
      <c r="A890">
        <v>8792009665</v>
      </c>
      <c r="B890" s="1">
        <v>42480</v>
      </c>
      <c r="C890">
        <v>3147</v>
      </c>
      <c r="D890">
        <v>2.0099999904632599</v>
      </c>
      <c r="E890">
        <v>2.0099999904632599</v>
      </c>
      <c r="F890">
        <v>0</v>
      </c>
      <c r="G890">
        <v>0</v>
      </c>
      <c r="H890">
        <v>0.28000000119209301</v>
      </c>
      <c r="I890">
        <v>1.7400000095367401</v>
      </c>
      <c r="J890">
        <v>0</v>
      </c>
      <c r="K890">
        <v>0</v>
      </c>
      <c r="L890">
        <v>10</v>
      </c>
      <c r="M890">
        <v>139</v>
      </c>
      <c r="N890">
        <v>744</v>
      </c>
      <c r="O890">
        <v>2188</v>
      </c>
    </row>
    <row r="891" spans="1:15">
      <c r="A891">
        <v>8792009665</v>
      </c>
      <c r="B891" s="1">
        <v>42481</v>
      </c>
      <c r="C891">
        <v>144</v>
      </c>
      <c r="D891">
        <v>9.00000035762787E-2</v>
      </c>
      <c r="E891">
        <v>9.00000035762787E-2</v>
      </c>
      <c r="F891">
        <v>0</v>
      </c>
      <c r="G891">
        <v>0</v>
      </c>
      <c r="H891">
        <v>0</v>
      </c>
      <c r="I891">
        <v>9.00000035762787E-2</v>
      </c>
      <c r="J891">
        <v>0</v>
      </c>
      <c r="K891">
        <v>0</v>
      </c>
      <c r="L891">
        <v>0</v>
      </c>
      <c r="M891">
        <v>9</v>
      </c>
      <c r="N891">
        <v>1431</v>
      </c>
      <c r="O891">
        <v>1720</v>
      </c>
    </row>
    <row r="892" spans="1:15">
      <c r="A892">
        <v>8792009665</v>
      </c>
      <c r="B892" s="1">
        <v>42482</v>
      </c>
      <c r="C892">
        <v>4068</v>
      </c>
      <c r="D892">
        <v>2.5999999046325701</v>
      </c>
      <c r="E892">
        <v>2.5999999046325701</v>
      </c>
      <c r="F892">
        <v>0</v>
      </c>
      <c r="G892">
        <v>5.0000000745058101E-2</v>
      </c>
      <c r="H892">
        <v>0.28000000119209301</v>
      </c>
      <c r="I892">
        <v>2.2699999809265101</v>
      </c>
      <c r="J892">
        <v>0</v>
      </c>
      <c r="K892">
        <v>1</v>
      </c>
      <c r="L892">
        <v>20</v>
      </c>
      <c r="M892">
        <v>195</v>
      </c>
      <c r="N892">
        <v>817</v>
      </c>
      <c r="O892">
        <v>2419</v>
      </c>
    </row>
    <row r="893" spans="1:15">
      <c r="A893">
        <v>8792009665</v>
      </c>
      <c r="B893" s="1">
        <v>42483</v>
      </c>
      <c r="C893">
        <v>5245</v>
      </c>
      <c r="D893">
        <v>3.3599998950958301</v>
      </c>
      <c r="E893">
        <v>3.3599998950958301</v>
      </c>
      <c r="F893">
        <v>0</v>
      </c>
      <c r="G893">
        <v>0.15999999642372101</v>
      </c>
      <c r="H893">
        <v>0.43999999761581399</v>
      </c>
      <c r="I893">
        <v>2.75</v>
      </c>
      <c r="J893">
        <v>0</v>
      </c>
      <c r="K893">
        <v>8</v>
      </c>
      <c r="L893">
        <v>45</v>
      </c>
      <c r="M893">
        <v>232</v>
      </c>
      <c r="N893">
        <v>795</v>
      </c>
      <c r="O893">
        <v>2748</v>
      </c>
    </row>
    <row r="894" spans="1:15">
      <c r="A894">
        <v>8792009665</v>
      </c>
      <c r="B894" s="1">
        <v>42484</v>
      </c>
      <c r="C894">
        <v>400</v>
      </c>
      <c r="D894">
        <v>0.259999990463257</v>
      </c>
      <c r="E894">
        <v>0.259999990463257</v>
      </c>
      <c r="F894">
        <v>0</v>
      </c>
      <c r="G894">
        <v>3.9999999105930301E-2</v>
      </c>
      <c r="H894">
        <v>5.0000000745058101E-2</v>
      </c>
      <c r="I894">
        <v>0.15999999642372101</v>
      </c>
      <c r="J894">
        <v>0</v>
      </c>
      <c r="K894">
        <v>3</v>
      </c>
      <c r="L894">
        <v>8</v>
      </c>
      <c r="M894">
        <v>19</v>
      </c>
      <c r="N894">
        <v>1410</v>
      </c>
      <c r="O894">
        <v>1799</v>
      </c>
    </row>
    <row r="895" spans="1:15">
      <c r="A895">
        <v>8792009665</v>
      </c>
      <c r="B895" s="1">
        <v>42485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1440</v>
      </c>
      <c r="O895">
        <v>1688</v>
      </c>
    </row>
    <row r="896" spans="1:15">
      <c r="A896">
        <v>8792009665</v>
      </c>
      <c r="B896" s="1">
        <v>42486</v>
      </c>
      <c r="C896">
        <v>1321</v>
      </c>
      <c r="D896">
        <v>0.85000002384185802</v>
      </c>
      <c r="E896">
        <v>0.85000002384185802</v>
      </c>
      <c r="F896">
        <v>0</v>
      </c>
      <c r="G896">
        <v>0</v>
      </c>
      <c r="H896">
        <v>0</v>
      </c>
      <c r="I896">
        <v>0.85000002384185802</v>
      </c>
      <c r="J896">
        <v>0</v>
      </c>
      <c r="K896">
        <v>0</v>
      </c>
      <c r="L896">
        <v>0</v>
      </c>
      <c r="M896">
        <v>80</v>
      </c>
      <c r="N896">
        <v>1360</v>
      </c>
      <c r="O896">
        <v>1928</v>
      </c>
    </row>
    <row r="897" spans="1:15">
      <c r="A897">
        <v>8792009665</v>
      </c>
      <c r="B897" s="1">
        <v>42487</v>
      </c>
      <c r="C897">
        <v>1758</v>
      </c>
      <c r="D897">
        <v>1.12999999523163</v>
      </c>
      <c r="E897">
        <v>1.12999999523163</v>
      </c>
      <c r="F897">
        <v>0</v>
      </c>
      <c r="G897">
        <v>0</v>
      </c>
      <c r="H897">
        <v>0</v>
      </c>
      <c r="I897">
        <v>1.12999999523163</v>
      </c>
      <c r="J897">
        <v>0</v>
      </c>
      <c r="K897">
        <v>0</v>
      </c>
      <c r="L897">
        <v>0</v>
      </c>
      <c r="M897">
        <v>112</v>
      </c>
      <c r="N897">
        <v>900</v>
      </c>
      <c r="O897">
        <v>2067</v>
      </c>
    </row>
    <row r="898" spans="1:15">
      <c r="A898">
        <v>8792009665</v>
      </c>
      <c r="B898" s="1">
        <v>42488</v>
      </c>
      <c r="C898">
        <v>6157</v>
      </c>
      <c r="D898">
        <v>3.9400000572204599</v>
      </c>
      <c r="E898">
        <v>3.9400000572204599</v>
      </c>
      <c r="F898">
        <v>0</v>
      </c>
      <c r="G898">
        <v>0</v>
      </c>
      <c r="H898">
        <v>0</v>
      </c>
      <c r="I898">
        <v>3.9400000572204599</v>
      </c>
      <c r="J898">
        <v>0</v>
      </c>
      <c r="K898">
        <v>0</v>
      </c>
      <c r="L898">
        <v>0</v>
      </c>
      <c r="M898">
        <v>310</v>
      </c>
      <c r="N898">
        <v>714</v>
      </c>
      <c r="O898">
        <v>2780</v>
      </c>
    </row>
    <row r="899" spans="1:15">
      <c r="A899">
        <v>8792009665</v>
      </c>
      <c r="B899" s="1">
        <v>42489</v>
      </c>
      <c r="C899">
        <v>8360</v>
      </c>
      <c r="D899">
        <v>5.3499999046325701</v>
      </c>
      <c r="E899">
        <v>5.3499999046325701</v>
      </c>
      <c r="F899">
        <v>0</v>
      </c>
      <c r="G899">
        <v>0.140000000596046</v>
      </c>
      <c r="H899">
        <v>0.28000000119209301</v>
      </c>
      <c r="I899">
        <v>4.9299998283386204</v>
      </c>
      <c r="J899">
        <v>0</v>
      </c>
      <c r="K899">
        <v>6</v>
      </c>
      <c r="L899">
        <v>14</v>
      </c>
      <c r="M899">
        <v>380</v>
      </c>
      <c r="N899">
        <v>634</v>
      </c>
      <c r="O899">
        <v>3101</v>
      </c>
    </row>
    <row r="900" spans="1:15">
      <c r="A900">
        <v>8792009665</v>
      </c>
      <c r="B900" s="1">
        <v>42490</v>
      </c>
      <c r="C900">
        <v>7174</v>
      </c>
      <c r="D900">
        <v>4.5900001525878897</v>
      </c>
      <c r="E900">
        <v>4.5900001525878897</v>
      </c>
      <c r="F900">
        <v>0</v>
      </c>
      <c r="G900">
        <v>0.33000001311302202</v>
      </c>
      <c r="H900">
        <v>0.36000001430511502</v>
      </c>
      <c r="I900">
        <v>3.9100000858306898</v>
      </c>
      <c r="J900">
        <v>0</v>
      </c>
      <c r="K900">
        <v>10</v>
      </c>
      <c r="L900">
        <v>20</v>
      </c>
      <c r="M900">
        <v>301</v>
      </c>
      <c r="N900">
        <v>749</v>
      </c>
      <c r="O900">
        <v>2896</v>
      </c>
    </row>
    <row r="901" spans="1:15">
      <c r="A901">
        <v>8792009665</v>
      </c>
      <c r="B901" s="1">
        <v>42491</v>
      </c>
      <c r="C901">
        <v>1619</v>
      </c>
      <c r="D901">
        <v>1.03999996185303</v>
      </c>
      <c r="E901">
        <v>1.03999996185303</v>
      </c>
      <c r="F901">
        <v>0</v>
      </c>
      <c r="G901">
        <v>0</v>
      </c>
      <c r="H901">
        <v>0</v>
      </c>
      <c r="I901">
        <v>1.03999996185303</v>
      </c>
      <c r="J901">
        <v>0</v>
      </c>
      <c r="K901">
        <v>0</v>
      </c>
      <c r="L901">
        <v>0</v>
      </c>
      <c r="M901">
        <v>79</v>
      </c>
      <c r="N901">
        <v>834</v>
      </c>
      <c r="O901">
        <v>1962</v>
      </c>
    </row>
    <row r="902" spans="1:15">
      <c r="A902">
        <v>8792009665</v>
      </c>
      <c r="B902" s="1">
        <v>42492</v>
      </c>
      <c r="C902">
        <v>1831</v>
      </c>
      <c r="D902">
        <v>1.16999995708466</v>
      </c>
      <c r="E902">
        <v>1.16999995708466</v>
      </c>
      <c r="F902">
        <v>0</v>
      </c>
      <c r="G902">
        <v>0</v>
      </c>
      <c r="H902">
        <v>0</v>
      </c>
      <c r="I902">
        <v>1.16999995708466</v>
      </c>
      <c r="J902">
        <v>0</v>
      </c>
      <c r="K902">
        <v>0</v>
      </c>
      <c r="L902">
        <v>0</v>
      </c>
      <c r="M902">
        <v>101</v>
      </c>
      <c r="N902">
        <v>916</v>
      </c>
      <c r="O902">
        <v>2015</v>
      </c>
    </row>
    <row r="903" spans="1:15">
      <c r="A903">
        <v>8792009665</v>
      </c>
      <c r="B903" s="1">
        <v>42493</v>
      </c>
      <c r="C903">
        <v>2421</v>
      </c>
      <c r="D903">
        <v>1.54999995231628</v>
      </c>
      <c r="E903">
        <v>1.54999995231628</v>
      </c>
      <c r="F903">
        <v>0</v>
      </c>
      <c r="G903">
        <v>0</v>
      </c>
      <c r="H903">
        <v>0</v>
      </c>
      <c r="I903">
        <v>1.54999995231628</v>
      </c>
      <c r="J903">
        <v>0</v>
      </c>
      <c r="K903">
        <v>0</v>
      </c>
      <c r="L903">
        <v>0</v>
      </c>
      <c r="M903">
        <v>156</v>
      </c>
      <c r="N903">
        <v>739</v>
      </c>
      <c r="O903">
        <v>2297</v>
      </c>
    </row>
    <row r="904" spans="1:15">
      <c r="A904">
        <v>8792009665</v>
      </c>
      <c r="B904" s="1">
        <v>42494</v>
      </c>
      <c r="C904">
        <v>2283</v>
      </c>
      <c r="D904">
        <v>1.46000003814697</v>
      </c>
      <c r="E904">
        <v>1.46000003814697</v>
      </c>
      <c r="F904">
        <v>0</v>
      </c>
      <c r="G904">
        <v>0</v>
      </c>
      <c r="H904">
        <v>0</v>
      </c>
      <c r="I904">
        <v>1.46000003814697</v>
      </c>
      <c r="J904">
        <v>0</v>
      </c>
      <c r="K904">
        <v>0</v>
      </c>
      <c r="L904">
        <v>0</v>
      </c>
      <c r="M904">
        <v>129</v>
      </c>
      <c r="N904">
        <v>848</v>
      </c>
      <c r="O904">
        <v>2067</v>
      </c>
    </row>
    <row r="905" spans="1:15">
      <c r="A905">
        <v>8792009665</v>
      </c>
      <c r="B905" s="1">
        <v>42495</v>
      </c>
      <c r="C905">
        <v>0</v>
      </c>
      <c r="D905">
        <v>0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1440</v>
      </c>
      <c r="O905">
        <v>1688</v>
      </c>
    </row>
    <row r="906" spans="1:15">
      <c r="A906">
        <v>8792009665</v>
      </c>
      <c r="B906" s="1">
        <v>42496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1440</v>
      </c>
      <c r="O906">
        <v>1688</v>
      </c>
    </row>
    <row r="907" spans="1:15">
      <c r="A907">
        <v>8792009665</v>
      </c>
      <c r="B907" s="1">
        <v>42497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1440</v>
      </c>
      <c r="O907">
        <v>1688</v>
      </c>
    </row>
    <row r="908" spans="1:15">
      <c r="A908">
        <v>8792009665</v>
      </c>
      <c r="B908" s="1">
        <v>42498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1440</v>
      </c>
      <c r="O908">
        <v>1688</v>
      </c>
    </row>
    <row r="909" spans="1:15">
      <c r="A909">
        <v>8792009665</v>
      </c>
      <c r="B909" s="1">
        <v>42499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1440</v>
      </c>
      <c r="O909">
        <v>1688</v>
      </c>
    </row>
    <row r="910" spans="1:15">
      <c r="A910">
        <v>8792009665</v>
      </c>
      <c r="B910" s="1">
        <v>42500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48</v>
      </c>
      <c r="O910">
        <v>57</v>
      </c>
    </row>
    <row r="911" spans="1:15">
      <c r="A911">
        <v>8877689391</v>
      </c>
      <c r="B911" s="1">
        <v>42472</v>
      </c>
      <c r="C911">
        <v>23186</v>
      </c>
      <c r="D911">
        <v>20.399999618530298</v>
      </c>
      <c r="E911">
        <v>20.399999618530298</v>
      </c>
      <c r="F911">
        <v>0</v>
      </c>
      <c r="G911">
        <v>12.2200002670288</v>
      </c>
      <c r="H911">
        <v>0.34000000357627902</v>
      </c>
      <c r="I911">
        <v>7.8200001716613796</v>
      </c>
      <c r="J911">
        <v>0</v>
      </c>
      <c r="K911">
        <v>85</v>
      </c>
      <c r="L911">
        <v>7</v>
      </c>
      <c r="M911">
        <v>312</v>
      </c>
      <c r="N911">
        <v>1036</v>
      </c>
      <c r="O911">
        <v>3921</v>
      </c>
    </row>
    <row r="912" spans="1:15">
      <c r="A912">
        <v>8877689391</v>
      </c>
      <c r="B912" s="1">
        <v>42473</v>
      </c>
      <c r="C912">
        <v>15337</v>
      </c>
      <c r="D912">
        <v>9.5799999237060494</v>
      </c>
      <c r="E912">
        <v>9.5799999237060494</v>
      </c>
      <c r="F912">
        <v>0</v>
      </c>
      <c r="G912">
        <v>3.5499999523162802</v>
      </c>
      <c r="H912">
        <v>0.37999999523162797</v>
      </c>
      <c r="I912">
        <v>5.6399998664856001</v>
      </c>
      <c r="J912">
        <v>0</v>
      </c>
      <c r="K912">
        <v>108</v>
      </c>
      <c r="L912">
        <v>18</v>
      </c>
      <c r="M912">
        <v>216</v>
      </c>
      <c r="N912">
        <v>1098</v>
      </c>
      <c r="O912">
        <v>3566</v>
      </c>
    </row>
    <row r="913" spans="1:15">
      <c r="A913">
        <v>8877689391</v>
      </c>
      <c r="B913" s="1">
        <v>42474</v>
      </c>
      <c r="C913">
        <v>21129</v>
      </c>
      <c r="D913">
        <v>18.9799995422363</v>
      </c>
      <c r="E913">
        <v>18.9799995422363</v>
      </c>
      <c r="F913">
        <v>0</v>
      </c>
      <c r="G913">
        <v>10.550000190734901</v>
      </c>
      <c r="H913">
        <v>0.58999997377395597</v>
      </c>
      <c r="I913">
        <v>7.75</v>
      </c>
      <c r="J913">
        <v>1.9999999552965199E-2</v>
      </c>
      <c r="K913">
        <v>68</v>
      </c>
      <c r="L913">
        <v>13</v>
      </c>
      <c r="M913">
        <v>298</v>
      </c>
      <c r="N913">
        <v>1061</v>
      </c>
      <c r="O913">
        <v>3793</v>
      </c>
    </row>
    <row r="914" spans="1:15">
      <c r="A914">
        <v>8877689391</v>
      </c>
      <c r="B914" s="1">
        <v>42475</v>
      </c>
      <c r="C914">
        <v>13422</v>
      </c>
      <c r="D914">
        <v>7.1700000762939498</v>
      </c>
      <c r="E914">
        <v>7.1700000762939498</v>
      </c>
      <c r="F914">
        <v>0</v>
      </c>
      <c r="G914">
        <v>5.0000000745058101E-2</v>
      </c>
      <c r="H914">
        <v>5.0000000745058101E-2</v>
      </c>
      <c r="I914">
        <v>7.0100002288818404</v>
      </c>
      <c r="J914">
        <v>9.9999997764825804E-3</v>
      </c>
      <c r="K914">
        <v>106</v>
      </c>
      <c r="L914">
        <v>1</v>
      </c>
      <c r="M914">
        <v>281</v>
      </c>
      <c r="N914">
        <v>1052</v>
      </c>
      <c r="O914">
        <v>3934</v>
      </c>
    </row>
    <row r="915" spans="1:15">
      <c r="A915">
        <v>8877689391</v>
      </c>
      <c r="B915" s="1">
        <v>42476</v>
      </c>
      <c r="C915">
        <v>29326</v>
      </c>
      <c r="D915">
        <v>25.290000915527301</v>
      </c>
      <c r="E915">
        <v>25.290000915527301</v>
      </c>
      <c r="F915">
        <v>0</v>
      </c>
      <c r="G915">
        <v>13.2399997711182</v>
      </c>
      <c r="H915">
        <v>1.21000003814697</v>
      </c>
      <c r="I915">
        <v>10.710000038146999</v>
      </c>
      <c r="J915">
        <v>0</v>
      </c>
      <c r="K915">
        <v>94</v>
      </c>
      <c r="L915">
        <v>29</v>
      </c>
      <c r="M915">
        <v>429</v>
      </c>
      <c r="N915">
        <v>888</v>
      </c>
      <c r="O915">
        <v>4547</v>
      </c>
    </row>
    <row r="916" spans="1:15">
      <c r="A916">
        <v>8877689391</v>
      </c>
      <c r="B916" s="1">
        <v>42477</v>
      </c>
      <c r="C916">
        <v>15118</v>
      </c>
      <c r="D916">
        <v>8.8699998855590803</v>
      </c>
      <c r="E916">
        <v>8.8699998855590803</v>
      </c>
      <c r="F916">
        <v>0</v>
      </c>
      <c r="G916">
        <v>0</v>
      </c>
      <c r="H916">
        <v>7.0000000298023196E-2</v>
      </c>
      <c r="I916">
        <v>8.7899999618530291</v>
      </c>
      <c r="J916">
        <v>0</v>
      </c>
      <c r="K916">
        <v>58</v>
      </c>
      <c r="L916">
        <v>15</v>
      </c>
      <c r="M916">
        <v>307</v>
      </c>
      <c r="N916">
        <v>1060</v>
      </c>
      <c r="O916">
        <v>3545</v>
      </c>
    </row>
    <row r="917" spans="1:15">
      <c r="A917">
        <v>8877689391</v>
      </c>
      <c r="B917" s="1">
        <v>42478</v>
      </c>
      <c r="C917">
        <v>11423</v>
      </c>
      <c r="D917">
        <v>8.6700000762939506</v>
      </c>
      <c r="E917">
        <v>8.6700000762939506</v>
      </c>
      <c r="F917">
        <v>0</v>
      </c>
      <c r="G917">
        <v>2.4400000572204599</v>
      </c>
      <c r="H917">
        <v>0.270000010728836</v>
      </c>
      <c r="I917">
        <v>5.9400000572204599</v>
      </c>
      <c r="J917">
        <v>0</v>
      </c>
      <c r="K917">
        <v>29</v>
      </c>
      <c r="L917">
        <v>5</v>
      </c>
      <c r="M917">
        <v>191</v>
      </c>
      <c r="N917">
        <v>1215</v>
      </c>
      <c r="O917">
        <v>2761</v>
      </c>
    </row>
    <row r="918" spans="1:15">
      <c r="A918">
        <v>8877689391</v>
      </c>
      <c r="B918" s="1">
        <v>42479</v>
      </c>
      <c r="C918">
        <v>18785</v>
      </c>
      <c r="D918">
        <v>17.399999618530298</v>
      </c>
      <c r="E918">
        <v>17.399999618530298</v>
      </c>
      <c r="F918">
        <v>0</v>
      </c>
      <c r="G918">
        <v>12.1499996185303</v>
      </c>
      <c r="H918">
        <v>0.18000000715255701</v>
      </c>
      <c r="I918">
        <v>5.0300002098083496</v>
      </c>
      <c r="J918">
        <v>0</v>
      </c>
      <c r="K918">
        <v>82</v>
      </c>
      <c r="L918">
        <v>13</v>
      </c>
      <c r="M918">
        <v>214</v>
      </c>
      <c r="N918">
        <v>1131</v>
      </c>
      <c r="O918">
        <v>3676</v>
      </c>
    </row>
    <row r="919" spans="1:15">
      <c r="A919">
        <v>8877689391</v>
      </c>
      <c r="B919" s="1">
        <v>42480</v>
      </c>
      <c r="C919">
        <v>19948</v>
      </c>
      <c r="D919">
        <v>18.110000610351602</v>
      </c>
      <c r="E919">
        <v>18.110000610351602</v>
      </c>
      <c r="F919">
        <v>0</v>
      </c>
      <c r="G919">
        <v>11.0200004577637</v>
      </c>
      <c r="H919">
        <v>0.68999999761581399</v>
      </c>
      <c r="I919">
        <v>6.3400001525878897</v>
      </c>
      <c r="J919">
        <v>0</v>
      </c>
      <c r="K919">
        <v>73</v>
      </c>
      <c r="L919">
        <v>19</v>
      </c>
      <c r="M919">
        <v>225</v>
      </c>
      <c r="N919">
        <v>1123</v>
      </c>
      <c r="O919">
        <v>3679</v>
      </c>
    </row>
    <row r="920" spans="1:15">
      <c r="A920">
        <v>8877689391</v>
      </c>
      <c r="B920" s="1">
        <v>42481</v>
      </c>
      <c r="C920">
        <v>19377</v>
      </c>
      <c r="D920">
        <v>17.620000839233398</v>
      </c>
      <c r="E920">
        <v>17.620000839233398</v>
      </c>
      <c r="F920">
        <v>0</v>
      </c>
      <c r="G920">
        <v>12.289999961853001</v>
      </c>
      <c r="H920">
        <v>0.41999998688697798</v>
      </c>
      <c r="I920">
        <v>4.8899998664856001</v>
      </c>
      <c r="J920">
        <v>0</v>
      </c>
      <c r="K920">
        <v>82</v>
      </c>
      <c r="L920">
        <v>13</v>
      </c>
      <c r="M920">
        <v>226</v>
      </c>
      <c r="N920">
        <v>1119</v>
      </c>
      <c r="O920">
        <v>3659</v>
      </c>
    </row>
    <row r="921" spans="1:15">
      <c r="A921">
        <v>8877689391</v>
      </c>
      <c r="B921" s="1">
        <v>42482</v>
      </c>
      <c r="C921">
        <v>18258</v>
      </c>
      <c r="D921">
        <v>16.309999465942401</v>
      </c>
      <c r="E921">
        <v>16.309999465942401</v>
      </c>
      <c r="F921">
        <v>0</v>
      </c>
      <c r="G921">
        <v>10.2299995422363</v>
      </c>
      <c r="H921">
        <v>2.9999999329447701E-2</v>
      </c>
      <c r="I921">
        <v>5.9699997901916504</v>
      </c>
      <c r="J921">
        <v>5.0000000745058101E-2</v>
      </c>
      <c r="K921">
        <v>61</v>
      </c>
      <c r="L921">
        <v>2</v>
      </c>
      <c r="M921">
        <v>236</v>
      </c>
      <c r="N921">
        <v>1141</v>
      </c>
      <c r="O921">
        <v>3427</v>
      </c>
    </row>
    <row r="922" spans="1:15">
      <c r="A922">
        <v>8877689391</v>
      </c>
      <c r="B922" s="1">
        <v>42483</v>
      </c>
      <c r="C922">
        <v>11200</v>
      </c>
      <c r="D922">
        <v>7.4299998283386204</v>
      </c>
      <c r="E922">
        <v>7.4299998283386204</v>
      </c>
      <c r="F922">
        <v>0</v>
      </c>
      <c r="G922">
        <v>0</v>
      </c>
      <c r="H922">
        <v>0</v>
      </c>
      <c r="I922">
        <v>7.4000000953674299</v>
      </c>
      <c r="J922">
        <v>9.9999997764825804E-3</v>
      </c>
      <c r="K922">
        <v>102</v>
      </c>
      <c r="L922">
        <v>6</v>
      </c>
      <c r="M922">
        <v>300</v>
      </c>
      <c r="N922">
        <v>1032</v>
      </c>
      <c r="O922">
        <v>3891</v>
      </c>
    </row>
    <row r="923" spans="1:15">
      <c r="A923">
        <v>8877689391</v>
      </c>
      <c r="B923" s="1">
        <v>42484</v>
      </c>
      <c r="C923">
        <v>16674</v>
      </c>
      <c r="D923">
        <v>15.7399997711182</v>
      </c>
      <c r="E923">
        <v>15.7399997711182</v>
      </c>
      <c r="F923">
        <v>0</v>
      </c>
      <c r="G923">
        <v>11.0100002288818</v>
      </c>
      <c r="H923">
        <v>9.9999997764825804E-3</v>
      </c>
      <c r="I923">
        <v>4.6900000572204599</v>
      </c>
      <c r="J923">
        <v>0</v>
      </c>
      <c r="K923">
        <v>64</v>
      </c>
      <c r="L923">
        <v>1</v>
      </c>
      <c r="M923">
        <v>227</v>
      </c>
      <c r="N923">
        <v>1148</v>
      </c>
      <c r="O923">
        <v>3455</v>
      </c>
    </row>
    <row r="924" spans="1:15">
      <c r="A924">
        <v>8877689391</v>
      </c>
      <c r="B924" s="1">
        <v>42485</v>
      </c>
      <c r="C924">
        <v>12986</v>
      </c>
      <c r="D924">
        <v>8.7399997711181605</v>
      </c>
      <c r="E924">
        <v>8.7399997711181605</v>
      </c>
      <c r="F924">
        <v>0</v>
      </c>
      <c r="G924">
        <v>2.3699998855590798</v>
      </c>
      <c r="H924">
        <v>7.0000000298023196E-2</v>
      </c>
      <c r="I924">
        <v>6.2699999809265101</v>
      </c>
      <c r="J924">
        <v>9.9999997764825804E-3</v>
      </c>
      <c r="K924">
        <v>113</v>
      </c>
      <c r="L924">
        <v>8</v>
      </c>
      <c r="M924">
        <v>218</v>
      </c>
      <c r="N924">
        <v>1101</v>
      </c>
      <c r="O924">
        <v>3802</v>
      </c>
    </row>
    <row r="925" spans="1:15">
      <c r="A925">
        <v>8877689391</v>
      </c>
      <c r="B925" s="1">
        <v>42486</v>
      </c>
      <c r="C925">
        <v>11101</v>
      </c>
      <c r="D925">
        <v>8.4300003051757795</v>
      </c>
      <c r="E925">
        <v>8.4300003051757795</v>
      </c>
      <c r="F925">
        <v>0</v>
      </c>
      <c r="G925">
        <v>1.7599999904632599</v>
      </c>
      <c r="H925">
        <v>0.129999995231628</v>
      </c>
      <c r="I925">
        <v>6.5</v>
      </c>
      <c r="J925">
        <v>0</v>
      </c>
      <c r="K925">
        <v>22</v>
      </c>
      <c r="L925">
        <v>3</v>
      </c>
      <c r="M925">
        <v>258</v>
      </c>
      <c r="N925">
        <v>1157</v>
      </c>
      <c r="O925">
        <v>2860</v>
      </c>
    </row>
    <row r="926" spans="1:15">
      <c r="A926">
        <v>8877689391</v>
      </c>
      <c r="B926" s="1">
        <v>42487</v>
      </c>
      <c r="C926">
        <v>23629</v>
      </c>
      <c r="D926">
        <v>20.649999618530298</v>
      </c>
      <c r="E926">
        <v>20.649999618530298</v>
      </c>
      <c r="F926">
        <v>0</v>
      </c>
      <c r="G926">
        <v>13.069999694824199</v>
      </c>
      <c r="H926">
        <v>0.43999999761581399</v>
      </c>
      <c r="I926">
        <v>7.0999999046325701</v>
      </c>
      <c r="J926">
        <v>0</v>
      </c>
      <c r="K926">
        <v>93</v>
      </c>
      <c r="L926">
        <v>8</v>
      </c>
      <c r="M926">
        <v>235</v>
      </c>
      <c r="N926">
        <v>1104</v>
      </c>
      <c r="O926">
        <v>3808</v>
      </c>
    </row>
    <row r="927" spans="1:15">
      <c r="A927">
        <v>8877689391</v>
      </c>
      <c r="B927" s="1">
        <v>42488</v>
      </c>
      <c r="C927">
        <v>14890</v>
      </c>
      <c r="D927">
        <v>11.300000190734901</v>
      </c>
      <c r="E927">
        <v>11.300000190734901</v>
      </c>
      <c r="F927">
        <v>0</v>
      </c>
      <c r="G927">
        <v>4.9299998283386204</v>
      </c>
      <c r="H927">
        <v>0.37999999523162797</v>
      </c>
      <c r="I927">
        <v>5.9699997901916504</v>
      </c>
      <c r="J927">
        <v>0</v>
      </c>
      <c r="K927">
        <v>58</v>
      </c>
      <c r="L927">
        <v>8</v>
      </c>
      <c r="M927">
        <v>231</v>
      </c>
      <c r="N927">
        <v>1143</v>
      </c>
      <c r="O927">
        <v>3060</v>
      </c>
    </row>
    <row r="928" spans="1:15">
      <c r="A928">
        <v>8877689391</v>
      </c>
      <c r="B928" s="1">
        <v>42489</v>
      </c>
      <c r="C928">
        <v>9733</v>
      </c>
      <c r="D928">
        <v>7.3899998664856001</v>
      </c>
      <c r="E928">
        <v>7.3899998664856001</v>
      </c>
      <c r="F928">
        <v>0</v>
      </c>
      <c r="G928">
        <v>1.37999999523163</v>
      </c>
      <c r="H928">
        <v>0.17000000178813901</v>
      </c>
      <c r="I928">
        <v>5.78999996185303</v>
      </c>
      <c r="J928">
        <v>0</v>
      </c>
      <c r="K928">
        <v>18</v>
      </c>
      <c r="L928">
        <v>5</v>
      </c>
      <c r="M928">
        <v>210</v>
      </c>
      <c r="N928">
        <v>1207</v>
      </c>
      <c r="O928">
        <v>2698</v>
      </c>
    </row>
    <row r="929" spans="1:15">
      <c r="A929">
        <v>8877689391</v>
      </c>
      <c r="B929" s="1">
        <v>42490</v>
      </c>
      <c r="C929">
        <v>27745</v>
      </c>
      <c r="D929">
        <v>26.719999313354499</v>
      </c>
      <c r="E929">
        <v>26.719999313354499</v>
      </c>
      <c r="F929">
        <v>0</v>
      </c>
      <c r="G929">
        <v>21.659999847412099</v>
      </c>
      <c r="H929">
        <v>7.9999998211860698E-2</v>
      </c>
      <c r="I929">
        <v>4.9299998283386204</v>
      </c>
      <c r="J929">
        <v>0</v>
      </c>
      <c r="K929">
        <v>124</v>
      </c>
      <c r="L929">
        <v>4</v>
      </c>
      <c r="M929">
        <v>223</v>
      </c>
      <c r="N929">
        <v>1089</v>
      </c>
      <c r="O929">
        <v>4398</v>
      </c>
    </row>
    <row r="930" spans="1:15">
      <c r="A930">
        <v>8877689391</v>
      </c>
      <c r="B930" s="1">
        <v>42491</v>
      </c>
      <c r="C930">
        <v>10930</v>
      </c>
      <c r="D930">
        <v>8.3199996948242205</v>
      </c>
      <c r="E930">
        <v>8.3199996948242205</v>
      </c>
      <c r="F930">
        <v>0</v>
      </c>
      <c r="G930">
        <v>3.1300001144409202</v>
      </c>
      <c r="H930">
        <v>0.56999999284744296</v>
      </c>
      <c r="I930">
        <v>4.5700001716613796</v>
      </c>
      <c r="J930">
        <v>0</v>
      </c>
      <c r="K930">
        <v>36</v>
      </c>
      <c r="L930">
        <v>12</v>
      </c>
      <c r="M930">
        <v>166</v>
      </c>
      <c r="N930">
        <v>1226</v>
      </c>
      <c r="O930">
        <v>2786</v>
      </c>
    </row>
    <row r="931" spans="1:15">
      <c r="A931">
        <v>8877689391</v>
      </c>
      <c r="B931" s="1">
        <v>42492</v>
      </c>
      <c r="C931">
        <v>4790</v>
      </c>
      <c r="D931">
        <v>3.6400001049041699</v>
      </c>
      <c r="E931">
        <v>3.6400001049041699</v>
      </c>
      <c r="F931">
        <v>0</v>
      </c>
      <c r="G931">
        <v>0</v>
      </c>
      <c r="H931">
        <v>0</v>
      </c>
      <c r="I931">
        <v>3.5599999427795401</v>
      </c>
      <c r="J931">
        <v>0</v>
      </c>
      <c r="K931">
        <v>0</v>
      </c>
      <c r="L931">
        <v>0</v>
      </c>
      <c r="M931">
        <v>105</v>
      </c>
      <c r="N931">
        <v>1335</v>
      </c>
      <c r="O931">
        <v>2189</v>
      </c>
    </row>
    <row r="932" spans="1:15">
      <c r="A932">
        <v>8877689391</v>
      </c>
      <c r="B932" s="1">
        <v>42493</v>
      </c>
      <c r="C932">
        <v>10818</v>
      </c>
      <c r="D932">
        <v>8.2100000381469709</v>
      </c>
      <c r="E932">
        <v>8.2100000381469709</v>
      </c>
      <c r="F932">
        <v>0</v>
      </c>
      <c r="G932">
        <v>1.3899999856948899</v>
      </c>
      <c r="H932">
        <v>0.10000000149011599</v>
      </c>
      <c r="I932">
        <v>6.6700000762939498</v>
      </c>
      <c r="J932">
        <v>9.9999997764825804E-3</v>
      </c>
      <c r="K932">
        <v>19</v>
      </c>
      <c r="L932">
        <v>3</v>
      </c>
      <c r="M932">
        <v>229</v>
      </c>
      <c r="N932">
        <v>1189</v>
      </c>
      <c r="O932">
        <v>2817</v>
      </c>
    </row>
    <row r="933" spans="1:15">
      <c r="A933">
        <v>8877689391</v>
      </c>
      <c r="B933" s="1">
        <v>42494</v>
      </c>
      <c r="C933">
        <v>18193</v>
      </c>
      <c r="D933">
        <v>16.299999237060501</v>
      </c>
      <c r="E933">
        <v>16.299999237060501</v>
      </c>
      <c r="F933">
        <v>0</v>
      </c>
      <c r="G933">
        <v>10.420000076293899</v>
      </c>
      <c r="H933">
        <v>0.31000000238418601</v>
      </c>
      <c r="I933">
        <v>5.5300002098083496</v>
      </c>
      <c r="J933">
        <v>0</v>
      </c>
      <c r="K933">
        <v>66</v>
      </c>
      <c r="L933">
        <v>8</v>
      </c>
      <c r="M933">
        <v>212</v>
      </c>
      <c r="N933">
        <v>1154</v>
      </c>
      <c r="O933">
        <v>3477</v>
      </c>
    </row>
    <row r="934" spans="1:15">
      <c r="A934">
        <v>8877689391</v>
      </c>
      <c r="B934" s="1">
        <v>42495</v>
      </c>
      <c r="C934">
        <v>14055</v>
      </c>
      <c r="D934">
        <v>10.670000076293899</v>
      </c>
      <c r="E934">
        <v>10.670000076293899</v>
      </c>
      <c r="F934">
        <v>0</v>
      </c>
      <c r="G934">
        <v>5.46000003814697</v>
      </c>
      <c r="H934">
        <v>0.81999999284744296</v>
      </c>
      <c r="I934">
        <v>4.3699998855590803</v>
      </c>
      <c r="J934">
        <v>0</v>
      </c>
      <c r="K934">
        <v>67</v>
      </c>
      <c r="L934">
        <v>15</v>
      </c>
      <c r="M934">
        <v>188</v>
      </c>
      <c r="N934">
        <v>1170</v>
      </c>
      <c r="O934">
        <v>3052</v>
      </c>
    </row>
    <row r="935" spans="1:15">
      <c r="A935">
        <v>8877689391</v>
      </c>
      <c r="B935" s="1">
        <v>42496</v>
      </c>
      <c r="C935">
        <v>21727</v>
      </c>
      <c r="D935">
        <v>19.340000152587901</v>
      </c>
      <c r="E935">
        <v>19.340000152587901</v>
      </c>
      <c r="F935">
        <v>0</v>
      </c>
      <c r="G935">
        <v>12.789999961853001</v>
      </c>
      <c r="H935">
        <v>0.28999999165535001</v>
      </c>
      <c r="I935">
        <v>6.1599998474121103</v>
      </c>
      <c r="J935">
        <v>0</v>
      </c>
      <c r="K935">
        <v>96</v>
      </c>
      <c r="L935">
        <v>17</v>
      </c>
      <c r="M935">
        <v>232</v>
      </c>
      <c r="N935">
        <v>1095</v>
      </c>
      <c r="O935">
        <v>4015</v>
      </c>
    </row>
    <row r="936" spans="1:15">
      <c r="A936">
        <v>8877689391</v>
      </c>
      <c r="B936" s="1">
        <v>42497</v>
      </c>
      <c r="C936">
        <v>12332</v>
      </c>
      <c r="D936">
        <v>8.1300001144409197</v>
      </c>
      <c r="E936">
        <v>8.1300001144409197</v>
      </c>
      <c r="F936">
        <v>0</v>
      </c>
      <c r="G936">
        <v>7.9999998211860698E-2</v>
      </c>
      <c r="H936">
        <v>0.95999997854232799</v>
      </c>
      <c r="I936">
        <v>6.9899997711181596</v>
      </c>
      <c r="J936">
        <v>0</v>
      </c>
      <c r="K936">
        <v>105</v>
      </c>
      <c r="L936">
        <v>28</v>
      </c>
      <c r="M936">
        <v>271</v>
      </c>
      <c r="N936">
        <v>1036</v>
      </c>
      <c r="O936">
        <v>4142</v>
      </c>
    </row>
    <row r="937" spans="1:15">
      <c r="A937">
        <v>8877689391</v>
      </c>
      <c r="B937" s="1">
        <v>42498</v>
      </c>
      <c r="C937">
        <v>10686</v>
      </c>
      <c r="D937">
        <v>8.1099996566772496</v>
      </c>
      <c r="E937">
        <v>8.1099996566772496</v>
      </c>
      <c r="F937">
        <v>0</v>
      </c>
      <c r="G937">
        <v>1.08000004291534</v>
      </c>
      <c r="H937">
        <v>0.20000000298023199</v>
      </c>
      <c r="I937">
        <v>6.8000001907348597</v>
      </c>
      <c r="J937">
        <v>0</v>
      </c>
      <c r="K937">
        <v>17</v>
      </c>
      <c r="L937">
        <v>4</v>
      </c>
      <c r="M937">
        <v>245</v>
      </c>
      <c r="N937">
        <v>1174</v>
      </c>
      <c r="O937">
        <v>2847</v>
      </c>
    </row>
    <row r="938" spans="1:15">
      <c r="A938">
        <v>8877689391</v>
      </c>
      <c r="B938" s="1">
        <v>42499</v>
      </c>
      <c r="C938">
        <v>20226</v>
      </c>
      <c r="D938">
        <v>18.25</v>
      </c>
      <c r="E938">
        <v>18.25</v>
      </c>
      <c r="F938">
        <v>0</v>
      </c>
      <c r="G938">
        <v>11.1000003814697</v>
      </c>
      <c r="H938">
        <v>0.80000001192092896</v>
      </c>
      <c r="I938">
        <v>6.2399997711181596</v>
      </c>
      <c r="J938">
        <v>5.0000000745058101E-2</v>
      </c>
      <c r="K938">
        <v>73</v>
      </c>
      <c r="L938">
        <v>19</v>
      </c>
      <c r="M938">
        <v>217</v>
      </c>
      <c r="N938">
        <v>1131</v>
      </c>
      <c r="O938">
        <v>3710</v>
      </c>
    </row>
    <row r="939" spans="1:15">
      <c r="A939">
        <v>8877689391</v>
      </c>
      <c r="B939" s="1">
        <v>42500</v>
      </c>
      <c r="C939">
        <v>10733</v>
      </c>
      <c r="D939">
        <v>8.1499996185302699</v>
      </c>
      <c r="E939">
        <v>8.1499996185302699</v>
      </c>
      <c r="F939">
        <v>0</v>
      </c>
      <c r="G939">
        <v>1.3500000238418599</v>
      </c>
      <c r="H939">
        <v>0.46000000834464999</v>
      </c>
      <c r="I939">
        <v>6.2800002098083496</v>
      </c>
      <c r="J939">
        <v>0</v>
      </c>
      <c r="K939">
        <v>18</v>
      </c>
      <c r="L939">
        <v>11</v>
      </c>
      <c r="M939">
        <v>224</v>
      </c>
      <c r="N939">
        <v>1187</v>
      </c>
      <c r="O939">
        <v>2832</v>
      </c>
    </row>
    <row r="940" spans="1:15">
      <c r="A940">
        <v>8877689391</v>
      </c>
      <c r="B940" s="1">
        <v>42501</v>
      </c>
      <c r="C940">
        <v>21420</v>
      </c>
      <c r="D940">
        <v>19.559999465942401</v>
      </c>
      <c r="E940">
        <v>19.559999465942401</v>
      </c>
      <c r="F940">
        <v>0</v>
      </c>
      <c r="G940">
        <v>13.2200002670288</v>
      </c>
      <c r="H940">
        <v>0.40999999642372098</v>
      </c>
      <c r="I940">
        <v>5.8899998664856001</v>
      </c>
      <c r="J940">
        <v>0</v>
      </c>
      <c r="K940">
        <v>88</v>
      </c>
      <c r="L940">
        <v>12</v>
      </c>
      <c r="M940">
        <v>213</v>
      </c>
      <c r="N940">
        <v>1127</v>
      </c>
      <c r="O940">
        <v>3832</v>
      </c>
    </row>
    <row r="941" spans="1:15">
      <c r="A941">
        <v>8877689391</v>
      </c>
      <c r="B941" s="1">
        <v>42502</v>
      </c>
      <c r="C941">
        <v>8064</v>
      </c>
      <c r="D941">
        <v>6.1199998855590803</v>
      </c>
      <c r="E941">
        <v>6.1199998855590803</v>
      </c>
      <c r="F941">
        <v>0</v>
      </c>
      <c r="G941">
        <v>1.8200000524520901</v>
      </c>
      <c r="H941">
        <v>3.9999999105930301E-2</v>
      </c>
      <c r="I941">
        <v>4.25</v>
      </c>
      <c r="J941">
        <v>0</v>
      </c>
      <c r="K941">
        <v>23</v>
      </c>
      <c r="L941">
        <v>1</v>
      </c>
      <c r="M941">
        <v>137</v>
      </c>
      <c r="N941">
        <v>770</v>
      </c>
      <c r="O941">
        <v>1849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14"/>
  <sheetViews>
    <sheetView workbookViewId="0">
      <selection activeCell="H23" sqref="H23"/>
    </sheetView>
  </sheetViews>
  <sheetFormatPr defaultRowHeight="15"/>
  <cols>
    <col min="1" max="1" width="11" bestFit="1" customWidth="1"/>
    <col min="2" max="2" width="13.85546875" bestFit="1" customWidth="1"/>
    <col min="3" max="3" width="17.7109375" bestFit="1" customWidth="1"/>
    <col min="4" max="4" width="19.140625" bestFit="1" customWidth="1"/>
    <col min="5" max="5" width="15.140625" bestFit="1" customWidth="1"/>
  </cols>
  <sheetData>
    <row r="1" spans="1:5">
      <c r="A1" t="s">
        <v>0</v>
      </c>
      <c r="B1" t="s">
        <v>17</v>
      </c>
      <c r="C1" t="s">
        <v>18</v>
      </c>
      <c r="D1" t="s">
        <v>19</v>
      </c>
      <c r="E1" t="s">
        <v>20</v>
      </c>
    </row>
    <row r="2" spans="1:5">
      <c r="A2">
        <v>1503960366</v>
      </c>
      <c r="B2" s="4">
        <v>42472</v>
      </c>
      <c r="C2">
        <v>1</v>
      </c>
      <c r="D2">
        <v>327</v>
      </c>
      <c r="E2">
        <v>346</v>
      </c>
    </row>
    <row r="3" spans="1:5">
      <c r="A3">
        <v>1503960366</v>
      </c>
      <c r="B3" s="4">
        <v>42473</v>
      </c>
      <c r="C3">
        <v>2</v>
      </c>
      <c r="D3">
        <v>384</v>
      </c>
      <c r="E3">
        <v>407</v>
      </c>
    </row>
    <row r="4" spans="1:5">
      <c r="A4">
        <v>1503960366</v>
      </c>
      <c r="B4" s="4">
        <v>42475</v>
      </c>
      <c r="C4">
        <v>1</v>
      </c>
      <c r="D4">
        <v>412</v>
      </c>
      <c r="E4">
        <v>442</v>
      </c>
    </row>
    <row r="5" spans="1:5">
      <c r="A5">
        <v>1503960366</v>
      </c>
      <c r="B5" s="4">
        <v>42476</v>
      </c>
      <c r="C5">
        <v>2</v>
      </c>
      <c r="D5">
        <v>340</v>
      </c>
      <c r="E5">
        <v>367</v>
      </c>
    </row>
    <row r="6" spans="1:5">
      <c r="A6">
        <v>1503960366</v>
      </c>
      <c r="B6" s="4">
        <v>42477</v>
      </c>
      <c r="C6">
        <v>1</v>
      </c>
      <c r="D6">
        <v>700</v>
      </c>
      <c r="E6">
        <v>712</v>
      </c>
    </row>
    <row r="7" spans="1:5">
      <c r="A7">
        <v>1503960366</v>
      </c>
      <c r="B7" s="4">
        <v>42479</v>
      </c>
      <c r="C7">
        <v>1</v>
      </c>
      <c r="D7">
        <v>304</v>
      </c>
      <c r="E7">
        <v>320</v>
      </c>
    </row>
    <row r="8" spans="1:5">
      <c r="A8">
        <v>1503960366</v>
      </c>
      <c r="B8" s="4">
        <v>42480</v>
      </c>
      <c r="C8">
        <v>1</v>
      </c>
      <c r="D8">
        <v>360</v>
      </c>
      <c r="E8">
        <v>377</v>
      </c>
    </row>
    <row r="9" spans="1:5">
      <c r="A9">
        <v>1503960366</v>
      </c>
      <c r="B9" s="4">
        <v>42481</v>
      </c>
      <c r="C9">
        <v>1</v>
      </c>
      <c r="D9">
        <v>325</v>
      </c>
      <c r="E9">
        <v>364</v>
      </c>
    </row>
    <row r="10" spans="1:5">
      <c r="A10">
        <v>1503960366</v>
      </c>
      <c r="B10" s="4">
        <v>42483</v>
      </c>
      <c r="C10">
        <v>1</v>
      </c>
      <c r="D10">
        <v>361</v>
      </c>
      <c r="E10">
        <v>384</v>
      </c>
    </row>
    <row r="11" spans="1:5">
      <c r="A11">
        <v>1503960366</v>
      </c>
      <c r="B11" s="4">
        <v>42484</v>
      </c>
      <c r="C11">
        <v>1</v>
      </c>
      <c r="D11">
        <v>430</v>
      </c>
      <c r="E11">
        <v>449</v>
      </c>
    </row>
    <row r="12" spans="1:5">
      <c r="A12">
        <v>1503960366</v>
      </c>
      <c r="B12" s="4">
        <v>42485</v>
      </c>
      <c r="C12">
        <v>1</v>
      </c>
      <c r="D12">
        <v>277</v>
      </c>
      <c r="E12">
        <v>323</v>
      </c>
    </row>
    <row r="13" spans="1:5">
      <c r="A13">
        <v>1503960366</v>
      </c>
      <c r="B13" s="4">
        <v>42486</v>
      </c>
      <c r="C13">
        <v>1</v>
      </c>
      <c r="D13">
        <v>245</v>
      </c>
      <c r="E13">
        <v>274</v>
      </c>
    </row>
    <row r="14" spans="1:5">
      <c r="A14">
        <v>1503960366</v>
      </c>
      <c r="B14" s="4">
        <v>42488</v>
      </c>
      <c r="C14">
        <v>1</v>
      </c>
      <c r="D14">
        <v>366</v>
      </c>
      <c r="E14">
        <v>393</v>
      </c>
    </row>
    <row r="15" spans="1:5">
      <c r="A15">
        <v>1503960366</v>
      </c>
      <c r="B15" s="4">
        <v>42489</v>
      </c>
      <c r="C15">
        <v>1</v>
      </c>
      <c r="D15">
        <v>341</v>
      </c>
      <c r="E15">
        <v>354</v>
      </c>
    </row>
    <row r="16" spans="1:5">
      <c r="A16">
        <v>1503960366</v>
      </c>
      <c r="B16" s="4">
        <v>42490</v>
      </c>
      <c r="C16">
        <v>1</v>
      </c>
      <c r="D16">
        <v>404</v>
      </c>
      <c r="E16">
        <v>425</v>
      </c>
    </row>
    <row r="17" spans="1:5">
      <c r="A17">
        <v>1503960366</v>
      </c>
      <c r="B17" s="4">
        <v>42491</v>
      </c>
      <c r="C17">
        <v>1</v>
      </c>
      <c r="D17">
        <v>369</v>
      </c>
      <c r="E17">
        <v>396</v>
      </c>
    </row>
    <row r="18" spans="1:5">
      <c r="A18">
        <v>1503960366</v>
      </c>
      <c r="B18" s="4">
        <v>42492</v>
      </c>
      <c r="C18">
        <v>1</v>
      </c>
      <c r="D18">
        <v>277</v>
      </c>
      <c r="E18">
        <v>309</v>
      </c>
    </row>
    <row r="19" spans="1:5">
      <c r="A19">
        <v>1503960366</v>
      </c>
      <c r="B19" s="4">
        <v>42493</v>
      </c>
      <c r="C19">
        <v>1</v>
      </c>
      <c r="D19">
        <v>273</v>
      </c>
      <c r="E19">
        <v>296</v>
      </c>
    </row>
    <row r="20" spans="1:5">
      <c r="A20">
        <v>1503960366</v>
      </c>
      <c r="B20" s="4">
        <v>42495</v>
      </c>
      <c r="C20">
        <v>1</v>
      </c>
      <c r="D20">
        <v>247</v>
      </c>
      <c r="E20">
        <v>264</v>
      </c>
    </row>
    <row r="21" spans="1:5">
      <c r="A21">
        <v>1503960366</v>
      </c>
      <c r="B21" s="4">
        <v>42496</v>
      </c>
      <c r="C21">
        <v>1</v>
      </c>
      <c r="D21">
        <v>334</v>
      </c>
      <c r="E21">
        <v>367</v>
      </c>
    </row>
    <row r="22" spans="1:5">
      <c r="A22">
        <v>1503960366</v>
      </c>
      <c r="B22" s="4">
        <v>42497</v>
      </c>
      <c r="C22">
        <v>1</v>
      </c>
      <c r="D22">
        <v>331</v>
      </c>
      <c r="E22">
        <v>349</v>
      </c>
    </row>
    <row r="23" spans="1:5">
      <c r="A23">
        <v>1503960366</v>
      </c>
      <c r="B23" s="4">
        <v>42498</v>
      </c>
      <c r="C23">
        <v>1</v>
      </c>
      <c r="D23">
        <v>594</v>
      </c>
      <c r="E23">
        <v>611</v>
      </c>
    </row>
    <row r="24" spans="1:5">
      <c r="A24">
        <v>1503960366</v>
      </c>
      <c r="B24" s="4">
        <v>42499</v>
      </c>
      <c r="C24">
        <v>1</v>
      </c>
      <c r="D24">
        <v>338</v>
      </c>
      <c r="E24">
        <v>342</v>
      </c>
    </row>
    <row r="25" spans="1:5">
      <c r="A25">
        <v>1503960366</v>
      </c>
      <c r="B25" s="4">
        <v>42500</v>
      </c>
      <c r="C25">
        <v>1</v>
      </c>
      <c r="D25">
        <v>383</v>
      </c>
      <c r="E25">
        <v>403</v>
      </c>
    </row>
    <row r="26" spans="1:5">
      <c r="A26">
        <v>1503960366</v>
      </c>
      <c r="B26" s="4">
        <v>42501</v>
      </c>
      <c r="C26">
        <v>1</v>
      </c>
      <c r="D26">
        <v>285</v>
      </c>
      <c r="E26">
        <v>306</v>
      </c>
    </row>
    <row r="27" spans="1:5">
      <c r="A27">
        <v>1644430081</v>
      </c>
      <c r="B27" s="4">
        <v>42489</v>
      </c>
      <c r="C27">
        <v>1</v>
      </c>
      <c r="D27">
        <v>119</v>
      </c>
      <c r="E27">
        <v>127</v>
      </c>
    </row>
    <row r="28" spans="1:5">
      <c r="A28">
        <v>1644430081</v>
      </c>
      <c r="B28" s="4">
        <v>42490</v>
      </c>
      <c r="C28">
        <v>1</v>
      </c>
      <c r="D28">
        <v>124</v>
      </c>
      <c r="E28">
        <v>142</v>
      </c>
    </row>
    <row r="29" spans="1:5">
      <c r="A29">
        <v>1644430081</v>
      </c>
      <c r="B29" s="4">
        <v>42492</v>
      </c>
      <c r="C29">
        <v>1</v>
      </c>
      <c r="D29">
        <v>796</v>
      </c>
      <c r="E29">
        <v>961</v>
      </c>
    </row>
    <row r="30" spans="1:5">
      <c r="A30">
        <v>1644430081</v>
      </c>
      <c r="B30" s="4">
        <v>42498</v>
      </c>
      <c r="C30">
        <v>1</v>
      </c>
      <c r="D30">
        <v>137</v>
      </c>
      <c r="E30">
        <v>154</v>
      </c>
    </row>
    <row r="31" spans="1:5">
      <c r="A31">
        <v>1844505072</v>
      </c>
      <c r="B31" s="4">
        <v>42475</v>
      </c>
      <c r="C31">
        <v>1</v>
      </c>
      <c r="D31">
        <v>644</v>
      </c>
      <c r="E31">
        <v>961</v>
      </c>
    </row>
    <row r="32" spans="1:5">
      <c r="A32">
        <v>1844505072</v>
      </c>
      <c r="B32" s="4">
        <v>42490</v>
      </c>
      <c r="C32">
        <v>1</v>
      </c>
      <c r="D32">
        <v>722</v>
      </c>
      <c r="E32">
        <v>961</v>
      </c>
    </row>
    <row r="33" spans="1:5">
      <c r="A33">
        <v>1844505072</v>
      </c>
      <c r="B33" s="4">
        <v>42491</v>
      </c>
      <c r="C33">
        <v>1</v>
      </c>
      <c r="D33">
        <v>590</v>
      </c>
      <c r="E33">
        <v>961</v>
      </c>
    </row>
    <row r="34" spans="1:5">
      <c r="A34">
        <v>1927972279</v>
      </c>
      <c r="B34" s="4">
        <v>42472</v>
      </c>
      <c r="C34">
        <v>3</v>
      </c>
      <c r="D34">
        <v>750</v>
      </c>
      <c r="E34">
        <v>775</v>
      </c>
    </row>
    <row r="35" spans="1:5">
      <c r="A35">
        <v>1927972279</v>
      </c>
      <c r="B35" s="4">
        <v>42473</v>
      </c>
      <c r="C35">
        <v>1</v>
      </c>
      <c r="D35">
        <v>398</v>
      </c>
      <c r="E35">
        <v>422</v>
      </c>
    </row>
    <row r="36" spans="1:5">
      <c r="A36">
        <v>1927972279</v>
      </c>
      <c r="B36" s="4">
        <v>42475</v>
      </c>
      <c r="C36">
        <v>2</v>
      </c>
      <c r="D36">
        <v>475</v>
      </c>
      <c r="E36">
        <v>499</v>
      </c>
    </row>
    <row r="37" spans="1:5">
      <c r="A37">
        <v>1927972279</v>
      </c>
      <c r="B37" s="4">
        <v>42486</v>
      </c>
      <c r="C37">
        <v>1</v>
      </c>
      <c r="D37">
        <v>296</v>
      </c>
      <c r="E37">
        <v>315</v>
      </c>
    </row>
    <row r="38" spans="1:5">
      <c r="A38">
        <v>1927972279</v>
      </c>
      <c r="B38" s="4">
        <v>42488</v>
      </c>
      <c r="C38">
        <v>1</v>
      </c>
      <c r="D38">
        <v>166</v>
      </c>
      <c r="E38">
        <v>178</v>
      </c>
    </row>
    <row r="39" spans="1:5">
      <c r="A39">
        <v>2026352035</v>
      </c>
      <c r="B39" s="4">
        <v>42472</v>
      </c>
      <c r="C39">
        <v>1</v>
      </c>
      <c r="D39">
        <v>503</v>
      </c>
      <c r="E39">
        <v>546</v>
      </c>
    </row>
    <row r="40" spans="1:5">
      <c r="A40">
        <v>2026352035</v>
      </c>
      <c r="B40" s="4">
        <v>42473</v>
      </c>
      <c r="C40">
        <v>1</v>
      </c>
      <c r="D40">
        <v>531</v>
      </c>
      <c r="E40">
        <v>565</v>
      </c>
    </row>
    <row r="41" spans="1:5">
      <c r="A41">
        <v>2026352035</v>
      </c>
      <c r="B41" s="4">
        <v>42474</v>
      </c>
      <c r="C41">
        <v>1</v>
      </c>
      <c r="D41">
        <v>545</v>
      </c>
      <c r="E41">
        <v>568</v>
      </c>
    </row>
    <row r="42" spans="1:5">
      <c r="A42">
        <v>2026352035</v>
      </c>
      <c r="B42" s="4">
        <v>42475</v>
      </c>
      <c r="C42">
        <v>1</v>
      </c>
      <c r="D42">
        <v>523</v>
      </c>
      <c r="E42">
        <v>573</v>
      </c>
    </row>
    <row r="43" spans="1:5">
      <c r="A43">
        <v>2026352035</v>
      </c>
      <c r="B43" s="4">
        <v>42476</v>
      </c>
      <c r="C43">
        <v>1</v>
      </c>
      <c r="D43">
        <v>524</v>
      </c>
      <c r="E43">
        <v>567</v>
      </c>
    </row>
    <row r="44" spans="1:5">
      <c r="A44">
        <v>2026352035</v>
      </c>
      <c r="B44" s="4">
        <v>42477</v>
      </c>
      <c r="C44">
        <v>1</v>
      </c>
      <c r="D44">
        <v>437</v>
      </c>
      <c r="E44">
        <v>498</v>
      </c>
    </row>
    <row r="45" spans="1:5">
      <c r="A45">
        <v>2026352035</v>
      </c>
      <c r="B45" s="4">
        <v>42479</v>
      </c>
      <c r="C45">
        <v>1</v>
      </c>
      <c r="D45">
        <v>498</v>
      </c>
      <c r="E45">
        <v>540</v>
      </c>
    </row>
    <row r="46" spans="1:5">
      <c r="A46">
        <v>2026352035</v>
      </c>
      <c r="B46" s="4">
        <v>42480</v>
      </c>
      <c r="C46">
        <v>1</v>
      </c>
      <c r="D46">
        <v>461</v>
      </c>
      <c r="E46">
        <v>510</v>
      </c>
    </row>
    <row r="47" spans="1:5">
      <c r="A47">
        <v>2026352035</v>
      </c>
      <c r="B47" s="4">
        <v>42481</v>
      </c>
      <c r="C47">
        <v>1</v>
      </c>
      <c r="D47">
        <v>477</v>
      </c>
      <c r="E47">
        <v>514</v>
      </c>
    </row>
    <row r="48" spans="1:5">
      <c r="A48">
        <v>2026352035</v>
      </c>
      <c r="B48" s="4">
        <v>42482</v>
      </c>
      <c r="C48">
        <v>1</v>
      </c>
      <c r="D48">
        <v>520</v>
      </c>
      <c r="E48">
        <v>545</v>
      </c>
    </row>
    <row r="49" spans="1:5">
      <c r="A49">
        <v>2026352035</v>
      </c>
      <c r="B49" s="4">
        <v>42483</v>
      </c>
      <c r="C49">
        <v>1</v>
      </c>
      <c r="D49">
        <v>522</v>
      </c>
      <c r="E49">
        <v>554</v>
      </c>
    </row>
    <row r="50" spans="1:5">
      <c r="A50">
        <v>2026352035</v>
      </c>
      <c r="B50" s="4">
        <v>42484</v>
      </c>
      <c r="C50">
        <v>1</v>
      </c>
      <c r="D50">
        <v>555</v>
      </c>
      <c r="E50">
        <v>591</v>
      </c>
    </row>
    <row r="51" spans="1:5">
      <c r="A51">
        <v>2026352035</v>
      </c>
      <c r="B51" s="4">
        <v>42485</v>
      </c>
      <c r="C51">
        <v>1</v>
      </c>
      <c r="D51">
        <v>506</v>
      </c>
      <c r="E51">
        <v>531</v>
      </c>
    </row>
    <row r="52" spans="1:5">
      <c r="A52">
        <v>2026352035</v>
      </c>
      <c r="B52" s="4">
        <v>42487</v>
      </c>
      <c r="C52">
        <v>1</v>
      </c>
      <c r="D52">
        <v>508</v>
      </c>
      <c r="E52">
        <v>545</v>
      </c>
    </row>
    <row r="53" spans="1:5">
      <c r="A53">
        <v>2026352035</v>
      </c>
      <c r="B53" s="4">
        <v>42488</v>
      </c>
      <c r="C53">
        <v>1</v>
      </c>
      <c r="D53">
        <v>513</v>
      </c>
      <c r="E53">
        <v>545</v>
      </c>
    </row>
    <row r="54" spans="1:5">
      <c r="A54">
        <v>2026352035</v>
      </c>
      <c r="B54" s="4">
        <v>42489</v>
      </c>
      <c r="C54">
        <v>1</v>
      </c>
      <c r="D54">
        <v>490</v>
      </c>
      <c r="E54">
        <v>510</v>
      </c>
    </row>
    <row r="55" spans="1:5">
      <c r="A55">
        <v>2026352035</v>
      </c>
      <c r="B55" s="4">
        <v>42490</v>
      </c>
      <c r="C55">
        <v>1</v>
      </c>
      <c r="D55">
        <v>573</v>
      </c>
      <c r="E55">
        <v>607</v>
      </c>
    </row>
    <row r="56" spans="1:5">
      <c r="A56">
        <v>2026352035</v>
      </c>
      <c r="B56" s="4">
        <v>42491</v>
      </c>
      <c r="C56">
        <v>1</v>
      </c>
      <c r="D56">
        <v>527</v>
      </c>
      <c r="E56">
        <v>546</v>
      </c>
    </row>
    <row r="57" spans="1:5">
      <c r="A57">
        <v>2026352035</v>
      </c>
      <c r="B57" s="4">
        <v>42492</v>
      </c>
      <c r="C57">
        <v>1</v>
      </c>
      <c r="D57">
        <v>511</v>
      </c>
      <c r="E57">
        <v>543</v>
      </c>
    </row>
    <row r="58" spans="1:5">
      <c r="A58">
        <v>2026352035</v>
      </c>
      <c r="B58" s="4">
        <v>42494</v>
      </c>
      <c r="C58">
        <v>1</v>
      </c>
      <c r="D58">
        <v>538</v>
      </c>
      <c r="E58">
        <v>560</v>
      </c>
    </row>
    <row r="59" spans="1:5">
      <c r="A59">
        <v>2026352035</v>
      </c>
      <c r="B59" s="4">
        <v>42495</v>
      </c>
      <c r="C59">
        <v>1</v>
      </c>
      <c r="D59">
        <v>468</v>
      </c>
      <c r="E59">
        <v>485</v>
      </c>
    </row>
    <row r="60" spans="1:5">
      <c r="A60">
        <v>2026352035</v>
      </c>
      <c r="B60" s="4">
        <v>42496</v>
      </c>
      <c r="C60">
        <v>1</v>
      </c>
      <c r="D60">
        <v>524</v>
      </c>
      <c r="E60">
        <v>548</v>
      </c>
    </row>
    <row r="61" spans="1:5">
      <c r="A61">
        <v>2026352035</v>
      </c>
      <c r="B61" s="4">
        <v>42497</v>
      </c>
      <c r="C61">
        <v>1</v>
      </c>
      <c r="D61">
        <v>511</v>
      </c>
      <c r="E61">
        <v>521</v>
      </c>
    </row>
    <row r="62" spans="1:5">
      <c r="A62">
        <v>2026352035</v>
      </c>
      <c r="B62" s="4">
        <v>42498</v>
      </c>
      <c r="C62">
        <v>1</v>
      </c>
      <c r="D62">
        <v>541</v>
      </c>
      <c r="E62">
        <v>568</v>
      </c>
    </row>
    <row r="63" spans="1:5">
      <c r="A63">
        <v>2026352035</v>
      </c>
      <c r="B63" s="4">
        <v>42499</v>
      </c>
      <c r="C63">
        <v>1</v>
      </c>
      <c r="D63">
        <v>531</v>
      </c>
      <c r="E63">
        <v>556</v>
      </c>
    </row>
    <row r="64" spans="1:5">
      <c r="A64">
        <v>2026352035</v>
      </c>
      <c r="B64" s="4">
        <v>42500</v>
      </c>
      <c r="C64">
        <v>1</v>
      </c>
      <c r="D64">
        <v>357</v>
      </c>
      <c r="E64">
        <v>380</v>
      </c>
    </row>
    <row r="65" spans="1:5">
      <c r="A65">
        <v>2026352035</v>
      </c>
      <c r="B65" s="4">
        <v>42501</v>
      </c>
      <c r="C65">
        <v>1</v>
      </c>
      <c r="D65">
        <v>523</v>
      </c>
      <c r="E65">
        <v>553</v>
      </c>
    </row>
    <row r="66" spans="1:5">
      <c r="A66">
        <v>2026352035</v>
      </c>
      <c r="B66" s="4">
        <v>42502</v>
      </c>
      <c r="C66">
        <v>1</v>
      </c>
      <c r="D66">
        <v>456</v>
      </c>
      <c r="E66">
        <v>485</v>
      </c>
    </row>
    <row r="67" spans="1:5">
      <c r="A67">
        <v>2320127002</v>
      </c>
      <c r="B67" s="4">
        <v>42483</v>
      </c>
      <c r="C67">
        <v>1</v>
      </c>
      <c r="D67">
        <v>61</v>
      </c>
      <c r="E67">
        <v>69</v>
      </c>
    </row>
    <row r="68" spans="1:5">
      <c r="A68">
        <v>2347167796</v>
      </c>
      <c r="B68" s="4">
        <v>42473</v>
      </c>
      <c r="C68">
        <v>1</v>
      </c>
      <c r="D68">
        <v>467</v>
      </c>
      <c r="E68">
        <v>531</v>
      </c>
    </row>
    <row r="69" spans="1:5">
      <c r="A69">
        <v>2347167796</v>
      </c>
      <c r="B69" s="4">
        <v>42474</v>
      </c>
      <c r="C69">
        <v>1</v>
      </c>
      <c r="D69">
        <v>445</v>
      </c>
      <c r="E69">
        <v>489</v>
      </c>
    </row>
    <row r="70" spans="1:5">
      <c r="A70">
        <v>2347167796</v>
      </c>
      <c r="B70" s="4">
        <v>42475</v>
      </c>
      <c r="C70">
        <v>1</v>
      </c>
      <c r="D70">
        <v>452</v>
      </c>
      <c r="E70">
        <v>504</v>
      </c>
    </row>
    <row r="71" spans="1:5">
      <c r="A71">
        <v>2347167796</v>
      </c>
      <c r="B71" s="4">
        <v>42477</v>
      </c>
      <c r="C71">
        <v>1</v>
      </c>
      <c r="D71">
        <v>556</v>
      </c>
      <c r="E71">
        <v>602</v>
      </c>
    </row>
    <row r="72" spans="1:5">
      <c r="A72">
        <v>2347167796</v>
      </c>
      <c r="B72" s="4">
        <v>42478</v>
      </c>
      <c r="C72">
        <v>1</v>
      </c>
      <c r="D72">
        <v>500</v>
      </c>
      <c r="E72">
        <v>557</v>
      </c>
    </row>
    <row r="73" spans="1:5">
      <c r="A73">
        <v>2347167796</v>
      </c>
      <c r="B73" s="4">
        <v>42479</v>
      </c>
      <c r="C73">
        <v>1</v>
      </c>
      <c r="D73">
        <v>465</v>
      </c>
      <c r="E73">
        <v>514</v>
      </c>
    </row>
    <row r="74" spans="1:5">
      <c r="A74">
        <v>2347167796</v>
      </c>
      <c r="B74" s="4">
        <v>42481</v>
      </c>
      <c r="C74">
        <v>1</v>
      </c>
      <c r="D74">
        <v>460</v>
      </c>
      <c r="E74">
        <v>484</v>
      </c>
    </row>
    <row r="75" spans="1:5">
      <c r="A75">
        <v>2347167796</v>
      </c>
      <c r="B75" s="4">
        <v>42482</v>
      </c>
      <c r="C75">
        <v>1</v>
      </c>
      <c r="D75">
        <v>405</v>
      </c>
      <c r="E75">
        <v>461</v>
      </c>
    </row>
    <row r="76" spans="1:5">
      <c r="A76">
        <v>2347167796</v>
      </c>
      <c r="B76" s="4">
        <v>42483</v>
      </c>
      <c r="C76">
        <v>1</v>
      </c>
      <c r="D76">
        <v>374</v>
      </c>
      <c r="E76">
        <v>386</v>
      </c>
    </row>
    <row r="77" spans="1:5">
      <c r="A77">
        <v>2347167796</v>
      </c>
      <c r="B77" s="4">
        <v>42484</v>
      </c>
      <c r="C77">
        <v>1</v>
      </c>
      <c r="D77">
        <v>442</v>
      </c>
      <c r="E77">
        <v>459</v>
      </c>
    </row>
    <row r="78" spans="1:5">
      <c r="A78">
        <v>2347167796</v>
      </c>
      <c r="B78" s="4">
        <v>42485</v>
      </c>
      <c r="C78">
        <v>1</v>
      </c>
      <c r="D78">
        <v>433</v>
      </c>
      <c r="E78">
        <v>471</v>
      </c>
    </row>
    <row r="79" spans="1:5">
      <c r="A79">
        <v>2347167796</v>
      </c>
      <c r="B79" s="4">
        <v>42486</v>
      </c>
      <c r="C79">
        <v>1</v>
      </c>
      <c r="D79">
        <v>436</v>
      </c>
      <c r="E79">
        <v>490</v>
      </c>
    </row>
    <row r="80" spans="1:5">
      <c r="A80">
        <v>2347167796</v>
      </c>
      <c r="B80" s="4">
        <v>42487</v>
      </c>
      <c r="C80">
        <v>1</v>
      </c>
      <c r="D80">
        <v>448</v>
      </c>
      <c r="E80">
        <v>499</v>
      </c>
    </row>
    <row r="81" spans="1:5">
      <c r="A81">
        <v>2347167796</v>
      </c>
      <c r="B81" s="4">
        <v>42488</v>
      </c>
      <c r="C81">
        <v>1</v>
      </c>
      <c r="D81">
        <v>408</v>
      </c>
      <c r="E81">
        <v>450</v>
      </c>
    </row>
    <row r="82" spans="1:5">
      <c r="A82">
        <v>2347167796</v>
      </c>
      <c r="B82" s="4">
        <v>42489</v>
      </c>
      <c r="C82">
        <v>1</v>
      </c>
      <c r="D82">
        <v>411</v>
      </c>
      <c r="E82">
        <v>473</v>
      </c>
    </row>
    <row r="83" spans="1:5">
      <c r="A83">
        <v>3977333714</v>
      </c>
      <c r="B83" s="4">
        <v>42472</v>
      </c>
      <c r="C83">
        <v>1</v>
      </c>
      <c r="D83">
        <v>274</v>
      </c>
      <c r="E83">
        <v>469</v>
      </c>
    </row>
    <row r="84" spans="1:5">
      <c r="A84">
        <v>3977333714</v>
      </c>
      <c r="B84" s="4">
        <v>42473</v>
      </c>
      <c r="C84">
        <v>2</v>
      </c>
      <c r="D84">
        <v>295</v>
      </c>
      <c r="E84">
        <v>456</v>
      </c>
    </row>
    <row r="85" spans="1:5">
      <c r="A85">
        <v>3977333714</v>
      </c>
      <c r="B85" s="4">
        <v>42474</v>
      </c>
      <c r="C85">
        <v>1</v>
      </c>
      <c r="D85">
        <v>291</v>
      </c>
      <c r="E85">
        <v>397</v>
      </c>
    </row>
    <row r="86" spans="1:5">
      <c r="A86">
        <v>3977333714</v>
      </c>
      <c r="B86" s="4">
        <v>42475</v>
      </c>
      <c r="C86">
        <v>1</v>
      </c>
      <c r="D86">
        <v>424</v>
      </c>
      <c r="E86">
        <v>556</v>
      </c>
    </row>
    <row r="87" spans="1:5">
      <c r="A87">
        <v>3977333714</v>
      </c>
      <c r="B87" s="4">
        <v>42476</v>
      </c>
      <c r="C87">
        <v>1</v>
      </c>
      <c r="D87">
        <v>283</v>
      </c>
      <c r="E87">
        <v>510</v>
      </c>
    </row>
    <row r="88" spans="1:5">
      <c r="A88">
        <v>3977333714</v>
      </c>
      <c r="B88" s="4">
        <v>42477</v>
      </c>
      <c r="C88">
        <v>1</v>
      </c>
      <c r="D88">
        <v>381</v>
      </c>
      <c r="E88">
        <v>566</v>
      </c>
    </row>
    <row r="89" spans="1:5">
      <c r="A89">
        <v>3977333714</v>
      </c>
      <c r="B89" s="4">
        <v>42478</v>
      </c>
      <c r="C89">
        <v>2</v>
      </c>
      <c r="D89">
        <v>412</v>
      </c>
      <c r="E89">
        <v>522</v>
      </c>
    </row>
    <row r="90" spans="1:5">
      <c r="A90">
        <v>3977333714</v>
      </c>
      <c r="B90" s="4">
        <v>42479</v>
      </c>
      <c r="C90">
        <v>1</v>
      </c>
      <c r="D90">
        <v>219</v>
      </c>
      <c r="E90">
        <v>395</v>
      </c>
    </row>
    <row r="91" spans="1:5">
      <c r="A91">
        <v>3977333714</v>
      </c>
      <c r="B91" s="4">
        <v>42480</v>
      </c>
      <c r="C91">
        <v>2</v>
      </c>
      <c r="D91">
        <v>152</v>
      </c>
      <c r="E91">
        <v>305</v>
      </c>
    </row>
    <row r="92" spans="1:5">
      <c r="A92">
        <v>3977333714</v>
      </c>
      <c r="B92" s="4">
        <v>42481</v>
      </c>
      <c r="C92">
        <v>1</v>
      </c>
      <c r="D92">
        <v>332</v>
      </c>
      <c r="E92">
        <v>512</v>
      </c>
    </row>
    <row r="93" spans="1:5">
      <c r="A93">
        <v>3977333714</v>
      </c>
      <c r="B93" s="4">
        <v>42482</v>
      </c>
      <c r="C93">
        <v>1</v>
      </c>
      <c r="D93">
        <v>355</v>
      </c>
      <c r="E93">
        <v>476</v>
      </c>
    </row>
    <row r="94" spans="1:5">
      <c r="A94">
        <v>3977333714</v>
      </c>
      <c r="B94" s="4">
        <v>42483</v>
      </c>
      <c r="C94">
        <v>1</v>
      </c>
      <c r="D94">
        <v>235</v>
      </c>
      <c r="E94">
        <v>372</v>
      </c>
    </row>
    <row r="95" spans="1:5">
      <c r="A95">
        <v>3977333714</v>
      </c>
      <c r="B95" s="4">
        <v>42484</v>
      </c>
      <c r="C95">
        <v>1</v>
      </c>
      <c r="D95">
        <v>310</v>
      </c>
      <c r="E95">
        <v>526</v>
      </c>
    </row>
    <row r="96" spans="1:5">
      <c r="A96">
        <v>3977333714</v>
      </c>
      <c r="B96" s="4">
        <v>42485</v>
      </c>
      <c r="C96">
        <v>1</v>
      </c>
      <c r="D96">
        <v>262</v>
      </c>
      <c r="E96">
        <v>467</v>
      </c>
    </row>
    <row r="97" spans="1:5">
      <c r="A97">
        <v>3977333714</v>
      </c>
      <c r="B97" s="4">
        <v>42486</v>
      </c>
      <c r="C97">
        <v>1</v>
      </c>
      <c r="D97">
        <v>250</v>
      </c>
      <c r="E97">
        <v>371</v>
      </c>
    </row>
    <row r="98" spans="1:5">
      <c r="A98">
        <v>3977333714</v>
      </c>
      <c r="B98" s="4">
        <v>42487</v>
      </c>
      <c r="C98">
        <v>1</v>
      </c>
      <c r="D98">
        <v>349</v>
      </c>
      <c r="E98">
        <v>540</v>
      </c>
    </row>
    <row r="99" spans="1:5">
      <c r="A99">
        <v>3977333714</v>
      </c>
      <c r="B99" s="4">
        <v>42488</v>
      </c>
      <c r="C99">
        <v>1</v>
      </c>
      <c r="D99">
        <v>261</v>
      </c>
      <c r="E99">
        <v>423</v>
      </c>
    </row>
    <row r="100" spans="1:5">
      <c r="A100">
        <v>3977333714</v>
      </c>
      <c r="B100" s="4">
        <v>42489</v>
      </c>
      <c r="C100">
        <v>1</v>
      </c>
      <c r="D100">
        <v>333</v>
      </c>
      <c r="E100">
        <v>478</v>
      </c>
    </row>
    <row r="101" spans="1:5">
      <c r="A101">
        <v>3977333714</v>
      </c>
      <c r="B101" s="4">
        <v>42490</v>
      </c>
      <c r="C101">
        <v>1</v>
      </c>
      <c r="D101">
        <v>237</v>
      </c>
      <c r="E101">
        <v>382</v>
      </c>
    </row>
    <row r="102" spans="1:5">
      <c r="A102">
        <v>3977333714</v>
      </c>
      <c r="B102" s="4">
        <v>42491</v>
      </c>
      <c r="C102">
        <v>1</v>
      </c>
      <c r="D102">
        <v>383</v>
      </c>
      <c r="E102">
        <v>626</v>
      </c>
    </row>
    <row r="103" spans="1:5">
      <c r="A103">
        <v>3977333714</v>
      </c>
      <c r="B103" s="4">
        <v>42492</v>
      </c>
      <c r="C103">
        <v>1</v>
      </c>
      <c r="D103">
        <v>230</v>
      </c>
      <c r="E103">
        <v>384</v>
      </c>
    </row>
    <row r="104" spans="1:5">
      <c r="A104">
        <v>3977333714</v>
      </c>
      <c r="B104" s="4">
        <v>42493</v>
      </c>
      <c r="C104">
        <v>1</v>
      </c>
      <c r="D104">
        <v>292</v>
      </c>
      <c r="E104">
        <v>500</v>
      </c>
    </row>
    <row r="105" spans="1:5">
      <c r="A105">
        <v>3977333714</v>
      </c>
      <c r="B105" s="4">
        <v>42494</v>
      </c>
      <c r="C105">
        <v>1</v>
      </c>
      <c r="D105">
        <v>213</v>
      </c>
      <c r="E105">
        <v>336</v>
      </c>
    </row>
    <row r="106" spans="1:5">
      <c r="A106">
        <v>3977333714</v>
      </c>
      <c r="B106" s="4">
        <v>42495</v>
      </c>
      <c r="C106">
        <v>1</v>
      </c>
      <c r="D106">
        <v>318</v>
      </c>
      <c r="E106">
        <v>480</v>
      </c>
    </row>
    <row r="107" spans="1:5">
      <c r="A107">
        <v>3977333714</v>
      </c>
      <c r="B107" s="4">
        <v>42496</v>
      </c>
      <c r="C107">
        <v>1</v>
      </c>
      <c r="D107">
        <v>323</v>
      </c>
      <c r="E107">
        <v>512</v>
      </c>
    </row>
    <row r="108" spans="1:5">
      <c r="A108">
        <v>3977333714</v>
      </c>
      <c r="B108" s="4">
        <v>42497</v>
      </c>
      <c r="C108">
        <v>1</v>
      </c>
      <c r="D108">
        <v>237</v>
      </c>
      <c r="E108">
        <v>443</v>
      </c>
    </row>
    <row r="109" spans="1:5">
      <c r="A109">
        <v>3977333714</v>
      </c>
      <c r="B109" s="4">
        <v>42498</v>
      </c>
      <c r="C109">
        <v>2</v>
      </c>
      <c r="D109">
        <v>259</v>
      </c>
      <c r="E109">
        <v>456</v>
      </c>
    </row>
    <row r="110" spans="1:5">
      <c r="A110">
        <v>3977333714</v>
      </c>
      <c r="B110" s="4">
        <v>42500</v>
      </c>
      <c r="C110">
        <v>1</v>
      </c>
      <c r="D110">
        <v>312</v>
      </c>
      <c r="E110">
        <v>452</v>
      </c>
    </row>
    <row r="111" spans="1:5">
      <c r="A111">
        <v>4020332650</v>
      </c>
      <c r="B111" s="4">
        <v>42472</v>
      </c>
      <c r="C111">
        <v>1</v>
      </c>
      <c r="D111">
        <v>501</v>
      </c>
      <c r="E111">
        <v>541</v>
      </c>
    </row>
    <row r="112" spans="1:5">
      <c r="A112">
        <v>4020332650</v>
      </c>
      <c r="B112" s="4">
        <v>42476</v>
      </c>
      <c r="C112">
        <v>1</v>
      </c>
      <c r="D112">
        <v>77</v>
      </c>
      <c r="E112">
        <v>77</v>
      </c>
    </row>
    <row r="113" spans="1:5">
      <c r="A113">
        <v>4020332650</v>
      </c>
      <c r="B113" s="4">
        <v>42493</v>
      </c>
      <c r="C113">
        <v>1</v>
      </c>
      <c r="D113">
        <v>322</v>
      </c>
      <c r="E113">
        <v>332</v>
      </c>
    </row>
    <row r="114" spans="1:5">
      <c r="A114">
        <v>4020332650</v>
      </c>
      <c r="B114" s="4">
        <v>42494</v>
      </c>
      <c r="C114">
        <v>1</v>
      </c>
      <c r="D114">
        <v>478</v>
      </c>
      <c r="E114">
        <v>536</v>
      </c>
    </row>
    <row r="115" spans="1:5">
      <c r="A115">
        <v>4020332650</v>
      </c>
      <c r="B115" s="4">
        <v>42495</v>
      </c>
      <c r="C115">
        <v>1</v>
      </c>
      <c r="D115">
        <v>226</v>
      </c>
      <c r="E115">
        <v>248</v>
      </c>
    </row>
    <row r="116" spans="1:5">
      <c r="A116">
        <v>4020332650</v>
      </c>
      <c r="B116" s="4">
        <v>42496</v>
      </c>
      <c r="C116">
        <v>1</v>
      </c>
      <c r="D116">
        <v>385</v>
      </c>
      <c r="E116">
        <v>408</v>
      </c>
    </row>
    <row r="117" spans="1:5">
      <c r="A117">
        <v>4020332650</v>
      </c>
      <c r="B117" s="4">
        <v>42498</v>
      </c>
      <c r="C117">
        <v>1</v>
      </c>
      <c r="D117">
        <v>364</v>
      </c>
      <c r="E117">
        <v>402</v>
      </c>
    </row>
    <row r="118" spans="1:5">
      <c r="A118">
        <v>4020332650</v>
      </c>
      <c r="B118" s="4">
        <v>42500</v>
      </c>
      <c r="C118">
        <v>1</v>
      </c>
      <c r="D118">
        <v>442</v>
      </c>
      <c r="E118">
        <v>494</v>
      </c>
    </row>
    <row r="119" spans="1:5">
      <c r="A119">
        <v>4319703577</v>
      </c>
      <c r="B119" s="4">
        <v>42474</v>
      </c>
      <c r="C119">
        <v>1</v>
      </c>
      <c r="D119">
        <v>535</v>
      </c>
      <c r="E119">
        <v>557</v>
      </c>
    </row>
    <row r="120" spans="1:5">
      <c r="A120">
        <v>4319703577</v>
      </c>
      <c r="B120" s="4">
        <v>42475</v>
      </c>
      <c r="C120">
        <v>1</v>
      </c>
      <c r="D120">
        <v>465</v>
      </c>
      <c r="E120">
        <v>491</v>
      </c>
    </row>
    <row r="121" spans="1:5">
      <c r="A121">
        <v>4319703577</v>
      </c>
      <c r="B121" s="4">
        <v>42476</v>
      </c>
      <c r="C121">
        <v>1</v>
      </c>
      <c r="D121">
        <v>506</v>
      </c>
      <c r="E121">
        <v>522</v>
      </c>
    </row>
    <row r="122" spans="1:5">
      <c r="A122">
        <v>4319703577</v>
      </c>
      <c r="B122" s="4">
        <v>42478</v>
      </c>
      <c r="C122">
        <v>1</v>
      </c>
      <c r="D122">
        <v>515</v>
      </c>
      <c r="E122">
        <v>551</v>
      </c>
    </row>
    <row r="123" spans="1:5">
      <c r="A123">
        <v>4319703577</v>
      </c>
      <c r="B123" s="4">
        <v>42479</v>
      </c>
      <c r="C123">
        <v>2</v>
      </c>
      <c r="D123">
        <v>461</v>
      </c>
      <c r="E123">
        <v>498</v>
      </c>
    </row>
    <row r="124" spans="1:5">
      <c r="A124">
        <v>4319703577</v>
      </c>
      <c r="B124" s="4">
        <v>42480</v>
      </c>
      <c r="C124">
        <v>1</v>
      </c>
      <c r="D124">
        <v>523</v>
      </c>
      <c r="E124">
        <v>543</v>
      </c>
    </row>
    <row r="125" spans="1:5">
      <c r="A125">
        <v>4319703577</v>
      </c>
      <c r="B125" s="4">
        <v>42481</v>
      </c>
      <c r="C125">
        <v>1</v>
      </c>
      <c r="D125">
        <v>59</v>
      </c>
      <c r="E125">
        <v>65</v>
      </c>
    </row>
    <row r="126" spans="1:5">
      <c r="A126">
        <v>4319703577</v>
      </c>
      <c r="B126" s="4">
        <v>42482</v>
      </c>
      <c r="C126">
        <v>1</v>
      </c>
      <c r="D126">
        <v>533</v>
      </c>
      <c r="E126">
        <v>550</v>
      </c>
    </row>
    <row r="127" spans="1:5">
      <c r="A127">
        <v>4319703577</v>
      </c>
      <c r="B127" s="4">
        <v>42483</v>
      </c>
      <c r="C127">
        <v>1</v>
      </c>
      <c r="D127">
        <v>692</v>
      </c>
      <c r="E127">
        <v>722</v>
      </c>
    </row>
    <row r="128" spans="1:5">
      <c r="A128">
        <v>4319703577</v>
      </c>
      <c r="B128" s="4">
        <v>42484</v>
      </c>
      <c r="C128">
        <v>1</v>
      </c>
      <c r="D128">
        <v>467</v>
      </c>
      <c r="E128">
        <v>501</v>
      </c>
    </row>
    <row r="129" spans="1:5">
      <c r="A129">
        <v>4319703577</v>
      </c>
      <c r="B129" s="4">
        <v>42485</v>
      </c>
      <c r="C129">
        <v>1</v>
      </c>
      <c r="D129">
        <v>488</v>
      </c>
      <c r="E129">
        <v>506</v>
      </c>
    </row>
    <row r="130" spans="1:5">
      <c r="A130">
        <v>4319703577</v>
      </c>
      <c r="B130" s="4">
        <v>42486</v>
      </c>
      <c r="C130">
        <v>1</v>
      </c>
      <c r="D130">
        <v>505</v>
      </c>
      <c r="E130">
        <v>516</v>
      </c>
    </row>
    <row r="131" spans="1:5">
      <c r="A131">
        <v>4319703577</v>
      </c>
      <c r="B131" s="4">
        <v>42487</v>
      </c>
      <c r="C131">
        <v>1</v>
      </c>
      <c r="D131">
        <v>286</v>
      </c>
      <c r="E131">
        <v>307</v>
      </c>
    </row>
    <row r="132" spans="1:5">
      <c r="A132">
        <v>4319703577</v>
      </c>
      <c r="B132" s="4">
        <v>42488</v>
      </c>
      <c r="C132">
        <v>1</v>
      </c>
      <c r="D132">
        <v>497</v>
      </c>
      <c r="E132">
        <v>522</v>
      </c>
    </row>
    <row r="133" spans="1:5">
      <c r="A133">
        <v>4319703577</v>
      </c>
      <c r="B133" s="4">
        <v>42489</v>
      </c>
      <c r="C133">
        <v>1</v>
      </c>
      <c r="D133">
        <v>523</v>
      </c>
      <c r="E133">
        <v>546</v>
      </c>
    </row>
    <row r="134" spans="1:5">
      <c r="A134">
        <v>4319703577</v>
      </c>
      <c r="B134" s="4">
        <v>42490</v>
      </c>
      <c r="C134">
        <v>1</v>
      </c>
      <c r="D134">
        <v>490</v>
      </c>
      <c r="E134">
        <v>516</v>
      </c>
    </row>
    <row r="135" spans="1:5">
      <c r="A135">
        <v>4319703577</v>
      </c>
      <c r="B135" s="4">
        <v>42491</v>
      </c>
      <c r="C135">
        <v>1</v>
      </c>
      <c r="D135">
        <v>484</v>
      </c>
      <c r="E135">
        <v>500</v>
      </c>
    </row>
    <row r="136" spans="1:5">
      <c r="A136">
        <v>4319703577</v>
      </c>
      <c r="B136" s="4">
        <v>42492</v>
      </c>
      <c r="C136">
        <v>1</v>
      </c>
      <c r="D136">
        <v>478</v>
      </c>
      <c r="E136">
        <v>506</v>
      </c>
    </row>
    <row r="137" spans="1:5">
      <c r="A137">
        <v>4319703577</v>
      </c>
      <c r="B137" s="4">
        <v>42493</v>
      </c>
      <c r="C137">
        <v>1</v>
      </c>
      <c r="D137">
        <v>474</v>
      </c>
      <c r="E137">
        <v>512</v>
      </c>
    </row>
    <row r="138" spans="1:5">
      <c r="A138">
        <v>4319703577</v>
      </c>
      <c r="B138" s="4">
        <v>42496</v>
      </c>
      <c r="C138">
        <v>1</v>
      </c>
      <c r="D138">
        <v>450</v>
      </c>
      <c r="E138">
        <v>491</v>
      </c>
    </row>
    <row r="139" spans="1:5">
      <c r="A139">
        <v>4319703577</v>
      </c>
      <c r="B139" s="4">
        <v>42497</v>
      </c>
      <c r="C139">
        <v>1</v>
      </c>
      <c r="D139">
        <v>507</v>
      </c>
      <c r="E139">
        <v>530</v>
      </c>
    </row>
    <row r="140" spans="1:5">
      <c r="A140">
        <v>4319703577</v>
      </c>
      <c r="B140" s="4">
        <v>42498</v>
      </c>
      <c r="C140">
        <v>1</v>
      </c>
      <c r="D140">
        <v>602</v>
      </c>
      <c r="E140">
        <v>638</v>
      </c>
    </row>
    <row r="141" spans="1:5">
      <c r="A141">
        <v>4319703577</v>
      </c>
      <c r="B141" s="4">
        <v>42499</v>
      </c>
      <c r="C141">
        <v>1</v>
      </c>
      <c r="D141">
        <v>535</v>
      </c>
      <c r="E141">
        <v>565</v>
      </c>
    </row>
    <row r="142" spans="1:5">
      <c r="A142">
        <v>4319703577</v>
      </c>
      <c r="B142" s="4">
        <v>42500</v>
      </c>
      <c r="C142">
        <v>1</v>
      </c>
      <c r="D142">
        <v>487</v>
      </c>
      <c r="E142">
        <v>517</v>
      </c>
    </row>
    <row r="143" spans="1:5">
      <c r="A143">
        <v>4319703577</v>
      </c>
      <c r="B143" s="4">
        <v>42501</v>
      </c>
      <c r="C143">
        <v>1</v>
      </c>
      <c r="D143">
        <v>529</v>
      </c>
      <c r="E143">
        <v>558</v>
      </c>
    </row>
    <row r="144" spans="1:5">
      <c r="A144">
        <v>4319703577</v>
      </c>
      <c r="B144" s="4">
        <v>42502</v>
      </c>
      <c r="C144">
        <v>1</v>
      </c>
      <c r="D144">
        <v>302</v>
      </c>
      <c r="E144">
        <v>321</v>
      </c>
    </row>
    <row r="145" spans="1:5">
      <c r="A145">
        <v>4388161847</v>
      </c>
      <c r="B145" s="4">
        <v>42475</v>
      </c>
      <c r="C145">
        <v>1</v>
      </c>
      <c r="D145">
        <v>499</v>
      </c>
      <c r="E145">
        <v>526</v>
      </c>
    </row>
    <row r="146" spans="1:5">
      <c r="A146">
        <v>4388161847</v>
      </c>
      <c r="B146" s="4">
        <v>42476</v>
      </c>
      <c r="C146">
        <v>2</v>
      </c>
      <c r="D146">
        <v>426</v>
      </c>
      <c r="E146">
        <v>448</v>
      </c>
    </row>
    <row r="147" spans="1:5">
      <c r="A147">
        <v>4388161847</v>
      </c>
      <c r="B147" s="4">
        <v>42477</v>
      </c>
      <c r="C147">
        <v>2</v>
      </c>
      <c r="D147">
        <v>619</v>
      </c>
      <c r="E147">
        <v>641</v>
      </c>
    </row>
    <row r="148" spans="1:5">
      <c r="A148">
        <v>4388161847</v>
      </c>
      <c r="B148" s="4">
        <v>42478</v>
      </c>
      <c r="C148">
        <v>1</v>
      </c>
      <c r="D148">
        <v>99</v>
      </c>
      <c r="E148">
        <v>104</v>
      </c>
    </row>
    <row r="149" spans="1:5">
      <c r="A149">
        <v>4388161847</v>
      </c>
      <c r="B149" s="4">
        <v>42479</v>
      </c>
      <c r="C149">
        <v>1</v>
      </c>
      <c r="D149">
        <v>329</v>
      </c>
      <c r="E149">
        <v>338</v>
      </c>
    </row>
    <row r="150" spans="1:5">
      <c r="A150">
        <v>4388161847</v>
      </c>
      <c r="B150" s="4">
        <v>42480</v>
      </c>
      <c r="C150">
        <v>1</v>
      </c>
      <c r="D150">
        <v>421</v>
      </c>
      <c r="E150">
        <v>451</v>
      </c>
    </row>
    <row r="151" spans="1:5">
      <c r="A151">
        <v>4388161847</v>
      </c>
      <c r="B151" s="4">
        <v>42481</v>
      </c>
      <c r="C151">
        <v>1</v>
      </c>
      <c r="D151">
        <v>442</v>
      </c>
      <c r="E151">
        <v>458</v>
      </c>
    </row>
    <row r="152" spans="1:5">
      <c r="A152">
        <v>4388161847</v>
      </c>
      <c r="B152" s="4">
        <v>42482</v>
      </c>
      <c r="C152">
        <v>1</v>
      </c>
      <c r="D152">
        <v>82</v>
      </c>
      <c r="E152">
        <v>85</v>
      </c>
    </row>
    <row r="153" spans="1:5">
      <c r="A153">
        <v>4388161847</v>
      </c>
      <c r="B153" s="4">
        <v>42483</v>
      </c>
      <c r="C153">
        <v>1</v>
      </c>
      <c r="D153">
        <v>478</v>
      </c>
      <c r="E153">
        <v>501</v>
      </c>
    </row>
    <row r="154" spans="1:5">
      <c r="A154">
        <v>4388161847</v>
      </c>
      <c r="B154" s="4">
        <v>42484</v>
      </c>
      <c r="C154">
        <v>3</v>
      </c>
      <c r="D154">
        <v>552</v>
      </c>
      <c r="E154">
        <v>595</v>
      </c>
    </row>
    <row r="155" spans="1:5">
      <c r="A155">
        <v>4388161847</v>
      </c>
      <c r="B155" s="4">
        <v>42486</v>
      </c>
      <c r="C155">
        <v>1</v>
      </c>
      <c r="D155">
        <v>319</v>
      </c>
      <c r="E155">
        <v>346</v>
      </c>
    </row>
    <row r="156" spans="1:5">
      <c r="A156">
        <v>4388161847</v>
      </c>
      <c r="B156" s="4">
        <v>42487</v>
      </c>
      <c r="C156">
        <v>1</v>
      </c>
      <c r="D156">
        <v>439</v>
      </c>
      <c r="E156">
        <v>500</v>
      </c>
    </row>
    <row r="157" spans="1:5">
      <c r="A157">
        <v>4388161847</v>
      </c>
      <c r="B157" s="4">
        <v>42488</v>
      </c>
      <c r="C157">
        <v>1</v>
      </c>
      <c r="D157">
        <v>428</v>
      </c>
      <c r="E157">
        <v>458</v>
      </c>
    </row>
    <row r="158" spans="1:5">
      <c r="A158">
        <v>4388161847</v>
      </c>
      <c r="B158" s="4">
        <v>42490</v>
      </c>
      <c r="C158">
        <v>2</v>
      </c>
      <c r="D158">
        <v>409</v>
      </c>
      <c r="E158">
        <v>430</v>
      </c>
    </row>
    <row r="159" spans="1:5">
      <c r="A159">
        <v>4388161847</v>
      </c>
      <c r="B159" s="4">
        <v>42491</v>
      </c>
      <c r="C159">
        <v>1</v>
      </c>
      <c r="D159">
        <v>547</v>
      </c>
      <c r="E159">
        <v>597</v>
      </c>
    </row>
    <row r="160" spans="1:5">
      <c r="A160">
        <v>4388161847</v>
      </c>
      <c r="B160" s="4">
        <v>42492</v>
      </c>
      <c r="C160">
        <v>2</v>
      </c>
      <c r="D160">
        <v>368</v>
      </c>
      <c r="E160">
        <v>376</v>
      </c>
    </row>
    <row r="161" spans="1:5">
      <c r="A161">
        <v>4388161847</v>
      </c>
      <c r="B161" s="4">
        <v>42494</v>
      </c>
      <c r="C161">
        <v>1</v>
      </c>
      <c r="D161">
        <v>390</v>
      </c>
      <c r="E161">
        <v>414</v>
      </c>
    </row>
    <row r="162" spans="1:5">
      <c r="A162">
        <v>4388161847</v>
      </c>
      <c r="B162" s="4">
        <v>42495</v>
      </c>
      <c r="C162">
        <v>1</v>
      </c>
      <c r="D162">
        <v>471</v>
      </c>
      <c r="E162">
        <v>495</v>
      </c>
    </row>
    <row r="163" spans="1:5">
      <c r="A163">
        <v>4388161847</v>
      </c>
      <c r="B163" s="4">
        <v>42495</v>
      </c>
      <c r="C163">
        <v>1</v>
      </c>
      <c r="D163">
        <v>471</v>
      </c>
      <c r="E163">
        <v>495</v>
      </c>
    </row>
    <row r="164" spans="1:5">
      <c r="A164">
        <v>4388161847</v>
      </c>
      <c r="B164" s="4">
        <v>42497</v>
      </c>
      <c r="C164">
        <v>1</v>
      </c>
      <c r="D164">
        <v>472</v>
      </c>
      <c r="E164">
        <v>496</v>
      </c>
    </row>
    <row r="165" spans="1:5">
      <c r="A165">
        <v>4388161847</v>
      </c>
      <c r="B165" s="4">
        <v>42498</v>
      </c>
      <c r="C165">
        <v>2</v>
      </c>
      <c r="D165">
        <v>529</v>
      </c>
      <c r="E165">
        <v>541</v>
      </c>
    </row>
    <row r="166" spans="1:5">
      <c r="A166">
        <v>4388161847</v>
      </c>
      <c r="B166" s="4">
        <v>42499</v>
      </c>
      <c r="C166">
        <v>1</v>
      </c>
      <c r="D166">
        <v>62</v>
      </c>
      <c r="E166">
        <v>65</v>
      </c>
    </row>
    <row r="167" spans="1:5">
      <c r="A167">
        <v>4388161847</v>
      </c>
      <c r="B167" s="4">
        <v>42500</v>
      </c>
      <c r="C167">
        <v>1</v>
      </c>
      <c r="D167">
        <v>354</v>
      </c>
      <c r="E167">
        <v>375</v>
      </c>
    </row>
    <row r="168" spans="1:5">
      <c r="A168">
        <v>4388161847</v>
      </c>
      <c r="B168" s="4">
        <v>42501</v>
      </c>
      <c r="C168">
        <v>1</v>
      </c>
      <c r="D168">
        <v>469</v>
      </c>
      <c r="E168">
        <v>494</v>
      </c>
    </row>
    <row r="169" spans="1:5">
      <c r="A169">
        <v>4445114986</v>
      </c>
      <c r="B169" s="4">
        <v>42472</v>
      </c>
      <c r="C169">
        <v>2</v>
      </c>
      <c r="D169">
        <v>429</v>
      </c>
      <c r="E169">
        <v>457</v>
      </c>
    </row>
    <row r="170" spans="1:5">
      <c r="A170">
        <v>4445114986</v>
      </c>
      <c r="B170" s="4">
        <v>42473</v>
      </c>
      <c r="C170">
        <v>2</v>
      </c>
      <c r="D170">
        <v>370</v>
      </c>
      <c r="E170">
        <v>406</v>
      </c>
    </row>
    <row r="171" spans="1:5">
      <c r="A171">
        <v>4445114986</v>
      </c>
      <c r="B171" s="4">
        <v>42474</v>
      </c>
      <c r="C171">
        <v>1</v>
      </c>
      <c r="D171">
        <v>441</v>
      </c>
      <c r="E171">
        <v>492</v>
      </c>
    </row>
    <row r="172" spans="1:5">
      <c r="A172">
        <v>4445114986</v>
      </c>
      <c r="B172" s="4">
        <v>42475</v>
      </c>
      <c r="C172">
        <v>2</v>
      </c>
      <c r="D172">
        <v>337</v>
      </c>
      <c r="E172">
        <v>379</v>
      </c>
    </row>
    <row r="173" spans="1:5">
      <c r="A173">
        <v>4445114986</v>
      </c>
      <c r="B173" s="4">
        <v>42476</v>
      </c>
      <c r="C173">
        <v>1</v>
      </c>
      <c r="D173">
        <v>462</v>
      </c>
      <c r="E173">
        <v>499</v>
      </c>
    </row>
    <row r="174" spans="1:5">
      <c r="A174">
        <v>4445114986</v>
      </c>
      <c r="B174" s="4">
        <v>42477</v>
      </c>
      <c r="C174">
        <v>1</v>
      </c>
      <c r="D174">
        <v>98</v>
      </c>
      <c r="E174">
        <v>107</v>
      </c>
    </row>
    <row r="175" spans="1:5">
      <c r="A175">
        <v>4445114986</v>
      </c>
      <c r="B175" s="4">
        <v>42479</v>
      </c>
      <c r="C175">
        <v>2</v>
      </c>
      <c r="D175">
        <v>388</v>
      </c>
      <c r="E175">
        <v>424</v>
      </c>
    </row>
    <row r="176" spans="1:5">
      <c r="A176">
        <v>4445114986</v>
      </c>
      <c r="B176" s="4">
        <v>42480</v>
      </c>
      <c r="C176">
        <v>1</v>
      </c>
      <c r="D176">
        <v>439</v>
      </c>
      <c r="E176">
        <v>462</v>
      </c>
    </row>
    <row r="177" spans="1:5">
      <c r="A177">
        <v>4445114986</v>
      </c>
      <c r="B177" s="4">
        <v>42481</v>
      </c>
      <c r="C177">
        <v>1</v>
      </c>
      <c r="D177">
        <v>436</v>
      </c>
      <c r="E177">
        <v>469</v>
      </c>
    </row>
    <row r="178" spans="1:5">
      <c r="A178">
        <v>4445114986</v>
      </c>
      <c r="B178" s="4">
        <v>42482</v>
      </c>
      <c r="C178">
        <v>1</v>
      </c>
      <c r="D178">
        <v>388</v>
      </c>
      <c r="E178">
        <v>417</v>
      </c>
    </row>
    <row r="179" spans="1:5">
      <c r="A179">
        <v>4445114986</v>
      </c>
      <c r="B179" s="4">
        <v>42485</v>
      </c>
      <c r="C179">
        <v>1</v>
      </c>
      <c r="D179">
        <v>328</v>
      </c>
      <c r="E179">
        <v>345</v>
      </c>
    </row>
    <row r="180" spans="1:5">
      <c r="A180">
        <v>4445114986</v>
      </c>
      <c r="B180" s="4">
        <v>42486</v>
      </c>
      <c r="C180">
        <v>2</v>
      </c>
      <c r="D180">
        <v>353</v>
      </c>
      <c r="E180">
        <v>391</v>
      </c>
    </row>
    <row r="181" spans="1:5">
      <c r="A181">
        <v>4445114986</v>
      </c>
      <c r="B181" s="4">
        <v>42487</v>
      </c>
      <c r="C181">
        <v>1</v>
      </c>
      <c r="D181">
        <v>332</v>
      </c>
      <c r="E181">
        <v>374</v>
      </c>
    </row>
    <row r="182" spans="1:5">
      <c r="A182">
        <v>4445114986</v>
      </c>
      <c r="B182" s="4">
        <v>42488</v>
      </c>
      <c r="C182">
        <v>1</v>
      </c>
      <c r="D182">
        <v>419</v>
      </c>
      <c r="E182">
        <v>442</v>
      </c>
    </row>
    <row r="183" spans="1:5">
      <c r="A183">
        <v>4445114986</v>
      </c>
      <c r="B183" s="4">
        <v>42489</v>
      </c>
      <c r="C183">
        <v>1</v>
      </c>
      <c r="D183">
        <v>106</v>
      </c>
      <c r="E183">
        <v>108</v>
      </c>
    </row>
    <row r="184" spans="1:5">
      <c r="A184">
        <v>4445114986</v>
      </c>
      <c r="B184" s="4">
        <v>42490</v>
      </c>
      <c r="C184">
        <v>1</v>
      </c>
      <c r="D184">
        <v>322</v>
      </c>
      <c r="E184">
        <v>353</v>
      </c>
    </row>
    <row r="185" spans="1:5">
      <c r="A185">
        <v>4445114986</v>
      </c>
      <c r="B185" s="4">
        <v>42491</v>
      </c>
      <c r="C185">
        <v>2</v>
      </c>
      <c r="D185">
        <v>439</v>
      </c>
      <c r="E185">
        <v>459</v>
      </c>
    </row>
    <row r="186" spans="1:5">
      <c r="A186">
        <v>4445114986</v>
      </c>
      <c r="B186" s="4">
        <v>42492</v>
      </c>
      <c r="C186">
        <v>1</v>
      </c>
      <c r="D186">
        <v>502</v>
      </c>
      <c r="E186">
        <v>542</v>
      </c>
    </row>
    <row r="187" spans="1:5">
      <c r="A187">
        <v>4445114986</v>
      </c>
      <c r="B187" s="4">
        <v>42493</v>
      </c>
      <c r="C187">
        <v>2</v>
      </c>
      <c r="D187">
        <v>417</v>
      </c>
      <c r="E187">
        <v>450</v>
      </c>
    </row>
    <row r="188" spans="1:5">
      <c r="A188">
        <v>4445114986</v>
      </c>
      <c r="B188" s="4">
        <v>42494</v>
      </c>
      <c r="C188">
        <v>2</v>
      </c>
      <c r="D188">
        <v>337</v>
      </c>
      <c r="E188">
        <v>363</v>
      </c>
    </row>
    <row r="189" spans="1:5">
      <c r="A189">
        <v>4445114986</v>
      </c>
      <c r="B189" s="4">
        <v>42495</v>
      </c>
      <c r="C189">
        <v>2</v>
      </c>
      <c r="D189">
        <v>462</v>
      </c>
      <c r="E189">
        <v>513</v>
      </c>
    </row>
    <row r="190" spans="1:5">
      <c r="A190">
        <v>4445114986</v>
      </c>
      <c r="B190" s="4">
        <v>42496</v>
      </c>
      <c r="C190">
        <v>2</v>
      </c>
      <c r="D190">
        <v>374</v>
      </c>
      <c r="E190">
        <v>402</v>
      </c>
    </row>
    <row r="191" spans="1:5">
      <c r="A191">
        <v>4445114986</v>
      </c>
      <c r="B191" s="4">
        <v>42497</v>
      </c>
      <c r="C191">
        <v>2</v>
      </c>
      <c r="D191">
        <v>401</v>
      </c>
      <c r="E191">
        <v>436</v>
      </c>
    </row>
    <row r="192" spans="1:5">
      <c r="A192">
        <v>4445114986</v>
      </c>
      <c r="B192" s="4">
        <v>42498</v>
      </c>
      <c r="C192">
        <v>1</v>
      </c>
      <c r="D192">
        <v>361</v>
      </c>
      <c r="E192">
        <v>391</v>
      </c>
    </row>
    <row r="193" spans="1:5">
      <c r="A193">
        <v>4445114986</v>
      </c>
      <c r="B193" s="4">
        <v>42499</v>
      </c>
      <c r="C193">
        <v>1</v>
      </c>
      <c r="D193">
        <v>457</v>
      </c>
      <c r="E193">
        <v>533</v>
      </c>
    </row>
    <row r="194" spans="1:5">
      <c r="A194">
        <v>4445114986</v>
      </c>
      <c r="B194" s="4">
        <v>42500</v>
      </c>
      <c r="C194">
        <v>1</v>
      </c>
      <c r="D194">
        <v>405</v>
      </c>
      <c r="E194">
        <v>426</v>
      </c>
    </row>
    <row r="195" spans="1:5">
      <c r="A195">
        <v>4445114986</v>
      </c>
      <c r="B195" s="4">
        <v>42501</v>
      </c>
      <c r="C195">
        <v>1</v>
      </c>
      <c r="D195">
        <v>499</v>
      </c>
      <c r="E195">
        <v>530</v>
      </c>
    </row>
    <row r="196" spans="1:5">
      <c r="A196">
        <v>4445114986</v>
      </c>
      <c r="B196" s="4">
        <v>42502</v>
      </c>
      <c r="C196">
        <v>1</v>
      </c>
      <c r="D196">
        <v>483</v>
      </c>
      <c r="E196">
        <v>501</v>
      </c>
    </row>
    <row r="197" spans="1:5">
      <c r="A197">
        <v>4558609924</v>
      </c>
      <c r="B197" s="4">
        <v>42481</v>
      </c>
      <c r="C197">
        <v>1</v>
      </c>
      <c r="D197">
        <v>126</v>
      </c>
      <c r="E197">
        <v>137</v>
      </c>
    </row>
    <row r="198" spans="1:5">
      <c r="A198">
        <v>4558609924</v>
      </c>
      <c r="B198" s="4">
        <v>42486</v>
      </c>
      <c r="C198">
        <v>1</v>
      </c>
      <c r="D198">
        <v>103</v>
      </c>
      <c r="E198">
        <v>121</v>
      </c>
    </row>
    <row r="199" spans="1:5">
      <c r="A199">
        <v>4558609924</v>
      </c>
      <c r="B199" s="4">
        <v>42489</v>
      </c>
      <c r="C199">
        <v>1</v>
      </c>
      <c r="D199">
        <v>171</v>
      </c>
      <c r="E199">
        <v>179</v>
      </c>
    </row>
    <row r="200" spans="1:5">
      <c r="A200">
        <v>4558609924</v>
      </c>
      <c r="B200" s="4">
        <v>42491</v>
      </c>
      <c r="C200">
        <v>1</v>
      </c>
      <c r="D200">
        <v>115</v>
      </c>
      <c r="E200">
        <v>129</v>
      </c>
    </row>
    <row r="201" spans="1:5">
      <c r="A201">
        <v>4558609924</v>
      </c>
      <c r="B201" s="4">
        <v>42498</v>
      </c>
      <c r="C201">
        <v>1</v>
      </c>
      <c r="D201">
        <v>123</v>
      </c>
      <c r="E201">
        <v>134</v>
      </c>
    </row>
    <row r="202" spans="1:5">
      <c r="A202">
        <v>4702921684</v>
      </c>
      <c r="B202" s="4">
        <v>42472</v>
      </c>
      <c r="C202">
        <v>1</v>
      </c>
      <c r="D202">
        <v>425</v>
      </c>
      <c r="E202">
        <v>439</v>
      </c>
    </row>
    <row r="203" spans="1:5">
      <c r="A203">
        <v>4702921684</v>
      </c>
      <c r="B203" s="4">
        <v>42473</v>
      </c>
      <c r="C203">
        <v>2</v>
      </c>
      <c r="D203">
        <v>400</v>
      </c>
      <c r="E203">
        <v>430</v>
      </c>
    </row>
    <row r="204" spans="1:5">
      <c r="A204">
        <v>4702921684</v>
      </c>
      <c r="B204" s="4">
        <v>42474</v>
      </c>
      <c r="C204">
        <v>1</v>
      </c>
      <c r="D204">
        <v>384</v>
      </c>
      <c r="E204">
        <v>415</v>
      </c>
    </row>
    <row r="205" spans="1:5">
      <c r="A205">
        <v>4702921684</v>
      </c>
      <c r="B205" s="4">
        <v>42475</v>
      </c>
      <c r="C205">
        <v>1</v>
      </c>
      <c r="D205">
        <v>253</v>
      </c>
      <c r="E205">
        <v>257</v>
      </c>
    </row>
    <row r="206" spans="1:5">
      <c r="A206">
        <v>4702921684</v>
      </c>
      <c r="B206" s="4">
        <v>42476</v>
      </c>
      <c r="C206">
        <v>2</v>
      </c>
      <c r="D206">
        <v>382</v>
      </c>
      <c r="E206">
        <v>406</v>
      </c>
    </row>
    <row r="207" spans="1:5">
      <c r="A207">
        <v>4702921684</v>
      </c>
      <c r="B207" s="4">
        <v>42477</v>
      </c>
      <c r="C207">
        <v>1</v>
      </c>
      <c r="D207">
        <v>591</v>
      </c>
      <c r="E207">
        <v>612</v>
      </c>
    </row>
    <row r="208" spans="1:5">
      <c r="A208">
        <v>4702921684</v>
      </c>
      <c r="B208" s="4">
        <v>42478</v>
      </c>
      <c r="C208">
        <v>1</v>
      </c>
      <c r="D208">
        <v>293</v>
      </c>
      <c r="E208">
        <v>312</v>
      </c>
    </row>
    <row r="209" spans="1:5">
      <c r="A209">
        <v>4702921684</v>
      </c>
      <c r="B209" s="4">
        <v>42479</v>
      </c>
      <c r="C209">
        <v>1</v>
      </c>
      <c r="D209">
        <v>457</v>
      </c>
      <c r="E209">
        <v>487</v>
      </c>
    </row>
    <row r="210" spans="1:5">
      <c r="A210">
        <v>4702921684</v>
      </c>
      <c r="B210" s="4">
        <v>42480</v>
      </c>
      <c r="C210">
        <v>1</v>
      </c>
      <c r="D210">
        <v>454</v>
      </c>
      <c r="E210">
        <v>468</v>
      </c>
    </row>
    <row r="211" spans="1:5">
      <c r="A211">
        <v>4702921684</v>
      </c>
      <c r="B211" s="4">
        <v>42481</v>
      </c>
      <c r="C211">
        <v>1</v>
      </c>
      <c r="D211">
        <v>425</v>
      </c>
      <c r="E211">
        <v>434</v>
      </c>
    </row>
    <row r="212" spans="1:5">
      <c r="A212">
        <v>4702921684</v>
      </c>
      <c r="B212" s="4">
        <v>42483</v>
      </c>
      <c r="C212">
        <v>1</v>
      </c>
      <c r="D212">
        <v>465</v>
      </c>
      <c r="E212">
        <v>475</v>
      </c>
    </row>
    <row r="213" spans="1:5">
      <c r="A213">
        <v>4702921684</v>
      </c>
      <c r="B213" s="4">
        <v>42484</v>
      </c>
      <c r="C213">
        <v>1</v>
      </c>
      <c r="D213">
        <v>480</v>
      </c>
      <c r="E213">
        <v>506</v>
      </c>
    </row>
    <row r="214" spans="1:5">
      <c r="A214">
        <v>4702921684</v>
      </c>
      <c r="B214" s="4">
        <v>42485</v>
      </c>
      <c r="C214">
        <v>1</v>
      </c>
      <c r="D214">
        <v>370</v>
      </c>
      <c r="E214">
        <v>380</v>
      </c>
    </row>
    <row r="215" spans="1:5">
      <c r="A215">
        <v>4702921684</v>
      </c>
      <c r="B215" s="4">
        <v>42486</v>
      </c>
      <c r="C215">
        <v>1</v>
      </c>
      <c r="D215">
        <v>421</v>
      </c>
      <c r="E215">
        <v>429</v>
      </c>
    </row>
    <row r="216" spans="1:5">
      <c r="A216">
        <v>4702921684</v>
      </c>
      <c r="B216" s="4">
        <v>42487</v>
      </c>
      <c r="C216">
        <v>1</v>
      </c>
      <c r="D216">
        <v>432</v>
      </c>
      <c r="E216">
        <v>449</v>
      </c>
    </row>
    <row r="217" spans="1:5">
      <c r="A217">
        <v>4702921684</v>
      </c>
      <c r="B217" s="4">
        <v>42488</v>
      </c>
      <c r="C217">
        <v>1</v>
      </c>
      <c r="D217">
        <v>442</v>
      </c>
      <c r="E217">
        <v>461</v>
      </c>
    </row>
    <row r="218" spans="1:5">
      <c r="A218">
        <v>4702921684</v>
      </c>
      <c r="B218" s="4">
        <v>42489</v>
      </c>
      <c r="C218">
        <v>1</v>
      </c>
      <c r="D218">
        <v>433</v>
      </c>
      <c r="E218">
        <v>447</v>
      </c>
    </row>
    <row r="219" spans="1:5">
      <c r="A219">
        <v>4702921684</v>
      </c>
      <c r="B219" s="4">
        <v>42490</v>
      </c>
      <c r="C219">
        <v>1</v>
      </c>
      <c r="D219">
        <v>479</v>
      </c>
      <c r="E219">
        <v>501</v>
      </c>
    </row>
    <row r="220" spans="1:5">
      <c r="A220">
        <v>4702921684</v>
      </c>
      <c r="B220" s="4">
        <v>42493</v>
      </c>
      <c r="C220">
        <v>1</v>
      </c>
      <c r="D220">
        <v>327</v>
      </c>
      <c r="E220">
        <v>373</v>
      </c>
    </row>
    <row r="221" spans="1:5">
      <c r="A221">
        <v>4702921684</v>
      </c>
      <c r="B221" s="4">
        <v>42494</v>
      </c>
      <c r="C221">
        <v>1</v>
      </c>
      <c r="D221">
        <v>412</v>
      </c>
      <c r="E221">
        <v>434</v>
      </c>
    </row>
    <row r="222" spans="1:5">
      <c r="A222">
        <v>4702921684</v>
      </c>
      <c r="B222" s="4">
        <v>42495</v>
      </c>
      <c r="C222">
        <v>1</v>
      </c>
      <c r="D222">
        <v>414</v>
      </c>
      <c r="E222">
        <v>428</v>
      </c>
    </row>
    <row r="223" spans="1:5">
      <c r="A223">
        <v>4702921684</v>
      </c>
      <c r="B223" s="4">
        <v>42496</v>
      </c>
      <c r="C223">
        <v>1</v>
      </c>
      <c r="D223">
        <v>404</v>
      </c>
      <c r="E223">
        <v>449</v>
      </c>
    </row>
    <row r="224" spans="1:5">
      <c r="A224">
        <v>4702921684</v>
      </c>
      <c r="B224" s="4">
        <v>42497</v>
      </c>
      <c r="C224">
        <v>1</v>
      </c>
      <c r="D224">
        <v>520</v>
      </c>
      <c r="E224">
        <v>543</v>
      </c>
    </row>
    <row r="225" spans="1:5">
      <c r="A225">
        <v>4702921684</v>
      </c>
      <c r="B225" s="4">
        <v>42497</v>
      </c>
      <c r="C225">
        <v>1</v>
      </c>
      <c r="D225">
        <v>520</v>
      </c>
      <c r="E225">
        <v>543</v>
      </c>
    </row>
    <row r="226" spans="1:5">
      <c r="A226">
        <v>4702921684</v>
      </c>
      <c r="B226" s="4">
        <v>42499</v>
      </c>
      <c r="C226">
        <v>1</v>
      </c>
      <c r="D226">
        <v>435</v>
      </c>
      <c r="E226">
        <v>458</v>
      </c>
    </row>
    <row r="227" spans="1:5">
      <c r="A227">
        <v>4702921684</v>
      </c>
      <c r="B227" s="4">
        <v>42500</v>
      </c>
      <c r="C227">
        <v>1</v>
      </c>
      <c r="D227">
        <v>416</v>
      </c>
      <c r="E227">
        <v>431</v>
      </c>
    </row>
    <row r="228" spans="1:5">
      <c r="A228">
        <v>4702921684</v>
      </c>
      <c r="B228" s="4">
        <v>42501</v>
      </c>
      <c r="C228">
        <v>1</v>
      </c>
      <c r="D228">
        <v>354</v>
      </c>
      <c r="E228">
        <v>366</v>
      </c>
    </row>
    <row r="229" spans="1:5">
      <c r="A229">
        <v>4702921684</v>
      </c>
      <c r="B229" s="4">
        <v>42502</v>
      </c>
      <c r="C229">
        <v>1</v>
      </c>
      <c r="D229">
        <v>404</v>
      </c>
      <c r="E229">
        <v>442</v>
      </c>
    </row>
    <row r="230" spans="1:5">
      <c r="A230">
        <v>5553957443</v>
      </c>
      <c r="B230" s="4">
        <v>42472</v>
      </c>
      <c r="C230">
        <v>1</v>
      </c>
      <c r="D230">
        <v>441</v>
      </c>
      <c r="E230">
        <v>464</v>
      </c>
    </row>
    <row r="231" spans="1:5">
      <c r="A231">
        <v>5553957443</v>
      </c>
      <c r="B231" s="4">
        <v>42473</v>
      </c>
      <c r="C231">
        <v>2</v>
      </c>
      <c r="D231">
        <v>455</v>
      </c>
      <c r="E231">
        <v>488</v>
      </c>
    </row>
    <row r="232" spans="1:5">
      <c r="A232">
        <v>5553957443</v>
      </c>
      <c r="B232" s="4">
        <v>42474</v>
      </c>
      <c r="C232">
        <v>1</v>
      </c>
      <c r="D232">
        <v>357</v>
      </c>
      <c r="E232">
        <v>418</v>
      </c>
    </row>
    <row r="233" spans="1:5">
      <c r="A233">
        <v>5553957443</v>
      </c>
      <c r="B233" s="4">
        <v>42475</v>
      </c>
      <c r="C233">
        <v>1</v>
      </c>
      <c r="D233">
        <v>377</v>
      </c>
      <c r="E233">
        <v>409</v>
      </c>
    </row>
    <row r="234" spans="1:5">
      <c r="A234">
        <v>5553957443</v>
      </c>
      <c r="B234" s="4">
        <v>42476</v>
      </c>
      <c r="C234">
        <v>2</v>
      </c>
      <c r="D234">
        <v>651</v>
      </c>
      <c r="E234">
        <v>686</v>
      </c>
    </row>
    <row r="235" spans="1:5">
      <c r="A235">
        <v>5553957443</v>
      </c>
      <c r="B235" s="4">
        <v>42477</v>
      </c>
      <c r="C235">
        <v>1</v>
      </c>
      <c r="D235">
        <v>350</v>
      </c>
      <c r="E235">
        <v>402</v>
      </c>
    </row>
    <row r="236" spans="1:5">
      <c r="A236">
        <v>5553957443</v>
      </c>
      <c r="B236" s="4">
        <v>42478</v>
      </c>
      <c r="C236">
        <v>2</v>
      </c>
      <c r="D236">
        <v>520</v>
      </c>
      <c r="E236">
        <v>541</v>
      </c>
    </row>
    <row r="237" spans="1:5">
      <c r="A237">
        <v>5553957443</v>
      </c>
      <c r="B237" s="4">
        <v>42479</v>
      </c>
      <c r="C237">
        <v>1</v>
      </c>
      <c r="D237">
        <v>357</v>
      </c>
      <c r="E237">
        <v>410</v>
      </c>
    </row>
    <row r="238" spans="1:5">
      <c r="A238">
        <v>5553957443</v>
      </c>
      <c r="B238" s="4">
        <v>42480</v>
      </c>
      <c r="C238">
        <v>1</v>
      </c>
      <c r="D238">
        <v>658</v>
      </c>
      <c r="E238">
        <v>678</v>
      </c>
    </row>
    <row r="239" spans="1:5">
      <c r="A239">
        <v>5553957443</v>
      </c>
      <c r="B239" s="4">
        <v>42481</v>
      </c>
      <c r="C239">
        <v>1</v>
      </c>
      <c r="D239">
        <v>399</v>
      </c>
      <c r="E239">
        <v>431</v>
      </c>
    </row>
    <row r="240" spans="1:5">
      <c r="A240">
        <v>5553957443</v>
      </c>
      <c r="B240" s="4">
        <v>42482</v>
      </c>
      <c r="C240">
        <v>1</v>
      </c>
      <c r="D240">
        <v>322</v>
      </c>
      <c r="E240">
        <v>353</v>
      </c>
    </row>
    <row r="241" spans="1:5">
      <c r="A241">
        <v>5553957443</v>
      </c>
      <c r="B241" s="4">
        <v>42483</v>
      </c>
      <c r="C241">
        <v>2</v>
      </c>
      <c r="D241">
        <v>631</v>
      </c>
      <c r="E241">
        <v>725</v>
      </c>
    </row>
    <row r="242" spans="1:5">
      <c r="A242">
        <v>5553957443</v>
      </c>
      <c r="B242" s="4">
        <v>42484</v>
      </c>
      <c r="C242">
        <v>2</v>
      </c>
      <c r="D242">
        <v>553</v>
      </c>
      <c r="E242">
        <v>640</v>
      </c>
    </row>
    <row r="243" spans="1:5">
      <c r="A243">
        <v>5553957443</v>
      </c>
      <c r="B243" s="4">
        <v>42485</v>
      </c>
      <c r="C243">
        <v>1</v>
      </c>
      <c r="D243">
        <v>433</v>
      </c>
      <c r="E243">
        <v>468</v>
      </c>
    </row>
    <row r="244" spans="1:5">
      <c r="A244">
        <v>5553957443</v>
      </c>
      <c r="B244" s="4">
        <v>42486</v>
      </c>
      <c r="C244">
        <v>1</v>
      </c>
      <c r="D244">
        <v>412</v>
      </c>
      <c r="E244">
        <v>453</v>
      </c>
    </row>
    <row r="245" spans="1:5">
      <c r="A245">
        <v>5553957443</v>
      </c>
      <c r="B245" s="4">
        <v>42487</v>
      </c>
      <c r="C245">
        <v>1</v>
      </c>
      <c r="D245">
        <v>347</v>
      </c>
      <c r="E245">
        <v>391</v>
      </c>
    </row>
    <row r="246" spans="1:5">
      <c r="A246">
        <v>5553957443</v>
      </c>
      <c r="B246" s="4">
        <v>42488</v>
      </c>
      <c r="C246">
        <v>1</v>
      </c>
      <c r="D246">
        <v>421</v>
      </c>
      <c r="E246">
        <v>457</v>
      </c>
    </row>
    <row r="247" spans="1:5">
      <c r="A247">
        <v>5553957443</v>
      </c>
      <c r="B247" s="4">
        <v>42489</v>
      </c>
      <c r="C247">
        <v>1</v>
      </c>
      <c r="D247">
        <v>450</v>
      </c>
      <c r="E247">
        <v>495</v>
      </c>
    </row>
    <row r="248" spans="1:5">
      <c r="A248">
        <v>5553957443</v>
      </c>
      <c r="B248" s="4">
        <v>42490</v>
      </c>
      <c r="C248">
        <v>2</v>
      </c>
      <c r="D248">
        <v>775</v>
      </c>
      <c r="E248">
        <v>843</v>
      </c>
    </row>
    <row r="249" spans="1:5">
      <c r="A249">
        <v>5553957443</v>
      </c>
      <c r="B249" s="4">
        <v>42491</v>
      </c>
      <c r="C249">
        <v>2</v>
      </c>
      <c r="D249">
        <v>622</v>
      </c>
      <c r="E249">
        <v>686</v>
      </c>
    </row>
    <row r="250" spans="1:5">
      <c r="A250">
        <v>5553957443</v>
      </c>
      <c r="B250" s="4">
        <v>42492</v>
      </c>
      <c r="C250">
        <v>1</v>
      </c>
      <c r="D250">
        <v>409</v>
      </c>
      <c r="E250">
        <v>471</v>
      </c>
    </row>
    <row r="251" spans="1:5">
      <c r="A251">
        <v>5553957443</v>
      </c>
      <c r="B251" s="4">
        <v>42493</v>
      </c>
      <c r="C251">
        <v>1</v>
      </c>
      <c r="D251">
        <v>380</v>
      </c>
      <c r="E251">
        <v>429</v>
      </c>
    </row>
    <row r="252" spans="1:5">
      <c r="A252">
        <v>5553957443</v>
      </c>
      <c r="B252" s="4">
        <v>42494</v>
      </c>
      <c r="C252">
        <v>1</v>
      </c>
      <c r="D252">
        <v>447</v>
      </c>
      <c r="E252">
        <v>470</v>
      </c>
    </row>
    <row r="253" spans="1:5">
      <c r="A253">
        <v>5553957443</v>
      </c>
      <c r="B253" s="4">
        <v>42495</v>
      </c>
      <c r="C253">
        <v>1</v>
      </c>
      <c r="D253">
        <v>419</v>
      </c>
      <c r="E253">
        <v>464</v>
      </c>
    </row>
    <row r="254" spans="1:5">
      <c r="A254">
        <v>5553957443</v>
      </c>
      <c r="B254" s="4">
        <v>42496</v>
      </c>
      <c r="C254">
        <v>1</v>
      </c>
      <c r="D254">
        <v>400</v>
      </c>
      <c r="E254">
        <v>434</v>
      </c>
    </row>
    <row r="255" spans="1:5">
      <c r="A255">
        <v>5553957443</v>
      </c>
      <c r="B255" s="4">
        <v>42497</v>
      </c>
      <c r="C255">
        <v>1</v>
      </c>
      <c r="D255">
        <v>442</v>
      </c>
      <c r="E255">
        <v>470</v>
      </c>
    </row>
    <row r="256" spans="1:5">
      <c r="A256">
        <v>5553957443</v>
      </c>
      <c r="B256" s="4">
        <v>42498</v>
      </c>
      <c r="C256">
        <v>1</v>
      </c>
      <c r="D256">
        <v>568</v>
      </c>
      <c r="E256">
        <v>608</v>
      </c>
    </row>
    <row r="257" spans="1:5">
      <c r="A257">
        <v>5553957443</v>
      </c>
      <c r="B257" s="4">
        <v>42499</v>
      </c>
      <c r="C257">
        <v>1</v>
      </c>
      <c r="D257">
        <v>453</v>
      </c>
      <c r="E257">
        <v>494</v>
      </c>
    </row>
    <row r="258" spans="1:5">
      <c r="A258">
        <v>5553957443</v>
      </c>
      <c r="B258" s="4">
        <v>42500</v>
      </c>
      <c r="C258">
        <v>1</v>
      </c>
      <c r="D258">
        <v>418</v>
      </c>
      <c r="E258">
        <v>443</v>
      </c>
    </row>
    <row r="259" spans="1:5">
      <c r="A259">
        <v>5553957443</v>
      </c>
      <c r="B259" s="4">
        <v>42501</v>
      </c>
      <c r="C259">
        <v>1</v>
      </c>
      <c r="D259">
        <v>463</v>
      </c>
      <c r="E259">
        <v>486</v>
      </c>
    </row>
    <row r="260" spans="1:5">
      <c r="A260">
        <v>5553957443</v>
      </c>
      <c r="B260" s="4">
        <v>42502</v>
      </c>
      <c r="C260">
        <v>1</v>
      </c>
      <c r="D260">
        <v>438</v>
      </c>
      <c r="E260">
        <v>475</v>
      </c>
    </row>
    <row r="261" spans="1:5">
      <c r="A261">
        <v>5577150313</v>
      </c>
      <c r="B261" s="4">
        <v>42472</v>
      </c>
      <c r="C261">
        <v>1</v>
      </c>
      <c r="D261">
        <v>419</v>
      </c>
      <c r="E261">
        <v>438</v>
      </c>
    </row>
    <row r="262" spans="1:5">
      <c r="A262">
        <v>5577150313</v>
      </c>
      <c r="B262" s="4">
        <v>42473</v>
      </c>
      <c r="C262">
        <v>1</v>
      </c>
      <c r="D262">
        <v>432</v>
      </c>
      <c r="E262">
        <v>458</v>
      </c>
    </row>
    <row r="263" spans="1:5">
      <c r="A263">
        <v>5577150313</v>
      </c>
      <c r="B263" s="4">
        <v>42474</v>
      </c>
      <c r="C263">
        <v>1</v>
      </c>
      <c r="D263">
        <v>477</v>
      </c>
      <c r="E263">
        <v>497</v>
      </c>
    </row>
    <row r="264" spans="1:5">
      <c r="A264">
        <v>5577150313</v>
      </c>
      <c r="B264" s="4">
        <v>42475</v>
      </c>
      <c r="C264">
        <v>1</v>
      </c>
      <c r="D264">
        <v>392</v>
      </c>
      <c r="E264">
        <v>413</v>
      </c>
    </row>
    <row r="265" spans="1:5">
      <c r="A265">
        <v>5577150313</v>
      </c>
      <c r="B265" s="4">
        <v>42476</v>
      </c>
      <c r="C265">
        <v>1</v>
      </c>
      <c r="D265">
        <v>406</v>
      </c>
      <c r="E265">
        <v>445</v>
      </c>
    </row>
    <row r="266" spans="1:5">
      <c r="A266">
        <v>5577150313</v>
      </c>
      <c r="B266" s="4">
        <v>42477</v>
      </c>
      <c r="C266">
        <v>1</v>
      </c>
      <c r="D266">
        <v>549</v>
      </c>
      <c r="E266">
        <v>583</v>
      </c>
    </row>
    <row r="267" spans="1:5">
      <c r="A267">
        <v>5577150313</v>
      </c>
      <c r="B267" s="4">
        <v>42478</v>
      </c>
      <c r="C267">
        <v>1</v>
      </c>
      <c r="D267">
        <v>527</v>
      </c>
      <c r="E267">
        <v>553</v>
      </c>
    </row>
    <row r="268" spans="1:5">
      <c r="A268">
        <v>5577150313</v>
      </c>
      <c r="B268" s="4">
        <v>42479</v>
      </c>
      <c r="C268">
        <v>1</v>
      </c>
      <c r="D268">
        <v>449</v>
      </c>
      <c r="E268">
        <v>465</v>
      </c>
    </row>
    <row r="269" spans="1:5">
      <c r="A269">
        <v>5577150313</v>
      </c>
      <c r="B269" s="4">
        <v>42480</v>
      </c>
      <c r="C269">
        <v>1</v>
      </c>
      <c r="D269">
        <v>447</v>
      </c>
      <c r="E269">
        <v>480</v>
      </c>
    </row>
    <row r="270" spans="1:5">
      <c r="A270">
        <v>5577150313</v>
      </c>
      <c r="B270" s="4">
        <v>42481</v>
      </c>
      <c r="C270">
        <v>1</v>
      </c>
      <c r="D270">
        <v>414</v>
      </c>
      <c r="E270">
        <v>437</v>
      </c>
    </row>
    <row r="271" spans="1:5">
      <c r="A271">
        <v>5577150313</v>
      </c>
      <c r="B271" s="4">
        <v>42482</v>
      </c>
      <c r="C271">
        <v>1</v>
      </c>
      <c r="D271">
        <v>338</v>
      </c>
      <c r="E271">
        <v>366</v>
      </c>
    </row>
    <row r="272" spans="1:5">
      <c r="A272">
        <v>5577150313</v>
      </c>
      <c r="B272" s="4">
        <v>42483</v>
      </c>
      <c r="C272">
        <v>1</v>
      </c>
      <c r="D272">
        <v>384</v>
      </c>
      <c r="E272">
        <v>402</v>
      </c>
    </row>
    <row r="273" spans="1:5">
      <c r="A273">
        <v>5577150313</v>
      </c>
      <c r="B273" s="4">
        <v>42484</v>
      </c>
      <c r="C273">
        <v>1</v>
      </c>
      <c r="D273">
        <v>543</v>
      </c>
      <c r="E273">
        <v>615</v>
      </c>
    </row>
    <row r="274" spans="1:5">
      <c r="A274">
        <v>5577150313</v>
      </c>
      <c r="B274" s="4">
        <v>42485</v>
      </c>
      <c r="C274">
        <v>1</v>
      </c>
      <c r="D274">
        <v>421</v>
      </c>
      <c r="E274">
        <v>461</v>
      </c>
    </row>
    <row r="275" spans="1:5">
      <c r="A275">
        <v>5577150313</v>
      </c>
      <c r="B275" s="4">
        <v>42486</v>
      </c>
      <c r="C275">
        <v>1</v>
      </c>
      <c r="D275">
        <v>354</v>
      </c>
      <c r="E275">
        <v>377</v>
      </c>
    </row>
    <row r="276" spans="1:5">
      <c r="A276">
        <v>5577150313</v>
      </c>
      <c r="B276" s="4">
        <v>42487</v>
      </c>
      <c r="C276">
        <v>1</v>
      </c>
      <c r="D276">
        <v>424</v>
      </c>
      <c r="E276">
        <v>452</v>
      </c>
    </row>
    <row r="277" spans="1:5">
      <c r="A277">
        <v>5577150313</v>
      </c>
      <c r="B277" s="4">
        <v>42488</v>
      </c>
      <c r="C277">
        <v>1</v>
      </c>
      <c r="D277">
        <v>361</v>
      </c>
      <c r="E277">
        <v>372</v>
      </c>
    </row>
    <row r="278" spans="1:5">
      <c r="A278">
        <v>5577150313</v>
      </c>
      <c r="B278" s="4">
        <v>42489</v>
      </c>
      <c r="C278">
        <v>1</v>
      </c>
      <c r="D278">
        <v>459</v>
      </c>
      <c r="E278">
        <v>485</v>
      </c>
    </row>
    <row r="279" spans="1:5">
      <c r="A279">
        <v>5577150313</v>
      </c>
      <c r="B279" s="4">
        <v>42490</v>
      </c>
      <c r="C279">
        <v>1</v>
      </c>
      <c r="D279">
        <v>412</v>
      </c>
      <c r="E279">
        <v>433</v>
      </c>
    </row>
    <row r="280" spans="1:5">
      <c r="A280">
        <v>5577150313</v>
      </c>
      <c r="B280" s="4">
        <v>42491</v>
      </c>
      <c r="C280">
        <v>1</v>
      </c>
      <c r="D280">
        <v>379</v>
      </c>
      <c r="E280">
        <v>398</v>
      </c>
    </row>
    <row r="281" spans="1:5">
      <c r="A281">
        <v>5577150313</v>
      </c>
      <c r="B281" s="4">
        <v>42492</v>
      </c>
      <c r="C281">
        <v>2</v>
      </c>
      <c r="D281">
        <v>525</v>
      </c>
      <c r="E281">
        <v>553</v>
      </c>
    </row>
    <row r="282" spans="1:5">
      <c r="A282">
        <v>5577150313</v>
      </c>
      <c r="B282" s="4">
        <v>42493</v>
      </c>
      <c r="C282">
        <v>1</v>
      </c>
      <c r="D282">
        <v>508</v>
      </c>
      <c r="E282">
        <v>543</v>
      </c>
    </row>
    <row r="283" spans="1:5">
      <c r="A283">
        <v>5577150313</v>
      </c>
      <c r="B283" s="4">
        <v>42494</v>
      </c>
      <c r="C283">
        <v>1</v>
      </c>
      <c r="D283">
        <v>603</v>
      </c>
      <c r="E283">
        <v>634</v>
      </c>
    </row>
    <row r="284" spans="1:5">
      <c r="A284">
        <v>5577150313</v>
      </c>
      <c r="B284" s="4">
        <v>42495</v>
      </c>
      <c r="C284">
        <v>1</v>
      </c>
      <c r="D284">
        <v>74</v>
      </c>
      <c r="E284">
        <v>78</v>
      </c>
    </row>
    <row r="285" spans="1:5">
      <c r="A285">
        <v>5577150313</v>
      </c>
      <c r="B285" s="4">
        <v>42500</v>
      </c>
      <c r="C285">
        <v>1</v>
      </c>
      <c r="D285">
        <v>504</v>
      </c>
      <c r="E285">
        <v>562</v>
      </c>
    </row>
    <row r="286" spans="1:5">
      <c r="A286">
        <v>5577150313</v>
      </c>
      <c r="B286" s="4">
        <v>42501</v>
      </c>
      <c r="C286">
        <v>1</v>
      </c>
      <c r="D286">
        <v>431</v>
      </c>
      <c r="E286">
        <v>476</v>
      </c>
    </row>
    <row r="287" spans="1:5">
      <c r="A287">
        <v>6117666160</v>
      </c>
      <c r="B287" s="4">
        <v>42476</v>
      </c>
      <c r="C287">
        <v>1</v>
      </c>
      <c r="D287">
        <v>380</v>
      </c>
      <c r="E287">
        <v>398</v>
      </c>
    </row>
    <row r="288" spans="1:5">
      <c r="A288">
        <v>6117666160</v>
      </c>
      <c r="B288" s="4">
        <v>42477</v>
      </c>
      <c r="C288">
        <v>2</v>
      </c>
      <c r="D288">
        <v>336</v>
      </c>
      <c r="E288">
        <v>350</v>
      </c>
    </row>
    <row r="289" spans="1:5">
      <c r="A289">
        <v>6117666160</v>
      </c>
      <c r="B289" s="4">
        <v>42478</v>
      </c>
      <c r="C289">
        <v>2</v>
      </c>
      <c r="D289">
        <v>493</v>
      </c>
      <c r="E289">
        <v>510</v>
      </c>
    </row>
    <row r="290" spans="1:5">
      <c r="A290">
        <v>6117666160</v>
      </c>
      <c r="B290" s="4">
        <v>42479</v>
      </c>
      <c r="C290">
        <v>1</v>
      </c>
      <c r="D290">
        <v>465</v>
      </c>
      <c r="E290">
        <v>492</v>
      </c>
    </row>
    <row r="291" spans="1:5">
      <c r="A291">
        <v>6117666160</v>
      </c>
      <c r="B291" s="4">
        <v>42480</v>
      </c>
      <c r="C291">
        <v>1</v>
      </c>
      <c r="D291">
        <v>474</v>
      </c>
      <c r="E291">
        <v>502</v>
      </c>
    </row>
    <row r="292" spans="1:5">
      <c r="A292">
        <v>6117666160</v>
      </c>
      <c r="B292" s="4">
        <v>42481</v>
      </c>
      <c r="C292">
        <v>1</v>
      </c>
      <c r="D292">
        <v>508</v>
      </c>
      <c r="E292">
        <v>550</v>
      </c>
    </row>
    <row r="293" spans="1:5">
      <c r="A293">
        <v>6117666160</v>
      </c>
      <c r="B293" s="4">
        <v>42482</v>
      </c>
      <c r="C293">
        <v>1</v>
      </c>
      <c r="D293">
        <v>480</v>
      </c>
      <c r="E293">
        <v>546</v>
      </c>
    </row>
    <row r="294" spans="1:5">
      <c r="A294">
        <v>6117666160</v>
      </c>
      <c r="B294" s="4">
        <v>42483</v>
      </c>
      <c r="C294">
        <v>1</v>
      </c>
      <c r="D294">
        <v>492</v>
      </c>
      <c r="E294">
        <v>539</v>
      </c>
    </row>
    <row r="295" spans="1:5">
      <c r="A295">
        <v>6117666160</v>
      </c>
      <c r="B295" s="4">
        <v>42484</v>
      </c>
      <c r="C295">
        <v>1</v>
      </c>
      <c r="D295">
        <v>353</v>
      </c>
      <c r="E295">
        <v>367</v>
      </c>
    </row>
    <row r="296" spans="1:5">
      <c r="A296">
        <v>6117666160</v>
      </c>
      <c r="B296" s="4">
        <v>42487</v>
      </c>
      <c r="C296">
        <v>1</v>
      </c>
      <c r="D296">
        <v>542</v>
      </c>
      <c r="E296">
        <v>557</v>
      </c>
    </row>
    <row r="297" spans="1:5">
      <c r="A297">
        <v>6117666160</v>
      </c>
      <c r="B297" s="4">
        <v>42488</v>
      </c>
      <c r="C297">
        <v>1</v>
      </c>
      <c r="D297">
        <v>393</v>
      </c>
      <c r="E297">
        <v>416</v>
      </c>
    </row>
    <row r="298" spans="1:5">
      <c r="A298">
        <v>6117666160</v>
      </c>
      <c r="B298" s="4">
        <v>42489</v>
      </c>
      <c r="C298">
        <v>1</v>
      </c>
      <c r="D298">
        <v>600</v>
      </c>
      <c r="E298">
        <v>636</v>
      </c>
    </row>
    <row r="299" spans="1:5">
      <c r="A299">
        <v>6117666160</v>
      </c>
      <c r="B299" s="4">
        <v>42491</v>
      </c>
      <c r="C299">
        <v>1</v>
      </c>
      <c r="D299">
        <v>507</v>
      </c>
      <c r="E299">
        <v>575</v>
      </c>
    </row>
    <row r="300" spans="1:5">
      <c r="A300">
        <v>6117666160</v>
      </c>
      <c r="B300" s="4">
        <v>42495</v>
      </c>
      <c r="C300">
        <v>1</v>
      </c>
      <c r="D300">
        <v>392</v>
      </c>
      <c r="E300">
        <v>415</v>
      </c>
    </row>
    <row r="301" spans="1:5">
      <c r="A301">
        <v>6117666160</v>
      </c>
      <c r="B301" s="4">
        <v>42496</v>
      </c>
      <c r="C301">
        <v>2</v>
      </c>
      <c r="D301">
        <v>658</v>
      </c>
      <c r="E301">
        <v>698</v>
      </c>
    </row>
    <row r="302" spans="1:5">
      <c r="A302">
        <v>6117666160</v>
      </c>
      <c r="B302" s="4">
        <v>42497</v>
      </c>
      <c r="C302">
        <v>2</v>
      </c>
      <c r="D302">
        <v>498</v>
      </c>
      <c r="E302">
        <v>507</v>
      </c>
    </row>
    <row r="303" spans="1:5">
      <c r="A303">
        <v>6117666160</v>
      </c>
      <c r="B303" s="4">
        <v>42498</v>
      </c>
      <c r="C303">
        <v>1</v>
      </c>
      <c r="D303">
        <v>555</v>
      </c>
      <c r="E303">
        <v>603</v>
      </c>
    </row>
    <row r="304" spans="1:5">
      <c r="A304">
        <v>6117666160</v>
      </c>
      <c r="B304" s="4">
        <v>42499</v>
      </c>
      <c r="C304">
        <v>1</v>
      </c>
      <c r="D304">
        <v>492</v>
      </c>
      <c r="E304">
        <v>522</v>
      </c>
    </row>
    <row r="305" spans="1:5">
      <c r="A305">
        <v>6775888955</v>
      </c>
      <c r="B305" s="4">
        <v>42473</v>
      </c>
      <c r="C305">
        <v>1</v>
      </c>
      <c r="D305">
        <v>235</v>
      </c>
      <c r="E305">
        <v>260</v>
      </c>
    </row>
    <row r="306" spans="1:5">
      <c r="A306">
        <v>6775888955</v>
      </c>
      <c r="B306" s="4">
        <v>42474</v>
      </c>
      <c r="C306">
        <v>1</v>
      </c>
      <c r="D306">
        <v>423</v>
      </c>
      <c r="E306">
        <v>441</v>
      </c>
    </row>
    <row r="307" spans="1:5">
      <c r="A307">
        <v>6775888955</v>
      </c>
      <c r="B307" s="4">
        <v>42475</v>
      </c>
      <c r="C307">
        <v>1</v>
      </c>
      <c r="D307">
        <v>391</v>
      </c>
      <c r="E307">
        <v>406</v>
      </c>
    </row>
    <row r="308" spans="1:5">
      <c r="A308">
        <v>6962181067</v>
      </c>
      <c r="B308" s="4">
        <v>42472</v>
      </c>
      <c r="C308">
        <v>1</v>
      </c>
      <c r="D308">
        <v>366</v>
      </c>
      <c r="E308">
        <v>387</v>
      </c>
    </row>
    <row r="309" spans="1:5">
      <c r="A309">
        <v>6962181067</v>
      </c>
      <c r="B309" s="4">
        <v>42473</v>
      </c>
      <c r="C309">
        <v>3</v>
      </c>
      <c r="D309">
        <v>630</v>
      </c>
      <c r="E309">
        <v>679</v>
      </c>
    </row>
    <row r="310" spans="1:5">
      <c r="A310">
        <v>6962181067</v>
      </c>
      <c r="B310" s="4">
        <v>42474</v>
      </c>
      <c r="C310">
        <v>2</v>
      </c>
      <c r="D310">
        <v>508</v>
      </c>
      <c r="E310">
        <v>535</v>
      </c>
    </row>
    <row r="311" spans="1:5">
      <c r="A311">
        <v>6962181067</v>
      </c>
      <c r="B311" s="4">
        <v>42475</v>
      </c>
      <c r="C311">
        <v>1</v>
      </c>
      <c r="D311">
        <v>370</v>
      </c>
      <c r="E311">
        <v>386</v>
      </c>
    </row>
    <row r="312" spans="1:5">
      <c r="A312">
        <v>6962181067</v>
      </c>
      <c r="B312" s="4">
        <v>42476</v>
      </c>
      <c r="C312">
        <v>1</v>
      </c>
      <c r="D312">
        <v>357</v>
      </c>
      <c r="E312">
        <v>366</v>
      </c>
    </row>
    <row r="313" spans="1:5">
      <c r="A313">
        <v>6962181067</v>
      </c>
      <c r="B313" s="4">
        <v>42477</v>
      </c>
      <c r="C313">
        <v>1</v>
      </c>
      <c r="D313">
        <v>427</v>
      </c>
      <c r="E313">
        <v>446</v>
      </c>
    </row>
    <row r="314" spans="1:5">
      <c r="A314">
        <v>6962181067</v>
      </c>
      <c r="B314" s="4">
        <v>42478</v>
      </c>
      <c r="C314">
        <v>1</v>
      </c>
      <c r="D314">
        <v>442</v>
      </c>
      <c r="E314">
        <v>458</v>
      </c>
    </row>
    <row r="315" spans="1:5">
      <c r="A315">
        <v>6962181067</v>
      </c>
      <c r="B315" s="4">
        <v>42479</v>
      </c>
      <c r="C315">
        <v>1</v>
      </c>
      <c r="D315">
        <v>476</v>
      </c>
      <c r="E315">
        <v>535</v>
      </c>
    </row>
    <row r="316" spans="1:5">
      <c r="A316">
        <v>6962181067</v>
      </c>
      <c r="B316" s="4">
        <v>42480</v>
      </c>
      <c r="C316">
        <v>1</v>
      </c>
      <c r="D316">
        <v>418</v>
      </c>
      <c r="E316">
        <v>424</v>
      </c>
    </row>
    <row r="317" spans="1:5">
      <c r="A317">
        <v>6962181067</v>
      </c>
      <c r="B317" s="4">
        <v>42481</v>
      </c>
      <c r="C317">
        <v>1</v>
      </c>
      <c r="D317">
        <v>451</v>
      </c>
      <c r="E317">
        <v>457</v>
      </c>
    </row>
    <row r="318" spans="1:5">
      <c r="A318">
        <v>6962181067</v>
      </c>
      <c r="B318" s="4">
        <v>42482</v>
      </c>
      <c r="C318">
        <v>1</v>
      </c>
      <c r="D318">
        <v>425</v>
      </c>
      <c r="E318">
        <v>435</v>
      </c>
    </row>
    <row r="319" spans="1:5">
      <c r="A319">
        <v>6962181067</v>
      </c>
      <c r="B319" s="4">
        <v>42483</v>
      </c>
      <c r="C319">
        <v>1</v>
      </c>
      <c r="D319">
        <v>528</v>
      </c>
      <c r="E319">
        <v>546</v>
      </c>
    </row>
    <row r="320" spans="1:5">
      <c r="A320">
        <v>6962181067</v>
      </c>
      <c r="B320" s="4">
        <v>42484</v>
      </c>
      <c r="C320">
        <v>1</v>
      </c>
      <c r="D320">
        <v>511</v>
      </c>
      <c r="E320">
        <v>514</v>
      </c>
    </row>
    <row r="321" spans="1:5">
      <c r="A321">
        <v>6962181067</v>
      </c>
      <c r="B321" s="4">
        <v>42485</v>
      </c>
      <c r="C321">
        <v>1</v>
      </c>
      <c r="D321">
        <v>400</v>
      </c>
      <c r="E321">
        <v>415</v>
      </c>
    </row>
    <row r="322" spans="1:5">
      <c r="A322">
        <v>6962181067</v>
      </c>
      <c r="B322" s="4">
        <v>42486</v>
      </c>
      <c r="C322">
        <v>1</v>
      </c>
      <c r="D322">
        <v>441</v>
      </c>
      <c r="E322">
        <v>446</v>
      </c>
    </row>
    <row r="323" spans="1:5">
      <c r="A323">
        <v>6962181067</v>
      </c>
      <c r="B323" s="4">
        <v>42487</v>
      </c>
      <c r="C323">
        <v>1</v>
      </c>
      <c r="D323">
        <v>455</v>
      </c>
      <c r="E323">
        <v>467</v>
      </c>
    </row>
    <row r="324" spans="1:5">
      <c r="A324">
        <v>6962181067</v>
      </c>
      <c r="B324" s="4">
        <v>42488</v>
      </c>
      <c r="C324">
        <v>1</v>
      </c>
      <c r="D324">
        <v>440</v>
      </c>
      <c r="E324">
        <v>453</v>
      </c>
    </row>
    <row r="325" spans="1:5">
      <c r="A325">
        <v>6962181067</v>
      </c>
      <c r="B325" s="4">
        <v>42489</v>
      </c>
      <c r="C325">
        <v>1</v>
      </c>
      <c r="D325">
        <v>433</v>
      </c>
      <c r="E325">
        <v>447</v>
      </c>
    </row>
    <row r="326" spans="1:5">
      <c r="A326">
        <v>6962181067</v>
      </c>
      <c r="B326" s="4">
        <v>42490</v>
      </c>
      <c r="C326">
        <v>1</v>
      </c>
      <c r="D326">
        <v>422</v>
      </c>
      <c r="E326">
        <v>424</v>
      </c>
    </row>
    <row r="327" spans="1:5">
      <c r="A327">
        <v>6962181067</v>
      </c>
      <c r="B327" s="4">
        <v>42491</v>
      </c>
      <c r="C327">
        <v>1</v>
      </c>
      <c r="D327">
        <v>411</v>
      </c>
      <c r="E327">
        <v>426</v>
      </c>
    </row>
    <row r="328" spans="1:5">
      <c r="A328">
        <v>6962181067</v>
      </c>
      <c r="B328" s="4">
        <v>42492</v>
      </c>
      <c r="C328">
        <v>1</v>
      </c>
      <c r="D328">
        <v>466</v>
      </c>
      <c r="E328">
        <v>482</v>
      </c>
    </row>
    <row r="329" spans="1:5">
      <c r="A329">
        <v>6962181067</v>
      </c>
      <c r="B329" s="4">
        <v>42493</v>
      </c>
      <c r="C329">
        <v>1</v>
      </c>
      <c r="D329">
        <v>394</v>
      </c>
      <c r="E329">
        <v>418</v>
      </c>
    </row>
    <row r="330" spans="1:5">
      <c r="A330">
        <v>6962181067</v>
      </c>
      <c r="B330" s="4">
        <v>42494</v>
      </c>
      <c r="C330">
        <v>1</v>
      </c>
      <c r="D330">
        <v>442</v>
      </c>
      <c r="E330">
        <v>455</v>
      </c>
    </row>
    <row r="331" spans="1:5">
      <c r="A331">
        <v>6962181067</v>
      </c>
      <c r="B331" s="4">
        <v>42495</v>
      </c>
      <c r="C331">
        <v>1</v>
      </c>
      <c r="D331">
        <v>467</v>
      </c>
      <c r="E331">
        <v>491</v>
      </c>
    </row>
    <row r="332" spans="1:5">
      <c r="A332">
        <v>6962181067</v>
      </c>
      <c r="B332" s="4">
        <v>42496</v>
      </c>
      <c r="C332">
        <v>1</v>
      </c>
      <c r="D332">
        <v>443</v>
      </c>
      <c r="E332">
        <v>462</v>
      </c>
    </row>
    <row r="333" spans="1:5">
      <c r="A333">
        <v>6962181067</v>
      </c>
      <c r="B333" s="4">
        <v>42497</v>
      </c>
      <c r="C333">
        <v>1</v>
      </c>
      <c r="D333">
        <v>298</v>
      </c>
      <c r="E333">
        <v>334</v>
      </c>
    </row>
    <row r="334" spans="1:5">
      <c r="A334">
        <v>6962181067</v>
      </c>
      <c r="B334" s="4">
        <v>42498</v>
      </c>
      <c r="C334">
        <v>1</v>
      </c>
      <c r="D334">
        <v>541</v>
      </c>
      <c r="E334">
        <v>569</v>
      </c>
    </row>
    <row r="335" spans="1:5">
      <c r="A335">
        <v>6962181067</v>
      </c>
      <c r="B335" s="4">
        <v>42499</v>
      </c>
      <c r="C335">
        <v>1</v>
      </c>
      <c r="D335">
        <v>489</v>
      </c>
      <c r="E335">
        <v>497</v>
      </c>
    </row>
    <row r="336" spans="1:5">
      <c r="A336">
        <v>6962181067</v>
      </c>
      <c r="B336" s="4">
        <v>42500</v>
      </c>
      <c r="C336">
        <v>1</v>
      </c>
      <c r="D336">
        <v>469</v>
      </c>
      <c r="E336">
        <v>481</v>
      </c>
    </row>
    <row r="337" spans="1:5">
      <c r="A337">
        <v>6962181067</v>
      </c>
      <c r="B337" s="4">
        <v>42501</v>
      </c>
      <c r="C337">
        <v>1</v>
      </c>
      <c r="D337">
        <v>452</v>
      </c>
      <c r="E337">
        <v>480</v>
      </c>
    </row>
    <row r="338" spans="1:5">
      <c r="A338">
        <v>6962181067</v>
      </c>
      <c r="B338" s="4">
        <v>42502</v>
      </c>
      <c r="C338">
        <v>1</v>
      </c>
      <c r="D338">
        <v>516</v>
      </c>
      <c r="E338">
        <v>535</v>
      </c>
    </row>
    <row r="339" spans="1:5">
      <c r="A339">
        <v>7007744171</v>
      </c>
      <c r="B339" s="4">
        <v>42476</v>
      </c>
      <c r="C339">
        <v>1</v>
      </c>
      <c r="D339">
        <v>79</v>
      </c>
      <c r="E339">
        <v>82</v>
      </c>
    </row>
    <row r="340" spans="1:5">
      <c r="A340">
        <v>7007744171</v>
      </c>
      <c r="B340" s="4">
        <v>42491</v>
      </c>
      <c r="C340">
        <v>1</v>
      </c>
      <c r="D340">
        <v>58</v>
      </c>
      <c r="E340">
        <v>61</v>
      </c>
    </row>
    <row r="341" spans="1:5">
      <c r="A341">
        <v>7086361926</v>
      </c>
      <c r="B341" s="4">
        <v>42472</v>
      </c>
      <c r="C341">
        <v>1</v>
      </c>
      <c r="D341">
        <v>514</v>
      </c>
      <c r="E341">
        <v>525</v>
      </c>
    </row>
    <row r="342" spans="1:5">
      <c r="A342">
        <v>7086361926</v>
      </c>
      <c r="B342" s="4">
        <v>42473</v>
      </c>
      <c r="C342">
        <v>1</v>
      </c>
      <c r="D342">
        <v>451</v>
      </c>
      <c r="E342">
        <v>465</v>
      </c>
    </row>
    <row r="343" spans="1:5">
      <c r="A343">
        <v>7086361926</v>
      </c>
      <c r="B343" s="4">
        <v>42474</v>
      </c>
      <c r="C343">
        <v>1</v>
      </c>
      <c r="D343">
        <v>472</v>
      </c>
      <c r="E343">
        <v>476</v>
      </c>
    </row>
    <row r="344" spans="1:5">
      <c r="A344">
        <v>7086361926</v>
      </c>
      <c r="B344" s="4">
        <v>42475</v>
      </c>
      <c r="C344">
        <v>1</v>
      </c>
      <c r="D344">
        <v>377</v>
      </c>
      <c r="E344">
        <v>386</v>
      </c>
    </row>
    <row r="345" spans="1:5">
      <c r="A345">
        <v>7086361926</v>
      </c>
      <c r="B345" s="4">
        <v>42479</v>
      </c>
      <c r="C345">
        <v>1</v>
      </c>
      <c r="D345">
        <v>472</v>
      </c>
      <c r="E345">
        <v>483</v>
      </c>
    </row>
    <row r="346" spans="1:5">
      <c r="A346">
        <v>7086361926</v>
      </c>
      <c r="B346" s="4">
        <v>42480</v>
      </c>
      <c r="C346">
        <v>1</v>
      </c>
      <c r="D346">
        <v>492</v>
      </c>
      <c r="E346">
        <v>502</v>
      </c>
    </row>
    <row r="347" spans="1:5">
      <c r="A347">
        <v>7086361926</v>
      </c>
      <c r="B347" s="4">
        <v>42481</v>
      </c>
      <c r="C347">
        <v>1</v>
      </c>
      <c r="D347">
        <v>390</v>
      </c>
      <c r="E347">
        <v>411</v>
      </c>
    </row>
    <row r="348" spans="1:5">
      <c r="A348">
        <v>7086361926</v>
      </c>
      <c r="B348" s="4">
        <v>42482</v>
      </c>
      <c r="C348">
        <v>1</v>
      </c>
      <c r="D348">
        <v>428</v>
      </c>
      <c r="E348">
        <v>448</v>
      </c>
    </row>
    <row r="349" spans="1:5">
      <c r="A349">
        <v>7086361926</v>
      </c>
      <c r="B349" s="4">
        <v>42484</v>
      </c>
      <c r="C349">
        <v>1</v>
      </c>
      <c r="D349">
        <v>681</v>
      </c>
      <c r="E349">
        <v>704</v>
      </c>
    </row>
    <row r="350" spans="1:5">
      <c r="A350">
        <v>7086361926</v>
      </c>
      <c r="B350" s="4">
        <v>42485</v>
      </c>
      <c r="C350">
        <v>1</v>
      </c>
      <c r="D350">
        <v>446</v>
      </c>
      <c r="E350">
        <v>447</v>
      </c>
    </row>
    <row r="351" spans="1:5">
      <c r="A351">
        <v>7086361926</v>
      </c>
      <c r="B351" s="4">
        <v>42486</v>
      </c>
      <c r="C351">
        <v>1</v>
      </c>
      <c r="D351">
        <v>485</v>
      </c>
      <c r="E351">
        <v>500</v>
      </c>
    </row>
    <row r="352" spans="1:5">
      <c r="A352">
        <v>7086361926</v>
      </c>
      <c r="B352" s="4">
        <v>42487</v>
      </c>
      <c r="C352">
        <v>1</v>
      </c>
      <c r="D352">
        <v>469</v>
      </c>
      <c r="E352">
        <v>479</v>
      </c>
    </row>
    <row r="353" spans="1:5">
      <c r="A353">
        <v>7086361926</v>
      </c>
      <c r="B353" s="4">
        <v>42488</v>
      </c>
      <c r="C353">
        <v>1</v>
      </c>
      <c r="D353">
        <v>354</v>
      </c>
      <c r="E353">
        <v>367</v>
      </c>
    </row>
    <row r="354" spans="1:5">
      <c r="A354">
        <v>7086361926</v>
      </c>
      <c r="B354" s="4">
        <v>42490</v>
      </c>
      <c r="C354">
        <v>1</v>
      </c>
      <c r="D354">
        <v>485</v>
      </c>
      <c r="E354">
        <v>489</v>
      </c>
    </row>
    <row r="355" spans="1:5">
      <c r="A355">
        <v>7086361926</v>
      </c>
      <c r="B355" s="4">
        <v>42491</v>
      </c>
      <c r="C355">
        <v>1</v>
      </c>
      <c r="D355">
        <v>388</v>
      </c>
      <c r="E355">
        <v>407</v>
      </c>
    </row>
    <row r="356" spans="1:5">
      <c r="A356">
        <v>7086361926</v>
      </c>
      <c r="B356" s="4">
        <v>42492</v>
      </c>
      <c r="C356">
        <v>1</v>
      </c>
      <c r="D356">
        <v>440</v>
      </c>
      <c r="E356">
        <v>459</v>
      </c>
    </row>
    <row r="357" spans="1:5">
      <c r="A357">
        <v>7086361926</v>
      </c>
      <c r="B357" s="4">
        <v>42493</v>
      </c>
      <c r="C357">
        <v>1</v>
      </c>
      <c r="D357">
        <v>456</v>
      </c>
      <c r="E357">
        <v>461</v>
      </c>
    </row>
    <row r="358" spans="1:5">
      <c r="A358">
        <v>7086361926</v>
      </c>
      <c r="B358" s="4">
        <v>42494</v>
      </c>
      <c r="C358">
        <v>1</v>
      </c>
      <c r="D358">
        <v>420</v>
      </c>
      <c r="E358">
        <v>436</v>
      </c>
    </row>
    <row r="359" spans="1:5">
      <c r="A359">
        <v>7086361926</v>
      </c>
      <c r="B359" s="4">
        <v>42496</v>
      </c>
      <c r="C359">
        <v>1</v>
      </c>
      <c r="D359">
        <v>322</v>
      </c>
      <c r="E359">
        <v>333</v>
      </c>
    </row>
    <row r="360" spans="1:5">
      <c r="A360">
        <v>7086361926</v>
      </c>
      <c r="B360" s="4">
        <v>42497</v>
      </c>
      <c r="C360">
        <v>1</v>
      </c>
      <c r="D360">
        <v>530</v>
      </c>
      <c r="E360">
        <v>548</v>
      </c>
    </row>
    <row r="361" spans="1:5">
      <c r="A361">
        <v>7086361926</v>
      </c>
      <c r="B361" s="4">
        <v>42498</v>
      </c>
      <c r="C361">
        <v>1</v>
      </c>
      <c r="D361">
        <v>481</v>
      </c>
      <c r="E361">
        <v>510</v>
      </c>
    </row>
    <row r="362" spans="1:5">
      <c r="A362">
        <v>7086361926</v>
      </c>
      <c r="B362" s="4">
        <v>42499</v>
      </c>
      <c r="C362">
        <v>1</v>
      </c>
      <c r="D362">
        <v>427</v>
      </c>
      <c r="E362">
        <v>438</v>
      </c>
    </row>
    <row r="363" spans="1:5">
      <c r="A363">
        <v>7086361926</v>
      </c>
      <c r="B363" s="4">
        <v>42501</v>
      </c>
      <c r="C363">
        <v>1</v>
      </c>
      <c r="D363">
        <v>451</v>
      </c>
      <c r="E363">
        <v>463</v>
      </c>
    </row>
    <row r="364" spans="1:5">
      <c r="A364">
        <v>7086361926</v>
      </c>
      <c r="B364" s="4">
        <v>42502</v>
      </c>
      <c r="C364">
        <v>1</v>
      </c>
      <c r="D364">
        <v>444</v>
      </c>
      <c r="E364">
        <v>457</v>
      </c>
    </row>
    <row r="365" spans="1:5">
      <c r="A365">
        <v>8053475328</v>
      </c>
      <c r="B365" s="4">
        <v>42480</v>
      </c>
      <c r="C365">
        <v>1</v>
      </c>
      <c r="D365">
        <v>486</v>
      </c>
      <c r="E365">
        <v>493</v>
      </c>
    </row>
    <row r="366" spans="1:5">
      <c r="A366">
        <v>8053475328</v>
      </c>
      <c r="B366" s="4">
        <v>42483</v>
      </c>
      <c r="C366">
        <v>1</v>
      </c>
      <c r="D366">
        <v>331</v>
      </c>
      <c r="E366">
        <v>337</v>
      </c>
    </row>
    <row r="367" spans="1:5">
      <c r="A367">
        <v>8053475328</v>
      </c>
      <c r="B367" s="4">
        <v>42497</v>
      </c>
      <c r="C367">
        <v>1</v>
      </c>
      <c r="D367">
        <v>74</v>
      </c>
      <c r="E367">
        <v>75</v>
      </c>
    </row>
    <row r="368" spans="1:5">
      <c r="A368">
        <v>8378563200</v>
      </c>
      <c r="B368" s="4">
        <v>42472</v>
      </c>
      <c r="C368">
        <v>1</v>
      </c>
      <c r="D368">
        <v>338</v>
      </c>
      <c r="E368">
        <v>356</v>
      </c>
    </row>
    <row r="369" spans="1:5">
      <c r="A369">
        <v>8378563200</v>
      </c>
      <c r="B369" s="4">
        <v>42473</v>
      </c>
      <c r="C369">
        <v>2</v>
      </c>
      <c r="D369">
        <v>447</v>
      </c>
      <c r="E369">
        <v>487</v>
      </c>
    </row>
    <row r="370" spans="1:5">
      <c r="A370">
        <v>8378563200</v>
      </c>
      <c r="B370" s="4">
        <v>42474</v>
      </c>
      <c r="C370">
        <v>1</v>
      </c>
      <c r="D370">
        <v>424</v>
      </c>
      <c r="E370">
        <v>455</v>
      </c>
    </row>
    <row r="371" spans="1:5">
      <c r="A371">
        <v>8378563200</v>
      </c>
      <c r="B371" s="4">
        <v>42475</v>
      </c>
      <c r="C371">
        <v>1</v>
      </c>
      <c r="D371">
        <v>513</v>
      </c>
      <c r="E371">
        <v>533</v>
      </c>
    </row>
    <row r="372" spans="1:5">
      <c r="A372">
        <v>8378563200</v>
      </c>
      <c r="B372" s="4">
        <v>42476</v>
      </c>
      <c r="C372">
        <v>2</v>
      </c>
      <c r="D372">
        <v>611</v>
      </c>
      <c r="E372">
        <v>689</v>
      </c>
    </row>
    <row r="373" spans="1:5">
      <c r="A373">
        <v>8378563200</v>
      </c>
      <c r="B373" s="4">
        <v>42477</v>
      </c>
      <c r="C373">
        <v>2</v>
      </c>
      <c r="D373">
        <v>525</v>
      </c>
      <c r="E373">
        <v>591</v>
      </c>
    </row>
    <row r="374" spans="1:5">
      <c r="A374">
        <v>8378563200</v>
      </c>
      <c r="B374" s="4">
        <v>42478</v>
      </c>
      <c r="C374">
        <v>1</v>
      </c>
      <c r="D374">
        <v>398</v>
      </c>
      <c r="E374">
        <v>451</v>
      </c>
    </row>
    <row r="375" spans="1:5">
      <c r="A375">
        <v>8378563200</v>
      </c>
      <c r="B375" s="4">
        <v>42479</v>
      </c>
      <c r="C375">
        <v>1</v>
      </c>
      <c r="D375">
        <v>387</v>
      </c>
      <c r="E375">
        <v>421</v>
      </c>
    </row>
    <row r="376" spans="1:5">
      <c r="A376">
        <v>8378563200</v>
      </c>
      <c r="B376" s="4">
        <v>42480</v>
      </c>
      <c r="C376">
        <v>1</v>
      </c>
      <c r="D376">
        <v>381</v>
      </c>
      <c r="E376">
        <v>409</v>
      </c>
    </row>
    <row r="377" spans="1:5">
      <c r="A377">
        <v>8378563200</v>
      </c>
      <c r="B377" s="4">
        <v>42481</v>
      </c>
      <c r="C377">
        <v>1</v>
      </c>
      <c r="D377">
        <v>396</v>
      </c>
      <c r="E377">
        <v>417</v>
      </c>
    </row>
    <row r="378" spans="1:5">
      <c r="A378">
        <v>8378563200</v>
      </c>
      <c r="B378" s="4">
        <v>42482</v>
      </c>
      <c r="C378">
        <v>1</v>
      </c>
      <c r="D378">
        <v>441</v>
      </c>
      <c r="E378">
        <v>469</v>
      </c>
    </row>
    <row r="379" spans="1:5">
      <c r="A379">
        <v>8378563200</v>
      </c>
      <c r="B379" s="4">
        <v>42483</v>
      </c>
      <c r="C379">
        <v>1</v>
      </c>
      <c r="D379">
        <v>565</v>
      </c>
      <c r="E379">
        <v>591</v>
      </c>
    </row>
    <row r="380" spans="1:5">
      <c r="A380">
        <v>8378563200</v>
      </c>
      <c r="B380" s="4">
        <v>42484</v>
      </c>
      <c r="C380">
        <v>1</v>
      </c>
      <c r="D380">
        <v>458</v>
      </c>
      <c r="E380">
        <v>492</v>
      </c>
    </row>
    <row r="381" spans="1:5">
      <c r="A381">
        <v>8378563200</v>
      </c>
      <c r="B381" s="4">
        <v>42485</v>
      </c>
      <c r="C381">
        <v>1</v>
      </c>
      <c r="D381">
        <v>388</v>
      </c>
      <c r="E381">
        <v>402</v>
      </c>
    </row>
    <row r="382" spans="1:5">
      <c r="A382">
        <v>8378563200</v>
      </c>
      <c r="B382" s="4">
        <v>42485</v>
      </c>
      <c r="C382">
        <v>1</v>
      </c>
      <c r="D382">
        <v>388</v>
      </c>
      <c r="E382">
        <v>402</v>
      </c>
    </row>
    <row r="383" spans="1:5">
      <c r="A383">
        <v>8378563200</v>
      </c>
      <c r="B383" s="4">
        <v>42486</v>
      </c>
      <c r="C383">
        <v>1</v>
      </c>
      <c r="D383">
        <v>550</v>
      </c>
      <c r="E383">
        <v>584</v>
      </c>
    </row>
    <row r="384" spans="1:5">
      <c r="A384">
        <v>8378563200</v>
      </c>
      <c r="B384" s="4">
        <v>42487</v>
      </c>
      <c r="C384">
        <v>1</v>
      </c>
      <c r="D384">
        <v>531</v>
      </c>
      <c r="E384">
        <v>600</v>
      </c>
    </row>
    <row r="385" spans="1:5">
      <c r="A385">
        <v>8378563200</v>
      </c>
      <c r="B385" s="4">
        <v>42488</v>
      </c>
      <c r="C385">
        <v>1</v>
      </c>
      <c r="D385">
        <v>506</v>
      </c>
      <c r="E385">
        <v>556</v>
      </c>
    </row>
    <row r="386" spans="1:5">
      <c r="A386">
        <v>8378563200</v>
      </c>
      <c r="B386" s="4">
        <v>42489</v>
      </c>
      <c r="C386">
        <v>1</v>
      </c>
      <c r="D386">
        <v>527</v>
      </c>
      <c r="E386">
        <v>562</v>
      </c>
    </row>
    <row r="387" spans="1:5">
      <c r="A387">
        <v>8378563200</v>
      </c>
      <c r="B387" s="4">
        <v>42490</v>
      </c>
      <c r="C387">
        <v>1</v>
      </c>
      <c r="D387">
        <v>468</v>
      </c>
      <c r="E387">
        <v>555</v>
      </c>
    </row>
    <row r="388" spans="1:5">
      <c r="A388">
        <v>8378563200</v>
      </c>
      <c r="B388" s="4">
        <v>42491</v>
      </c>
      <c r="C388">
        <v>1</v>
      </c>
      <c r="D388">
        <v>475</v>
      </c>
      <c r="E388">
        <v>539</v>
      </c>
    </row>
    <row r="389" spans="1:5">
      <c r="A389">
        <v>8378563200</v>
      </c>
      <c r="B389" s="4">
        <v>42492</v>
      </c>
      <c r="C389">
        <v>1</v>
      </c>
      <c r="D389">
        <v>351</v>
      </c>
      <c r="E389">
        <v>385</v>
      </c>
    </row>
    <row r="390" spans="1:5">
      <c r="A390">
        <v>8378563200</v>
      </c>
      <c r="B390" s="4">
        <v>42493</v>
      </c>
      <c r="C390">
        <v>1</v>
      </c>
      <c r="D390">
        <v>405</v>
      </c>
      <c r="E390">
        <v>429</v>
      </c>
    </row>
    <row r="391" spans="1:5">
      <c r="A391">
        <v>8378563200</v>
      </c>
      <c r="B391" s="4">
        <v>42494</v>
      </c>
      <c r="C391">
        <v>1</v>
      </c>
      <c r="D391">
        <v>441</v>
      </c>
      <c r="E391">
        <v>477</v>
      </c>
    </row>
    <row r="392" spans="1:5">
      <c r="A392">
        <v>8378563200</v>
      </c>
      <c r="B392" s="4">
        <v>42495</v>
      </c>
      <c r="C392">
        <v>1</v>
      </c>
      <c r="D392">
        <v>381</v>
      </c>
      <c r="E392">
        <v>417</v>
      </c>
    </row>
    <row r="393" spans="1:5">
      <c r="A393">
        <v>8378563200</v>
      </c>
      <c r="B393" s="4">
        <v>42496</v>
      </c>
      <c r="C393">
        <v>1</v>
      </c>
      <c r="D393">
        <v>323</v>
      </c>
      <c r="E393">
        <v>355</v>
      </c>
    </row>
    <row r="394" spans="1:5">
      <c r="A394">
        <v>8378563200</v>
      </c>
      <c r="B394" s="4">
        <v>42497</v>
      </c>
      <c r="C394">
        <v>2</v>
      </c>
      <c r="D394">
        <v>459</v>
      </c>
      <c r="E394">
        <v>513</v>
      </c>
    </row>
    <row r="395" spans="1:5">
      <c r="A395">
        <v>8378563200</v>
      </c>
      <c r="B395" s="4">
        <v>42498</v>
      </c>
      <c r="C395">
        <v>1</v>
      </c>
      <c r="D395">
        <v>545</v>
      </c>
      <c r="E395">
        <v>606</v>
      </c>
    </row>
    <row r="396" spans="1:5">
      <c r="A396">
        <v>8378563200</v>
      </c>
      <c r="B396" s="4">
        <v>42499</v>
      </c>
      <c r="C396">
        <v>1</v>
      </c>
      <c r="D396">
        <v>359</v>
      </c>
      <c r="E396">
        <v>399</v>
      </c>
    </row>
    <row r="397" spans="1:5">
      <c r="A397">
        <v>8378563200</v>
      </c>
      <c r="B397" s="4">
        <v>42500</v>
      </c>
      <c r="C397">
        <v>1</v>
      </c>
      <c r="D397">
        <v>342</v>
      </c>
      <c r="E397">
        <v>391</v>
      </c>
    </row>
    <row r="398" spans="1:5">
      <c r="A398">
        <v>8378563200</v>
      </c>
      <c r="B398" s="4">
        <v>42501</v>
      </c>
      <c r="C398">
        <v>1</v>
      </c>
      <c r="D398">
        <v>368</v>
      </c>
      <c r="E398">
        <v>387</v>
      </c>
    </row>
    <row r="399" spans="1:5">
      <c r="A399">
        <v>8378563200</v>
      </c>
      <c r="B399" s="4">
        <v>42502</v>
      </c>
      <c r="C399">
        <v>1</v>
      </c>
      <c r="D399">
        <v>496</v>
      </c>
      <c r="E399">
        <v>546</v>
      </c>
    </row>
    <row r="400" spans="1:5">
      <c r="A400">
        <v>8792009665</v>
      </c>
      <c r="B400" s="4">
        <v>42472</v>
      </c>
      <c r="C400">
        <v>1</v>
      </c>
      <c r="D400">
        <v>458</v>
      </c>
      <c r="E400">
        <v>493</v>
      </c>
    </row>
    <row r="401" spans="1:5">
      <c r="A401">
        <v>8792009665</v>
      </c>
      <c r="B401" s="4">
        <v>42473</v>
      </c>
      <c r="C401">
        <v>1</v>
      </c>
      <c r="D401">
        <v>531</v>
      </c>
      <c r="E401">
        <v>552</v>
      </c>
    </row>
    <row r="402" spans="1:5">
      <c r="A402">
        <v>8792009665</v>
      </c>
      <c r="B402" s="4">
        <v>42474</v>
      </c>
      <c r="C402">
        <v>1</v>
      </c>
      <c r="D402">
        <v>486</v>
      </c>
      <c r="E402">
        <v>503</v>
      </c>
    </row>
    <row r="403" spans="1:5">
      <c r="A403">
        <v>8792009665</v>
      </c>
      <c r="B403" s="4">
        <v>42475</v>
      </c>
      <c r="C403">
        <v>1</v>
      </c>
      <c r="D403">
        <v>363</v>
      </c>
      <c r="E403">
        <v>377</v>
      </c>
    </row>
    <row r="404" spans="1:5">
      <c r="A404">
        <v>8792009665</v>
      </c>
      <c r="B404" s="4">
        <v>42480</v>
      </c>
      <c r="C404">
        <v>1</v>
      </c>
      <c r="D404">
        <v>528</v>
      </c>
      <c r="E404">
        <v>547</v>
      </c>
    </row>
    <row r="405" spans="1:5">
      <c r="A405">
        <v>8792009665</v>
      </c>
      <c r="B405" s="4">
        <v>42482</v>
      </c>
      <c r="C405">
        <v>1</v>
      </c>
      <c r="D405">
        <v>391</v>
      </c>
      <c r="E405">
        <v>407</v>
      </c>
    </row>
    <row r="406" spans="1:5">
      <c r="A406">
        <v>8792009665</v>
      </c>
      <c r="B406" s="4">
        <v>42483</v>
      </c>
      <c r="C406">
        <v>1</v>
      </c>
      <c r="D406">
        <v>339</v>
      </c>
      <c r="E406">
        <v>360</v>
      </c>
    </row>
    <row r="407" spans="1:5">
      <c r="A407">
        <v>8792009665</v>
      </c>
      <c r="B407" s="4">
        <v>42487</v>
      </c>
      <c r="C407">
        <v>1</v>
      </c>
      <c r="D407">
        <v>423</v>
      </c>
      <c r="E407">
        <v>428</v>
      </c>
    </row>
    <row r="408" spans="1:5">
      <c r="A408">
        <v>8792009665</v>
      </c>
      <c r="B408" s="4">
        <v>42488</v>
      </c>
      <c r="C408">
        <v>1</v>
      </c>
      <c r="D408">
        <v>402</v>
      </c>
      <c r="E408">
        <v>416</v>
      </c>
    </row>
    <row r="409" spans="1:5">
      <c r="A409">
        <v>8792009665</v>
      </c>
      <c r="B409" s="4">
        <v>42489</v>
      </c>
      <c r="C409">
        <v>1</v>
      </c>
      <c r="D409">
        <v>398</v>
      </c>
      <c r="E409">
        <v>406</v>
      </c>
    </row>
    <row r="410" spans="1:5">
      <c r="A410">
        <v>8792009665</v>
      </c>
      <c r="B410" s="4">
        <v>42490</v>
      </c>
      <c r="C410">
        <v>1</v>
      </c>
      <c r="D410">
        <v>343</v>
      </c>
      <c r="E410">
        <v>360</v>
      </c>
    </row>
    <row r="411" spans="1:5">
      <c r="A411">
        <v>8792009665</v>
      </c>
      <c r="B411" s="4">
        <v>42491</v>
      </c>
      <c r="C411">
        <v>1</v>
      </c>
      <c r="D411">
        <v>503</v>
      </c>
      <c r="E411">
        <v>527</v>
      </c>
    </row>
    <row r="412" spans="1:5">
      <c r="A412">
        <v>8792009665</v>
      </c>
      <c r="B412" s="4">
        <v>42492</v>
      </c>
      <c r="C412">
        <v>1</v>
      </c>
      <c r="D412">
        <v>415</v>
      </c>
      <c r="E412">
        <v>423</v>
      </c>
    </row>
    <row r="413" spans="1:5">
      <c r="A413">
        <v>8792009665</v>
      </c>
      <c r="B413" s="4">
        <v>42493</v>
      </c>
      <c r="C413">
        <v>1</v>
      </c>
      <c r="D413">
        <v>516</v>
      </c>
      <c r="E413">
        <v>545</v>
      </c>
    </row>
    <row r="414" spans="1:5">
      <c r="A414">
        <v>8792009665</v>
      </c>
      <c r="B414" s="4">
        <v>42494</v>
      </c>
      <c r="C414">
        <v>1</v>
      </c>
      <c r="D414">
        <v>439</v>
      </c>
      <c r="E414">
        <v>463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941"/>
  <sheetViews>
    <sheetView topLeftCell="H1" workbookViewId="0">
      <selection activeCell="L23" sqref="L23"/>
    </sheetView>
  </sheetViews>
  <sheetFormatPr defaultRowHeight="15"/>
  <cols>
    <col min="1" max="1" width="11" bestFit="1" customWidth="1"/>
    <col min="2" max="2" width="11.85546875" style="1" bestFit="1" customWidth="1"/>
    <col min="3" max="3" width="10.28515625" style="3" bestFit="1" customWidth="1"/>
    <col min="4" max="4" width="13.140625" style="2" bestFit="1" customWidth="1"/>
    <col min="5" max="5" width="15.140625" style="2" bestFit="1" customWidth="1"/>
    <col min="6" max="6" width="23.5703125" style="2" bestFit="1" customWidth="1"/>
    <col min="7" max="7" width="18.5703125" style="2" bestFit="1" customWidth="1"/>
    <col min="8" max="8" width="25" style="2" bestFit="1" customWidth="1"/>
    <col min="9" max="9" width="18.7109375" style="2" bestFit="1" customWidth="1"/>
    <col min="10" max="10" width="23.5703125" style="2" bestFit="1" customWidth="1"/>
    <col min="11" max="11" width="18.42578125" style="3" bestFit="1" customWidth="1"/>
    <col min="12" max="12" width="19.140625" style="3" bestFit="1" customWidth="1"/>
    <col min="13" max="13" width="20.140625" style="3" bestFit="1" customWidth="1"/>
    <col min="14" max="14" width="17.7109375" style="3" bestFit="1" customWidth="1"/>
    <col min="15" max="15" width="8.140625" style="3" bestFit="1" customWidth="1"/>
    <col min="16" max="16" width="11.7109375" bestFit="1" customWidth="1"/>
    <col min="17" max="17" width="12.85546875" bestFit="1" customWidth="1"/>
  </cols>
  <sheetData>
    <row r="1" spans="1:17" s="5" customFormat="1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5" t="s">
        <v>15</v>
      </c>
      <c r="Q1" s="5" t="s">
        <v>16</v>
      </c>
    </row>
    <row r="2" spans="1:17">
      <c r="A2">
        <v>1503960366</v>
      </c>
      <c r="B2" s="1">
        <v>42502</v>
      </c>
      <c r="C2" s="3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3">
        <v>0</v>
      </c>
      <c r="L2" s="3">
        <v>0</v>
      </c>
      <c r="M2" s="3">
        <v>0</v>
      </c>
      <c r="N2" s="3">
        <v>1440</v>
      </c>
      <c r="O2" s="3">
        <v>0</v>
      </c>
      <c r="P2" t="str">
        <f t="shared" ref="P2:P65" si="0">TEXT(B2, "ddd")</f>
        <v>Thu</v>
      </c>
      <c r="Q2" t="str">
        <f t="shared" ref="Q2:Q65" si="1">IF(C2&lt;5000, "Sedentary", IF(C2&lt;7500, "Lightly Active",IF(C2&lt;10000, "Fairly Active", "Vey Active")))</f>
        <v>Sedentary</v>
      </c>
    </row>
    <row r="3" spans="1:17">
      <c r="A3">
        <v>1503960366</v>
      </c>
      <c r="B3" s="1">
        <v>42477</v>
      </c>
      <c r="C3" s="3">
        <v>9705</v>
      </c>
      <c r="D3" s="2">
        <v>6.4800000190734899</v>
      </c>
      <c r="E3" s="2">
        <v>6.4800000190734899</v>
      </c>
      <c r="F3" s="2">
        <v>0</v>
      </c>
      <c r="G3" s="2">
        <v>3.1900000572204599</v>
      </c>
      <c r="H3" s="2">
        <v>0.77999997138977095</v>
      </c>
      <c r="I3" s="2">
        <v>2.5099999904632599</v>
      </c>
      <c r="J3" s="2">
        <v>0</v>
      </c>
      <c r="K3" s="3">
        <v>38</v>
      </c>
      <c r="L3" s="3">
        <v>20</v>
      </c>
      <c r="M3" s="3">
        <v>164</v>
      </c>
      <c r="N3" s="3">
        <v>539</v>
      </c>
      <c r="O3" s="3">
        <v>1728</v>
      </c>
      <c r="P3" t="str">
        <f t="shared" si="0"/>
        <v>Sun</v>
      </c>
      <c r="Q3" t="str">
        <f t="shared" si="1"/>
        <v>Fairly Active</v>
      </c>
    </row>
    <row r="4" spans="1:17">
      <c r="A4">
        <v>1503960366</v>
      </c>
      <c r="B4" s="1">
        <v>42475</v>
      </c>
      <c r="C4" s="3">
        <v>9762</v>
      </c>
      <c r="D4" s="2">
        <v>6.2800002098083496</v>
      </c>
      <c r="E4" s="2">
        <v>6.2800002098083496</v>
      </c>
      <c r="F4" s="2">
        <v>0</v>
      </c>
      <c r="G4" s="2">
        <v>2.1400001049041699</v>
      </c>
      <c r="H4" s="2">
        <v>1.2599999904632599</v>
      </c>
      <c r="I4" s="2">
        <v>2.8299999237060498</v>
      </c>
      <c r="J4" s="2">
        <v>0</v>
      </c>
      <c r="K4" s="3">
        <v>29</v>
      </c>
      <c r="L4" s="3">
        <v>34</v>
      </c>
      <c r="M4" s="3">
        <v>209</v>
      </c>
      <c r="N4" s="3">
        <v>726</v>
      </c>
      <c r="O4" s="3">
        <v>1745</v>
      </c>
      <c r="P4" t="str">
        <f t="shared" si="0"/>
        <v>Fri</v>
      </c>
      <c r="Q4" t="str">
        <f t="shared" si="1"/>
        <v>Fairly Active</v>
      </c>
    </row>
    <row r="5" spans="1:17">
      <c r="A5">
        <v>1503960366</v>
      </c>
      <c r="B5" s="1">
        <v>42481</v>
      </c>
      <c r="C5" s="3">
        <v>9819</v>
      </c>
      <c r="D5" s="2">
        <v>6.3400001525878897</v>
      </c>
      <c r="E5" s="2">
        <v>6.3400001525878897</v>
      </c>
      <c r="F5" s="2">
        <v>0</v>
      </c>
      <c r="G5" s="2">
        <v>1.3400000333786</v>
      </c>
      <c r="H5" s="2">
        <v>0.34999999403953602</v>
      </c>
      <c r="I5" s="2">
        <v>4.6500000953674299</v>
      </c>
      <c r="J5" s="2">
        <v>0</v>
      </c>
      <c r="K5" s="3">
        <v>19</v>
      </c>
      <c r="L5" s="3">
        <v>8</v>
      </c>
      <c r="M5" s="3">
        <v>211</v>
      </c>
      <c r="N5" s="3">
        <v>838</v>
      </c>
      <c r="O5" s="3">
        <v>1775</v>
      </c>
      <c r="P5" t="str">
        <f t="shared" si="0"/>
        <v>Thu</v>
      </c>
      <c r="Q5" t="str">
        <f t="shared" si="1"/>
        <v>Fairly Active</v>
      </c>
    </row>
    <row r="6" spans="1:17">
      <c r="A6">
        <v>1503960366</v>
      </c>
      <c r="B6" s="1">
        <v>42484</v>
      </c>
      <c r="C6" s="3">
        <v>10039</v>
      </c>
      <c r="D6" s="2">
        <v>6.4099998474121103</v>
      </c>
      <c r="E6" s="2">
        <v>6.4099998474121103</v>
      </c>
      <c r="F6" s="2">
        <v>0</v>
      </c>
      <c r="G6" s="2">
        <v>2.9200000762939502</v>
      </c>
      <c r="H6" s="2">
        <v>0.20999999344348899</v>
      </c>
      <c r="I6" s="2">
        <v>3.2799999713897701</v>
      </c>
      <c r="J6" s="2">
        <v>0</v>
      </c>
      <c r="K6" s="3">
        <v>39</v>
      </c>
      <c r="L6" s="3">
        <v>5</v>
      </c>
      <c r="M6" s="3">
        <v>238</v>
      </c>
      <c r="N6" s="3">
        <v>709</v>
      </c>
      <c r="O6" s="3">
        <v>1788</v>
      </c>
      <c r="P6" t="str">
        <f t="shared" si="0"/>
        <v>Sun</v>
      </c>
      <c r="Q6" t="str">
        <f t="shared" si="1"/>
        <v>Vey Active</v>
      </c>
    </row>
    <row r="7" spans="1:17">
      <c r="A7">
        <v>1503960366</v>
      </c>
      <c r="B7" s="1">
        <v>42498</v>
      </c>
      <c r="C7" s="3">
        <v>10060</v>
      </c>
      <c r="D7" s="2">
        <v>6.5799999237060502</v>
      </c>
      <c r="E7" s="2">
        <v>6.5799999237060502</v>
      </c>
      <c r="F7" s="2">
        <v>0</v>
      </c>
      <c r="G7" s="2">
        <v>3.5299999713897701</v>
      </c>
      <c r="H7" s="2">
        <v>0.31999999284744302</v>
      </c>
      <c r="I7" s="2">
        <v>2.7300000190734899</v>
      </c>
      <c r="J7" s="2">
        <v>0</v>
      </c>
      <c r="K7" s="3">
        <v>44</v>
      </c>
      <c r="L7" s="3">
        <v>8</v>
      </c>
      <c r="M7" s="3">
        <v>203</v>
      </c>
      <c r="N7" s="3">
        <v>574</v>
      </c>
      <c r="O7" s="3">
        <v>1740</v>
      </c>
      <c r="P7" t="str">
        <f t="shared" si="0"/>
        <v>Sun</v>
      </c>
      <c r="Q7" t="str">
        <f t="shared" si="1"/>
        <v>Vey Active</v>
      </c>
    </row>
    <row r="8" spans="1:17">
      <c r="A8">
        <v>1503960366</v>
      </c>
      <c r="B8" s="1">
        <v>42474</v>
      </c>
      <c r="C8" s="3">
        <v>10460</v>
      </c>
      <c r="D8" s="2">
        <v>6.7399997711181596</v>
      </c>
      <c r="E8" s="2">
        <v>6.7399997711181596</v>
      </c>
      <c r="F8" s="2">
        <v>0</v>
      </c>
      <c r="G8" s="2">
        <v>2.4400000572204599</v>
      </c>
      <c r="H8" s="2">
        <v>0.40000000596046398</v>
      </c>
      <c r="I8" s="2">
        <v>3.9100000858306898</v>
      </c>
      <c r="J8" s="2">
        <v>0</v>
      </c>
      <c r="K8" s="3">
        <v>30</v>
      </c>
      <c r="L8" s="3">
        <v>11</v>
      </c>
      <c r="M8" s="3">
        <v>181</v>
      </c>
      <c r="N8" s="3">
        <v>1218</v>
      </c>
      <c r="O8" s="3">
        <v>1776</v>
      </c>
      <c r="P8" t="str">
        <f t="shared" si="0"/>
        <v>Thu</v>
      </c>
      <c r="Q8" t="str">
        <f t="shared" si="1"/>
        <v>Vey Active</v>
      </c>
    </row>
    <row r="9" spans="1:17">
      <c r="A9">
        <v>1503960366</v>
      </c>
      <c r="B9" s="1">
        <v>42480</v>
      </c>
      <c r="C9" s="3">
        <v>10544</v>
      </c>
      <c r="D9" s="2">
        <v>6.6799998283386204</v>
      </c>
      <c r="E9" s="2">
        <v>6.6799998283386204</v>
      </c>
      <c r="F9" s="2">
        <v>0</v>
      </c>
      <c r="G9" s="2">
        <v>1.96000003814697</v>
      </c>
      <c r="H9" s="2">
        <v>0.479999989271164</v>
      </c>
      <c r="I9" s="2">
        <v>4.2399997711181596</v>
      </c>
      <c r="J9" s="2">
        <v>0</v>
      </c>
      <c r="K9" s="3">
        <v>28</v>
      </c>
      <c r="L9" s="3">
        <v>12</v>
      </c>
      <c r="M9" s="3">
        <v>205</v>
      </c>
      <c r="N9" s="3">
        <v>818</v>
      </c>
      <c r="O9" s="3">
        <v>1786</v>
      </c>
      <c r="P9" t="str">
        <f t="shared" si="0"/>
        <v>Wed</v>
      </c>
      <c r="Q9" t="str">
        <f t="shared" si="1"/>
        <v>Vey Active</v>
      </c>
    </row>
    <row r="10" spans="1:17">
      <c r="A10">
        <v>1503960366</v>
      </c>
      <c r="B10" s="1">
        <v>42491</v>
      </c>
      <c r="C10" s="3">
        <v>10602</v>
      </c>
      <c r="D10" s="2">
        <v>6.8099999427795401</v>
      </c>
      <c r="E10" s="2">
        <v>6.8099999427795401</v>
      </c>
      <c r="F10" s="2">
        <v>0</v>
      </c>
      <c r="G10" s="2">
        <v>2.28999996185303</v>
      </c>
      <c r="H10" s="2">
        <v>1.6000000238418599</v>
      </c>
      <c r="I10" s="2">
        <v>2.9200000762939502</v>
      </c>
      <c r="J10" s="2">
        <v>0</v>
      </c>
      <c r="K10" s="3">
        <v>33</v>
      </c>
      <c r="L10" s="3">
        <v>35</v>
      </c>
      <c r="M10" s="3">
        <v>246</v>
      </c>
      <c r="N10" s="3">
        <v>730</v>
      </c>
      <c r="O10" s="3">
        <v>1820</v>
      </c>
      <c r="P10" t="str">
        <f t="shared" si="0"/>
        <v>Sun</v>
      </c>
      <c r="Q10" t="str">
        <f t="shared" si="1"/>
        <v>Vey Active</v>
      </c>
    </row>
    <row r="11" spans="1:17">
      <c r="A11">
        <v>1503960366</v>
      </c>
      <c r="B11" s="1">
        <v>42473</v>
      </c>
      <c r="C11" s="3">
        <v>10735</v>
      </c>
      <c r="D11" s="2">
        <v>6.9699997901916504</v>
      </c>
      <c r="E11" s="2">
        <v>6.9699997901916504</v>
      </c>
      <c r="F11" s="2">
        <v>0</v>
      </c>
      <c r="G11" s="2">
        <v>1.5700000524520901</v>
      </c>
      <c r="H11" s="2">
        <v>0.68999999761581399</v>
      </c>
      <c r="I11" s="2">
        <v>4.71000003814697</v>
      </c>
      <c r="J11" s="2">
        <v>0</v>
      </c>
      <c r="K11" s="3">
        <v>21</v>
      </c>
      <c r="L11" s="3">
        <v>19</v>
      </c>
      <c r="M11" s="3">
        <v>217</v>
      </c>
      <c r="N11" s="3">
        <v>776</v>
      </c>
      <c r="O11" s="3">
        <v>1797</v>
      </c>
      <c r="P11" t="str">
        <f t="shared" si="0"/>
        <v>Wed</v>
      </c>
      <c r="Q11" t="str">
        <f t="shared" si="1"/>
        <v>Vey Active</v>
      </c>
    </row>
    <row r="12" spans="1:17">
      <c r="A12">
        <v>1503960366</v>
      </c>
      <c r="B12" s="1">
        <v>42494</v>
      </c>
      <c r="C12" s="3">
        <v>11100</v>
      </c>
      <c r="D12" s="2">
        <v>7.1500000953674299</v>
      </c>
      <c r="E12" s="2">
        <v>7.1500000953674299</v>
      </c>
      <c r="F12" s="2">
        <v>0</v>
      </c>
      <c r="G12" s="2">
        <v>2.46000003814697</v>
      </c>
      <c r="H12" s="2">
        <v>0.87000000476837203</v>
      </c>
      <c r="I12" s="2">
        <v>3.8199999332428001</v>
      </c>
      <c r="J12" s="2">
        <v>0</v>
      </c>
      <c r="K12" s="3">
        <v>36</v>
      </c>
      <c r="L12" s="3">
        <v>22</v>
      </c>
      <c r="M12" s="3">
        <v>203</v>
      </c>
      <c r="N12" s="3">
        <v>1179</v>
      </c>
      <c r="O12" s="3">
        <v>1819</v>
      </c>
      <c r="P12" t="str">
        <f t="shared" si="0"/>
        <v>Wed</v>
      </c>
      <c r="Q12" t="str">
        <f t="shared" si="1"/>
        <v>Vey Active</v>
      </c>
    </row>
    <row r="13" spans="1:17">
      <c r="A13">
        <v>1503960366</v>
      </c>
      <c r="B13" s="1">
        <v>42489</v>
      </c>
      <c r="C13" s="3">
        <v>11181</v>
      </c>
      <c r="D13" s="2">
        <v>7.1500000953674299</v>
      </c>
      <c r="E13" s="2">
        <v>7.1500000953674299</v>
      </c>
      <c r="F13" s="2">
        <v>0</v>
      </c>
      <c r="G13" s="2">
        <v>1.0599999427795399</v>
      </c>
      <c r="H13" s="2">
        <v>0.5</v>
      </c>
      <c r="I13" s="2">
        <v>5.5799999237060502</v>
      </c>
      <c r="J13" s="2">
        <v>0</v>
      </c>
      <c r="K13" s="3">
        <v>16</v>
      </c>
      <c r="L13" s="3">
        <v>12</v>
      </c>
      <c r="M13" s="3">
        <v>243</v>
      </c>
      <c r="N13" s="3">
        <v>815</v>
      </c>
      <c r="O13" s="3">
        <v>1837</v>
      </c>
      <c r="P13" t="str">
        <f t="shared" si="0"/>
        <v>Fri</v>
      </c>
      <c r="Q13" t="str">
        <f t="shared" si="1"/>
        <v>Vey Active</v>
      </c>
    </row>
    <row r="14" spans="1:17">
      <c r="A14">
        <v>1503960366</v>
      </c>
      <c r="B14" s="1">
        <v>42497</v>
      </c>
      <c r="C14" s="3">
        <v>11992</v>
      </c>
      <c r="D14" s="2">
        <v>7.71000003814697</v>
      </c>
      <c r="E14" s="2">
        <v>7.71000003814697</v>
      </c>
      <c r="F14" s="2">
        <v>0</v>
      </c>
      <c r="G14" s="2">
        <v>2.46000003814697</v>
      </c>
      <c r="H14" s="2">
        <v>2.1199998855590798</v>
      </c>
      <c r="I14" s="2">
        <v>3.1300001144409202</v>
      </c>
      <c r="J14" s="2">
        <v>0</v>
      </c>
      <c r="K14" s="3">
        <v>37</v>
      </c>
      <c r="L14" s="3">
        <v>46</v>
      </c>
      <c r="M14" s="3">
        <v>175</v>
      </c>
      <c r="N14" s="3">
        <v>833</v>
      </c>
      <c r="O14" s="3">
        <v>1821</v>
      </c>
      <c r="P14" t="str">
        <f t="shared" si="0"/>
        <v>Sat</v>
      </c>
      <c r="Q14" t="str">
        <f t="shared" si="1"/>
        <v>Vey Active</v>
      </c>
    </row>
    <row r="15" spans="1:17">
      <c r="A15">
        <v>1503960366</v>
      </c>
      <c r="B15" s="1">
        <v>42499</v>
      </c>
      <c r="C15" s="3">
        <v>12022</v>
      </c>
      <c r="D15" s="2">
        <v>7.7199997901916504</v>
      </c>
      <c r="E15" s="2">
        <v>7.7199997901916504</v>
      </c>
      <c r="F15" s="2">
        <v>0</v>
      </c>
      <c r="G15" s="2">
        <v>3.4500000476837198</v>
      </c>
      <c r="H15" s="2">
        <v>0.52999997138977095</v>
      </c>
      <c r="I15" s="2">
        <v>3.7400000095367401</v>
      </c>
      <c r="J15" s="2">
        <v>0</v>
      </c>
      <c r="K15" s="3">
        <v>46</v>
      </c>
      <c r="L15" s="3">
        <v>11</v>
      </c>
      <c r="M15" s="3">
        <v>206</v>
      </c>
      <c r="N15" s="3">
        <v>835</v>
      </c>
      <c r="O15" s="3">
        <v>1819</v>
      </c>
      <c r="P15" t="str">
        <f t="shared" si="0"/>
        <v>Mon</v>
      </c>
      <c r="Q15" t="str">
        <f t="shared" si="1"/>
        <v>Vey Active</v>
      </c>
    </row>
    <row r="16" spans="1:17">
      <c r="A16">
        <v>1503960366</v>
      </c>
      <c r="B16" s="1">
        <v>42496</v>
      </c>
      <c r="C16" s="3">
        <v>12159</v>
      </c>
      <c r="D16" s="2">
        <v>8.0299997329711896</v>
      </c>
      <c r="E16" s="2">
        <v>8.0299997329711896</v>
      </c>
      <c r="F16" s="2">
        <v>0</v>
      </c>
      <c r="G16" s="2">
        <v>1.9700000286102299</v>
      </c>
      <c r="H16" s="2">
        <v>0.25</v>
      </c>
      <c r="I16" s="2">
        <v>5.8099999427795401</v>
      </c>
      <c r="J16" s="2">
        <v>0</v>
      </c>
      <c r="K16" s="3">
        <v>24</v>
      </c>
      <c r="L16" s="3">
        <v>6</v>
      </c>
      <c r="M16" s="3">
        <v>289</v>
      </c>
      <c r="N16" s="3">
        <v>754</v>
      </c>
      <c r="O16" s="3">
        <v>1896</v>
      </c>
      <c r="P16" t="str">
        <f t="shared" si="0"/>
        <v>Fri</v>
      </c>
      <c r="Q16" t="str">
        <f t="shared" si="1"/>
        <v>Vey Active</v>
      </c>
    </row>
    <row r="17" spans="1:17">
      <c r="A17">
        <v>1503960366</v>
      </c>
      <c r="B17" s="1">
        <v>42500</v>
      </c>
      <c r="C17" s="3">
        <v>12207</v>
      </c>
      <c r="D17" s="2">
        <v>7.7699999809265101</v>
      </c>
      <c r="E17" s="2">
        <v>7.7699999809265101</v>
      </c>
      <c r="F17" s="2">
        <v>0</v>
      </c>
      <c r="G17" s="2">
        <v>3.3499999046325701</v>
      </c>
      <c r="H17" s="2">
        <v>1.1599999666214</v>
      </c>
      <c r="I17" s="2">
        <v>3.2599999904632599</v>
      </c>
      <c r="J17" s="2">
        <v>0</v>
      </c>
      <c r="K17" s="3">
        <v>46</v>
      </c>
      <c r="L17" s="3">
        <v>31</v>
      </c>
      <c r="M17" s="3">
        <v>214</v>
      </c>
      <c r="N17" s="3">
        <v>746</v>
      </c>
      <c r="O17" s="3">
        <v>1859</v>
      </c>
      <c r="P17" t="str">
        <f t="shared" si="0"/>
        <v>Tue</v>
      </c>
      <c r="Q17" t="str">
        <f t="shared" si="1"/>
        <v>Vey Active</v>
      </c>
    </row>
    <row r="18" spans="1:17">
      <c r="A18">
        <v>1503960366</v>
      </c>
      <c r="B18" s="1">
        <v>42476</v>
      </c>
      <c r="C18" s="3">
        <v>12669</v>
      </c>
      <c r="D18" s="2">
        <v>8.1599998474121094</v>
      </c>
      <c r="E18" s="2">
        <v>8.1599998474121094</v>
      </c>
      <c r="F18" s="2">
        <v>0</v>
      </c>
      <c r="G18" s="2">
        <v>2.71000003814697</v>
      </c>
      <c r="H18" s="2">
        <v>0.40999999642372098</v>
      </c>
      <c r="I18" s="2">
        <v>5.03999996185303</v>
      </c>
      <c r="J18" s="2">
        <v>0</v>
      </c>
      <c r="K18" s="3">
        <v>36</v>
      </c>
      <c r="L18" s="3">
        <v>10</v>
      </c>
      <c r="M18" s="3">
        <v>221</v>
      </c>
      <c r="N18" s="3">
        <v>773</v>
      </c>
      <c r="O18" s="3">
        <v>1863</v>
      </c>
      <c r="P18" t="str">
        <f t="shared" si="0"/>
        <v>Sat</v>
      </c>
      <c r="Q18" t="str">
        <f t="shared" si="1"/>
        <v>Vey Active</v>
      </c>
    </row>
    <row r="19" spans="1:17">
      <c r="A19">
        <v>1503960366</v>
      </c>
      <c r="B19" s="1">
        <v>42482</v>
      </c>
      <c r="C19" s="3">
        <v>12764</v>
      </c>
      <c r="D19" s="2">
        <v>8.1300001144409197</v>
      </c>
      <c r="E19" s="2">
        <v>8.1300001144409197</v>
      </c>
      <c r="F19" s="2">
        <v>0</v>
      </c>
      <c r="G19" s="2">
        <v>4.7600002288818404</v>
      </c>
      <c r="H19" s="2">
        <v>1.12000000476837</v>
      </c>
      <c r="I19" s="2">
        <v>2.2400000095367401</v>
      </c>
      <c r="J19" s="2">
        <v>0</v>
      </c>
      <c r="K19" s="3">
        <v>66</v>
      </c>
      <c r="L19" s="3">
        <v>27</v>
      </c>
      <c r="M19" s="3">
        <v>130</v>
      </c>
      <c r="N19" s="3">
        <v>1217</v>
      </c>
      <c r="O19" s="3">
        <v>1827</v>
      </c>
      <c r="P19" t="str">
        <f t="shared" si="0"/>
        <v>Fri</v>
      </c>
      <c r="Q19" t="str">
        <f t="shared" si="1"/>
        <v>Vey Active</v>
      </c>
    </row>
    <row r="20" spans="1:17">
      <c r="A20">
        <v>1503960366</v>
      </c>
      <c r="B20" s="1">
        <v>42501</v>
      </c>
      <c r="C20" s="3">
        <v>12770</v>
      </c>
      <c r="D20" s="2">
        <v>8.1300001144409197</v>
      </c>
      <c r="E20" s="2">
        <v>8.1300001144409197</v>
      </c>
      <c r="F20" s="2">
        <v>0</v>
      </c>
      <c r="G20" s="2">
        <v>2.5599999427795401</v>
      </c>
      <c r="H20" s="2">
        <v>1.0099999904632599</v>
      </c>
      <c r="I20" s="2">
        <v>4.5500001907348597</v>
      </c>
      <c r="J20" s="2">
        <v>0</v>
      </c>
      <c r="K20" s="3">
        <v>36</v>
      </c>
      <c r="L20" s="3">
        <v>23</v>
      </c>
      <c r="M20" s="3">
        <v>251</v>
      </c>
      <c r="N20" s="3">
        <v>669</v>
      </c>
      <c r="O20" s="3">
        <v>1783</v>
      </c>
      <c r="P20" t="str">
        <f t="shared" si="0"/>
        <v>Wed</v>
      </c>
      <c r="Q20" t="str">
        <f t="shared" si="1"/>
        <v>Vey Active</v>
      </c>
    </row>
    <row r="21" spans="1:17">
      <c r="A21">
        <v>1503960366</v>
      </c>
      <c r="B21" s="1">
        <v>42478</v>
      </c>
      <c r="C21" s="3">
        <v>13019</v>
      </c>
      <c r="D21" s="2">
        <v>8.5900001525878906</v>
      </c>
      <c r="E21" s="2">
        <v>8.5900001525878906</v>
      </c>
      <c r="F21" s="2">
        <v>0</v>
      </c>
      <c r="G21" s="2">
        <v>3.25</v>
      </c>
      <c r="H21" s="2">
        <v>0.63999998569488503</v>
      </c>
      <c r="I21" s="2">
        <v>4.71000003814697</v>
      </c>
      <c r="J21" s="2">
        <v>0</v>
      </c>
      <c r="K21" s="3">
        <v>42</v>
      </c>
      <c r="L21" s="3">
        <v>16</v>
      </c>
      <c r="M21" s="3">
        <v>233</v>
      </c>
      <c r="N21" s="3">
        <v>1149</v>
      </c>
      <c r="O21" s="3">
        <v>1921</v>
      </c>
      <c r="P21" t="str">
        <f t="shared" si="0"/>
        <v>Mon</v>
      </c>
      <c r="Q21" t="str">
        <f t="shared" si="1"/>
        <v>Vey Active</v>
      </c>
    </row>
    <row r="22" spans="1:17">
      <c r="A22">
        <v>1503960366</v>
      </c>
      <c r="B22" s="1">
        <v>42488</v>
      </c>
      <c r="C22" s="3">
        <v>13154</v>
      </c>
      <c r="D22" s="2">
        <v>8.5299997329711896</v>
      </c>
      <c r="E22" s="2">
        <v>8.5299997329711896</v>
      </c>
      <c r="F22" s="2">
        <v>0</v>
      </c>
      <c r="G22" s="2">
        <v>3.53999996185303</v>
      </c>
      <c r="H22" s="2">
        <v>1.1599999666214</v>
      </c>
      <c r="I22" s="2">
        <v>3.78999996185303</v>
      </c>
      <c r="J22" s="2">
        <v>0</v>
      </c>
      <c r="K22" s="3">
        <v>48</v>
      </c>
      <c r="L22" s="3">
        <v>28</v>
      </c>
      <c r="M22" s="3">
        <v>189</v>
      </c>
      <c r="N22" s="3">
        <v>782</v>
      </c>
      <c r="O22" s="3">
        <v>1898</v>
      </c>
      <c r="P22" t="str">
        <f t="shared" si="0"/>
        <v>Thu</v>
      </c>
      <c r="Q22" t="str">
        <f t="shared" si="1"/>
        <v>Vey Active</v>
      </c>
    </row>
    <row r="23" spans="1:17">
      <c r="A23">
        <v>1503960366</v>
      </c>
      <c r="B23" s="1">
        <v>42472</v>
      </c>
      <c r="C23" s="3">
        <v>13162</v>
      </c>
      <c r="D23" s="2">
        <v>8.5</v>
      </c>
      <c r="E23" s="2">
        <v>8.5</v>
      </c>
      <c r="F23" s="2">
        <v>0</v>
      </c>
      <c r="G23" s="2">
        <v>1.87999999523163</v>
      </c>
      <c r="H23" s="2">
        <v>0.55000001192092896</v>
      </c>
      <c r="I23" s="2">
        <v>6.0599999427795401</v>
      </c>
      <c r="J23" s="2">
        <v>0</v>
      </c>
      <c r="K23" s="3">
        <v>25</v>
      </c>
      <c r="L23" s="3">
        <v>13</v>
      </c>
      <c r="M23" s="3">
        <v>328</v>
      </c>
      <c r="N23" s="3">
        <v>728</v>
      </c>
      <c r="O23" s="3">
        <v>1985</v>
      </c>
      <c r="P23" t="str">
        <f t="shared" si="0"/>
        <v>Tue</v>
      </c>
      <c r="Q23" t="str">
        <f t="shared" si="1"/>
        <v>Vey Active</v>
      </c>
    </row>
    <row r="24" spans="1:17">
      <c r="A24">
        <v>1503960366</v>
      </c>
      <c r="B24" s="1">
        <v>42486</v>
      </c>
      <c r="C24" s="3">
        <v>13755</v>
      </c>
      <c r="D24" s="2">
        <v>8.7899999618530291</v>
      </c>
      <c r="E24" s="2">
        <v>8.7899999618530291</v>
      </c>
      <c r="F24" s="2">
        <v>0</v>
      </c>
      <c r="G24" s="2">
        <v>2.3299999237060498</v>
      </c>
      <c r="H24" s="2">
        <v>0.92000001668930098</v>
      </c>
      <c r="I24" s="2">
        <v>5.53999996185303</v>
      </c>
      <c r="J24" s="2">
        <v>0</v>
      </c>
      <c r="K24" s="3">
        <v>31</v>
      </c>
      <c r="L24" s="3">
        <v>23</v>
      </c>
      <c r="M24" s="3">
        <v>279</v>
      </c>
      <c r="N24" s="3">
        <v>833</v>
      </c>
      <c r="O24" s="3">
        <v>1970</v>
      </c>
      <c r="P24" t="str">
        <f t="shared" si="0"/>
        <v>Tue</v>
      </c>
      <c r="Q24" t="str">
        <f t="shared" si="1"/>
        <v>Vey Active</v>
      </c>
    </row>
    <row r="25" spans="1:17">
      <c r="A25">
        <v>1503960366</v>
      </c>
      <c r="B25" s="1">
        <v>42495</v>
      </c>
      <c r="C25" s="3">
        <v>14070</v>
      </c>
      <c r="D25" s="2">
        <v>8.8999996185302699</v>
      </c>
      <c r="E25" s="2">
        <v>8.8999996185302699</v>
      </c>
      <c r="F25" s="2">
        <v>0</v>
      </c>
      <c r="G25" s="2">
        <v>2.9200000762939502</v>
      </c>
      <c r="H25" s="2">
        <v>1.08000004291534</v>
      </c>
      <c r="I25" s="2">
        <v>4.8800001144409197</v>
      </c>
      <c r="J25" s="2">
        <v>0</v>
      </c>
      <c r="K25" s="3">
        <v>45</v>
      </c>
      <c r="L25" s="3">
        <v>24</v>
      </c>
      <c r="M25" s="3">
        <v>250</v>
      </c>
      <c r="N25" s="3">
        <v>857</v>
      </c>
      <c r="O25" s="3">
        <v>1959</v>
      </c>
      <c r="P25" t="str">
        <f t="shared" si="0"/>
        <v>Thu</v>
      </c>
      <c r="Q25" t="str">
        <f t="shared" si="1"/>
        <v>Vey Active</v>
      </c>
    </row>
    <row r="26" spans="1:17">
      <c r="A26">
        <v>1503960366</v>
      </c>
      <c r="B26" s="1">
        <v>42483</v>
      </c>
      <c r="C26" s="3">
        <v>14371</v>
      </c>
      <c r="D26" s="2">
        <v>9.0399999618530291</v>
      </c>
      <c r="E26" s="2">
        <v>9.0399999618530291</v>
      </c>
      <c r="F26" s="2">
        <v>0</v>
      </c>
      <c r="G26" s="2">
        <v>2.8099999427795401</v>
      </c>
      <c r="H26" s="2">
        <v>0.87000000476837203</v>
      </c>
      <c r="I26" s="2">
        <v>5.3600001335143999</v>
      </c>
      <c r="J26" s="2">
        <v>0</v>
      </c>
      <c r="K26" s="3">
        <v>41</v>
      </c>
      <c r="L26" s="3">
        <v>21</v>
      </c>
      <c r="M26" s="3">
        <v>262</v>
      </c>
      <c r="N26" s="3">
        <v>732</v>
      </c>
      <c r="O26" s="3">
        <v>1949</v>
      </c>
      <c r="P26" t="str">
        <f t="shared" si="0"/>
        <v>Sat</v>
      </c>
      <c r="Q26" t="str">
        <f t="shared" si="1"/>
        <v>Vey Active</v>
      </c>
    </row>
    <row r="27" spans="1:17">
      <c r="A27">
        <v>1503960366</v>
      </c>
      <c r="B27" s="1">
        <v>42490</v>
      </c>
      <c r="C27" s="3">
        <v>14673</v>
      </c>
      <c r="D27" s="2">
        <v>9.25</v>
      </c>
      <c r="E27" s="2">
        <v>9.25</v>
      </c>
      <c r="F27" s="2">
        <v>0</v>
      </c>
      <c r="G27" s="2">
        <v>3.5599999427795401</v>
      </c>
      <c r="H27" s="2">
        <v>1.41999995708466</v>
      </c>
      <c r="I27" s="2">
        <v>4.2699999809265101</v>
      </c>
      <c r="J27" s="2">
        <v>0</v>
      </c>
      <c r="K27" s="3">
        <v>52</v>
      </c>
      <c r="L27" s="3">
        <v>34</v>
      </c>
      <c r="M27" s="3">
        <v>217</v>
      </c>
      <c r="N27" s="3">
        <v>712</v>
      </c>
      <c r="O27" s="3">
        <v>1947</v>
      </c>
      <c r="P27" t="str">
        <f t="shared" si="0"/>
        <v>Sat</v>
      </c>
      <c r="Q27" t="str">
        <f t="shared" si="1"/>
        <v>Vey Active</v>
      </c>
    </row>
    <row r="28" spans="1:17">
      <c r="A28">
        <v>1503960366</v>
      </c>
      <c r="B28" s="1">
        <v>42492</v>
      </c>
      <c r="C28" s="3">
        <v>14727</v>
      </c>
      <c r="D28" s="2">
        <v>9.7100000381469709</v>
      </c>
      <c r="E28" s="2">
        <v>9.7100000381469709</v>
      </c>
      <c r="F28" s="2">
        <v>0</v>
      </c>
      <c r="G28" s="2">
        <v>3.21000003814697</v>
      </c>
      <c r="H28" s="2">
        <v>0.56999999284744296</v>
      </c>
      <c r="I28" s="2">
        <v>5.9200000762939498</v>
      </c>
      <c r="J28" s="2">
        <v>0</v>
      </c>
      <c r="K28" s="3">
        <v>41</v>
      </c>
      <c r="L28" s="3">
        <v>15</v>
      </c>
      <c r="M28" s="3">
        <v>277</v>
      </c>
      <c r="N28" s="3">
        <v>798</v>
      </c>
      <c r="O28" s="3">
        <v>2004</v>
      </c>
      <c r="P28" t="str">
        <f t="shared" si="0"/>
        <v>Mon</v>
      </c>
      <c r="Q28" t="str">
        <f t="shared" si="1"/>
        <v>Vey Active</v>
      </c>
    </row>
    <row r="29" spans="1:17">
      <c r="A29">
        <v>1503960366</v>
      </c>
      <c r="B29" s="1">
        <v>42493</v>
      </c>
      <c r="C29" s="3">
        <v>15103</v>
      </c>
      <c r="D29" s="2">
        <v>9.6599998474121094</v>
      </c>
      <c r="E29" s="2">
        <v>9.6599998474121094</v>
      </c>
      <c r="F29" s="2">
        <v>0</v>
      </c>
      <c r="G29" s="2">
        <v>3.7300000190734899</v>
      </c>
      <c r="H29" s="2">
        <v>1.04999995231628</v>
      </c>
      <c r="I29" s="2">
        <v>4.8800001144409197</v>
      </c>
      <c r="J29" s="2">
        <v>0</v>
      </c>
      <c r="K29" s="3">
        <v>50</v>
      </c>
      <c r="L29" s="3">
        <v>24</v>
      </c>
      <c r="M29" s="3">
        <v>254</v>
      </c>
      <c r="N29" s="3">
        <v>816</v>
      </c>
      <c r="O29" s="3">
        <v>1990</v>
      </c>
      <c r="P29" t="str">
        <f t="shared" si="0"/>
        <v>Tue</v>
      </c>
      <c r="Q29" t="str">
        <f t="shared" si="1"/>
        <v>Vey Active</v>
      </c>
    </row>
    <row r="30" spans="1:17">
      <c r="A30">
        <v>1503960366</v>
      </c>
      <c r="B30" s="1">
        <v>42485</v>
      </c>
      <c r="C30" s="3">
        <v>15355</v>
      </c>
      <c r="D30" s="2">
        <v>9.8000001907348597</v>
      </c>
      <c r="E30" s="2">
        <v>9.8000001907348597</v>
      </c>
      <c r="F30" s="2">
        <v>0</v>
      </c>
      <c r="G30" s="2">
        <v>5.28999996185303</v>
      </c>
      <c r="H30" s="2">
        <v>0.56999999284744296</v>
      </c>
      <c r="I30" s="2">
        <v>3.9400000572204599</v>
      </c>
      <c r="J30" s="2">
        <v>0</v>
      </c>
      <c r="K30" s="3">
        <v>73</v>
      </c>
      <c r="L30" s="3">
        <v>14</v>
      </c>
      <c r="M30" s="3">
        <v>216</v>
      </c>
      <c r="N30" s="3">
        <v>814</v>
      </c>
      <c r="O30" s="3">
        <v>2013</v>
      </c>
      <c r="P30" t="str">
        <f t="shared" si="0"/>
        <v>Mon</v>
      </c>
      <c r="Q30" t="str">
        <f t="shared" si="1"/>
        <v>Vey Active</v>
      </c>
    </row>
    <row r="31" spans="1:17">
      <c r="A31">
        <v>1503960366</v>
      </c>
      <c r="B31" s="1">
        <v>42479</v>
      </c>
      <c r="C31" s="3">
        <v>15506</v>
      </c>
      <c r="D31" s="2">
        <v>9.8800001144409197</v>
      </c>
      <c r="E31" s="2">
        <v>9.8800001144409197</v>
      </c>
      <c r="F31" s="2">
        <v>0</v>
      </c>
      <c r="G31" s="2">
        <v>3.5299999713897701</v>
      </c>
      <c r="H31" s="2">
        <v>1.3200000524520901</v>
      </c>
      <c r="I31" s="2">
        <v>5.0300002098083496</v>
      </c>
      <c r="J31" s="2">
        <v>0</v>
      </c>
      <c r="K31" s="3">
        <v>50</v>
      </c>
      <c r="L31" s="3">
        <v>31</v>
      </c>
      <c r="M31" s="3">
        <v>264</v>
      </c>
      <c r="N31" s="3">
        <v>775</v>
      </c>
      <c r="O31" s="3">
        <v>2035</v>
      </c>
      <c r="P31" t="str">
        <f t="shared" si="0"/>
        <v>Tue</v>
      </c>
      <c r="Q31" t="str">
        <f t="shared" si="1"/>
        <v>Vey Active</v>
      </c>
    </row>
    <row r="32" spans="1:17">
      <c r="A32">
        <v>1503960366</v>
      </c>
      <c r="B32" s="1">
        <v>42487</v>
      </c>
      <c r="C32" s="3">
        <v>18134</v>
      </c>
      <c r="D32" s="2">
        <v>12.210000038146999</v>
      </c>
      <c r="E32" s="2">
        <v>12.210000038146999</v>
      </c>
      <c r="F32" s="2">
        <v>0</v>
      </c>
      <c r="G32" s="2">
        <v>6.4000000953674299</v>
      </c>
      <c r="H32" s="2">
        <v>0.40999999642372098</v>
      </c>
      <c r="I32" s="2">
        <v>5.4099998474121103</v>
      </c>
      <c r="J32" s="2">
        <v>0</v>
      </c>
      <c r="K32" s="3">
        <v>78</v>
      </c>
      <c r="L32" s="3">
        <v>11</v>
      </c>
      <c r="M32" s="3">
        <v>243</v>
      </c>
      <c r="N32" s="3">
        <v>1108</v>
      </c>
      <c r="O32" s="3">
        <v>2159</v>
      </c>
      <c r="P32" t="str">
        <f t="shared" si="0"/>
        <v>Wed</v>
      </c>
      <c r="Q32" t="str">
        <f t="shared" si="1"/>
        <v>Vey Active</v>
      </c>
    </row>
    <row r="33" spans="1:17">
      <c r="A33">
        <v>1624580081</v>
      </c>
      <c r="B33" s="1">
        <v>42475</v>
      </c>
      <c r="C33" s="3">
        <v>1510</v>
      </c>
      <c r="D33" s="2">
        <v>0.980000019073486</v>
      </c>
      <c r="E33" s="2">
        <v>0.980000019073486</v>
      </c>
      <c r="F33" s="2">
        <v>0</v>
      </c>
      <c r="G33" s="2">
        <v>0</v>
      </c>
      <c r="H33" s="2">
        <v>0</v>
      </c>
      <c r="I33" s="2">
        <v>0.97000002861022905</v>
      </c>
      <c r="J33" s="2">
        <v>0</v>
      </c>
      <c r="K33" s="3">
        <v>0</v>
      </c>
      <c r="L33" s="3">
        <v>0</v>
      </c>
      <c r="M33" s="3">
        <v>96</v>
      </c>
      <c r="N33" s="3">
        <v>1344</v>
      </c>
      <c r="O33" s="3">
        <v>1344</v>
      </c>
      <c r="P33" t="str">
        <f t="shared" si="0"/>
        <v>Fri</v>
      </c>
      <c r="Q33" t="str">
        <f t="shared" si="1"/>
        <v>Sedentary</v>
      </c>
    </row>
    <row r="34" spans="1:17">
      <c r="A34">
        <v>1624580081</v>
      </c>
      <c r="B34" s="1">
        <v>42496</v>
      </c>
      <c r="C34" s="3">
        <v>1727</v>
      </c>
      <c r="D34" s="2">
        <v>1.12000000476837</v>
      </c>
      <c r="E34" s="2">
        <v>1.12000000476837</v>
      </c>
      <c r="F34" s="2">
        <v>0</v>
      </c>
      <c r="G34" s="2">
        <v>0</v>
      </c>
      <c r="H34" s="2">
        <v>0</v>
      </c>
      <c r="I34" s="2">
        <v>1.12000000476837</v>
      </c>
      <c r="J34" s="2">
        <v>9.9999997764825804E-3</v>
      </c>
      <c r="K34" s="3">
        <v>0</v>
      </c>
      <c r="L34" s="3">
        <v>0</v>
      </c>
      <c r="M34" s="3">
        <v>102</v>
      </c>
      <c r="N34" s="3">
        <v>1338</v>
      </c>
      <c r="O34" s="3">
        <v>1341</v>
      </c>
      <c r="P34" t="str">
        <f t="shared" si="0"/>
        <v>Fri</v>
      </c>
      <c r="Q34" t="str">
        <f t="shared" si="1"/>
        <v>Sedentary</v>
      </c>
    </row>
    <row r="35" spans="1:17">
      <c r="A35">
        <v>1624580081</v>
      </c>
      <c r="B35" s="1">
        <v>42499</v>
      </c>
      <c r="C35" s="3">
        <v>1732</v>
      </c>
      <c r="D35" s="2">
        <v>1.12999999523163</v>
      </c>
      <c r="E35" s="2">
        <v>1.12999999523163</v>
      </c>
      <c r="F35" s="2">
        <v>0</v>
      </c>
      <c r="G35" s="2">
        <v>0</v>
      </c>
      <c r="H35" s="2">
        <v>0</v>
      </c>
      <c r="I35" s="2">
        <v>1.12999999523163</v>
      </c>
      <c r="J35" s="2">
        <v>0</v>
      </c>
      <c r="K35" s="3">
        <v>0</v>
      </c>
      <c r="L35" s="3">
        <v>0</v>
      </c>
      <c r="M35" s="3">
        <v>91</v>
      </c>
      <c r="N35" s="3">
        <v>1349</v>
      </c>
      <c r="O35" s="3">
        <v>1328</v>
      </c>
      <c r="P35" t="str">
        <f t="shared" si="0"/>
        <v>Mon</v>
      </c>
      <c r="Q35" t="str">
        <f t="shared" si="1"/>
        <v>Sedentary</v>
      </c>
    </row>
    <row r="36" spans="1:17">
      <c r="A36">
        <v>1624580081</v>
      </c>
      <c r="B36" s="1">
        <v>42493</v>
      </c>
      <c r="C36" s="3">
        <v>2100</v>
      </c>
      <c r="D36" s="2">
        <v>1.37000000476837</v>
      </c>
      <c r="E36" s="2">
        <v>1.37000000476837</v>
      </c>
      <c r="F36" s="2">
        <v>0</v>
      </c>
      <c r="G36" s="2">
        <v>0</v>
      </c>
      <c r="H36" s="2">
        <v>0</v>
      </c>
      <c r="I36" s="2">
        <v>1.3400000333786</v>
      </c>
      <c r="J36" s="2">
        <v>1.9999999552965199E-2</v>
      </c>
      <c r="K36" s="3">
        <v>0</v>
      </c>
      <c r="L36" s="3">
        <v>0</v>
      </c>
      <c r="M36" s="3">
        <v>96</v>
      </c>
      <c r="N36" s="3">
        <v>1344</v>
      </c>
      <c r="O36" s="3">
        <v>1334</v>
      </c>
      <c r="P36" t="str">
        <f t="shared" si="0"/>
        <v>Tue</v>
      </c>
      <c r="Q36" t="str">
        <f t="shared" si="1"/>
        <v>Sedentary</v>
      </c>
    </row>
    <row r="37" spans="1:17">
      <c r="A37">
        <v>1624580081</v>
      </c>
      <c r="B37" s="1">
        <v>42497</v>
      </c>
      <c r="C37" s="3">
        <v>2104</v>
      </c>
      <c r="D37" s="2">
        <v>1.37000000476837</v>
      </c>
      <c r="E37" s="2">
        <v>1.37000000476837</v>
      </c>
      <c r="F37" s="2">
        <v>0</v>
      </c>
      <c r="G37" s="2">
        <v>0</v>
      </c>
      <c r="H37" s="2">
        <v>0</v>
      </c>
      <c r="I37" s="2">
        <v>1.37000000476837</v>
      </c>
      <c r="J37" s="2">
        <v>0</v>
      </c>
      <c r="K37" s="3">
        <v>0</v>
      </c>
      <c r="L37" s="3">
        <v>0</v>
      </c>
      <c r="M37" s="3">
        <v>182</v>
      </c>
      <c r="N37" s="3">
        <v>1258</v>
      </c>
      <c r="O37" s="3">
        <v>1474</v>
      </c>
      <c r="P37" t="str">
        <f t="shared" si="0"/>
        <v>Sat</v>
      </c>
      <c r="Q37" t="str">
        <f t="shared" si="1"/>
        <v>Sedentary</v>
      </c>
    </row>
    <row r="38" spans="1:17">
      <c r="A38">
        <v>1624580081</v>
      </c>
      <c r="B38" s="1">
        <v>42494</v>
      </c>
      <c r="C38" s="3">
        <v>2193</v>
      </c>
      <c r="D38" s="2">
        <v>1.4299999475479099</v>
      </c>
      <c r="E38" s="2">
        <v>1.4299999475479099</v>
      </c>
      <c r="F38" s="2">
        <v>0</v>
      </c>
      <c r="G38" s="2">
        <v>0</v>
      </c>
      <c r="H38" s="2">
        <v>0</v>
      </c>
      <c r="I38" s="2">
        <v>1.41999995708466</v>
      </c>
      <c r="J38" s="2">
        <v>0</v>
      </c>
      <c r="K38" s="3">
        <v>0</v>
      </c>
      <c r="L38" s="3">
        <v>0</v>
      </c>
      <c r="M38" s="3">
        <v>118</v>
      </c>
      <c r="N38" s="3">
        <v>1322</v>
      </c>
      <c r="O38" s="3">
        <v>1368</v>
      </c>
      <c r="P38" t="str">
        <f t="shared" si="0"/>
        <v>Wed</v>
      </c>
      <c r="Q38" t="str">
        <f t="shared" si="1"/>
        <v>Sedentary</v>
      </c>
    </row>
    <row r="39" spans="1:17">
      <c r="A39">
        <v>1624580081</v>
      </c>
      <c r="B39" s="1">
        <v>42489</v>
      </c>
      <c r="C39" s="3">
        <v>2390</v>
      </c>
      <c r="D39" s="2">
        <v>1.54999995231628</v>
      </c>
      <c r="E39" s="2">
        <v>1.54999995231628</v>
      </c>
      <c r="F39" s="2">
        <v>0</v>
      </c>
      <c r="G39" s="2">
        <v>0</v>
      </c>
      <c r="H39" s="2">
        <v>0</v>
      </c>
      <c r="I39" s="2">
        <v>1.54999995231628</v>
      </c>
      <c r="J39" s="2">
        <v>0</v>
      </c>
      <c r="K39" s="3">
        <v>0</v>
      </c>
      <c r="L39" s="3">
        <v>0</v>
      </c>
      <c r="M39" s="3">
        <v>150</v>
      </c>
      <c r="N39" s="3">
        <v>1290</v>
      </c>
      <c r="O39" s="3">
        <v>1404</v>
      </c>
      <c r="P39" t="str">
        <f t="shared" si="0"/>
        <v>Fri</v>
      </c>
      <c r="Q39" t="str">
        <f t="shared" si="1"/>
        <v>Sedentary</v>
      </c>
    </row>
    <row r="40" spans="1:17">
      <c r="A40">
        <v>1624580081</v>
      </c>
      <c r="B40" s="1">
        <v>42495</v>
      </c>
      <c r="C40" s="3">
        <v>2470</v>
      </c>
      <c r="D40" s="2">
        <v>1.6100000143051101</v>
      </c>
      <c r="E40" s="2">
        <v>1.6100000143051101</v>
      </c>
      <c r="F40" s="2">
        <v>0</v>
      </c>
      <c r="G40" s="2">
        <v>0</v>
      </c>
      <c r="H40" s="2">
        <v>0</v>
      </c>
      <c r="I40" s="2">
        <v>1.58000004291534</v>
      </c>
      <c r="J40" s="2">
        <v>1.9999999552965199E-2</v>
      </c>
      <c r="K40" s="3">
        <v>0</v>
      </c>
      <c r="L40" s="3">
        <v>0</v>
      </c>
      <c r="M40" s="3">
        <v>117</v>
      </c>
      <c r="N40" s="3">
        <v>1323</v>
      </c>
      <c r="O40" s="3">
        <v>1370</v>
      </c>
      <c r="P40" t="str">
        <f t="shared" si="0"/>
        <v>Thu</v>
      </c>
      <c r="Q40" t="str">
        <f t="shared" si="1"/>
        <v>Sedentary</v>
      </c>
    </row>
    <row r="41" spans="1:17">
      <c r="A41">
        <v>1624580081</v>
      </c>
      <c r="B41" s="1">
        <v>42488</v>
      </c>
      <c r="C41" s="3">
        <v>2759</v>
      </c>
      <c r="D41" s="2">
        <v>1.78999996185303</v>
      </c>
      <c r="E41" s="2">
        <v>1.78999996185303</v>
      </c>
      <c r="F41" s="2">
        <v>0</v>
      </c>
      <c r="G41" s="2">
        <v>0</v>
      </c>
      <c r="H41" s="2">
        <v>0.20000000298023199</v>
      </c>
      <c r="I41" s="2">
        <v>1.6000000238418599</v>
      </c>
      <c r="J41" s="2">
        <v>0</v>
      </c>
      <c r="K41" s="3">
        <v>0</v>
      </c>
      <c r="L41" s="3">
        <v>5</v>
      </c>
      <c r="M41" s="3">
        <v>115</v>
      </c>
      <c r="N41" s="3">
        <v>1320</v>
      </c>
      <c r="O41" s="3">
        <v>1401</v>
      </c>
      <c r="P41" t="str">
        <f t="shared" si="0"/>
        <v>Thu</v>
      </c>
      <c r="Q41" t="str">
        <f t="shared" si="1"/>
        <v>Sedentary</v>
      </c>
    </row>
    <row r="42" spans="1:17">
      <c r="A42">
        <v>1624580081</v>
      </c>
      <c r="B42" s="1">
        <v>42486</v>
      </c>
      <c r="C42" s="3">
        <v>2826</v>
      </c>
      <c r="D42" s="2">
        <v>1.8400000333786</v>
      </c>
      <c r="E42" s="2">
        <v>1.8400000333786</v>
      </c>
      <c r="F42" s="2">
        <v>0</v>
      </c>
      <c r="G42" s="2">
        <v>0</v>
      </c>
      <c r="H42" s="2">
        <v>0</v>
      </c>
      <c r="I42" s="2">
        <v>1.83000004291534</v>
      </c>
      <c r="J42" s="2">
        <v>9.9999997764825804E-3</v>
      </c>
      <c r="K42" s="3">
        <v>0</v>
      </c>
      <c r="L42" s="3">
        <v>0</v>
      </c>
      <c r="M42" s="3">
        <v>140</v>
      </c>
      <c r="N42" s="3">
        <v>1300</v>
      </c>
      <c r="O42" s="3">
        <v>1402</v>
      </c>
      <c r="P42" t="str">
        <f t="shared" si="0"/>
        <v>Tue</v>
      </c>
      <c r="Q42" t="str">
        <f t="shared" si="1"/>
        <v>Sedentary</v>
      </c>
    </row>
    <row r="43" spans="1:17">
      <c r="A43">
        <v>1624580081</v>
      </c>
      <c r="B43" s="1">
        <v>42479</v>
      </c>
      <c r="C43" s="3">
        <v>2916</v>
      </c>
      <c r="D43" s="2">
        <v>1.8999999761581401</v>
      </c>
      <c r="E43" s="2">
        <v>1.8999999761581401</v>
      </c>
      <c r="F43" s="2">
        <v>0</v>
      </c>
      <c r="G43" s="2">
        <v>0</v>
      </c>
      <c r="H43" s="2">
        <v>0</v>
      </c>
      <c r="I43" s="2">
        <v>1.8999999761581401</v>
      </c>
      <c r="J43" s="2">
        <v>0</v>
      </c>
      <c r="K43" s="3">
        <v>0</v>
      </c>
      <c r="L43" s="3">
        <v>0</v>
      </c>
      <c r="M43" s="3">
        <v>141</v>
      </c>
      <c r="N43" s="3">
        <v>1299</v>
      </c>
      <c r="O43" s="3">
        <v>1435</v>
      </c>
      <c r="P43" t="str">
        <f t="shared" si="0"/>
        <v>Tue</v>
      </c>
      <c r="Q43" t="str">
        <f t="shared" si="1"/>
        <v>Sedentary</v>
      </c>
    </row>
    <row r="44" spans="1:17">
      <c r="A44">
        <v>1624580081</v>
      </c>
      <c r="B44" s="1">
        <v>42500</v>
      </c>
      <c r="C44" s="3">
        <v>2969</v>
      </c>
      <c r="D44" s="2">
        <v>1.9299999475479099</v>
      </c>
      <c r="E44" s="2">
        <v>1.9299999475479099</v>
      </c>
      <c r="F44" s="2">
        <v>0</v>
      </c>
      <c r="G44" s="2">
        <v>0</v>
      </c>
      <c r="H44" s="2">
        <v>0</v>
      </c>
      <c r="I44" s="2">
        <v>1.91999995708466</v>
      </c>
      <c r="J44" s="2">
        <v>9.9999997764825804E-3</v>
      </c>
      <c r="K44" s="3">
        <v>0</v>
      </c>
      <c r="L44" s="3">
        <v>0</v>
      </c>
      <c r="M44" s="3">
        <v>139</v>
      </c>
      <c r="N44" s="3">
        <v>1301</v>
      </c>
      <c r="O44" s="3">
        <v>1393</v>
      </c>
      <c r="P44" t="str">
        <f t="shared" si="0"/>
        <v>Tue</v>
      </c>
      <c r="Q44" t="str">
        <f t="shared" si="1"/>
        <v>Sedentary</v>
      </c>
    </row>
    <row r="45" spans="1:17">
      <c r="A45">
        <v>1624580081</v>
      </c>
      <c r="B45" s="1">
        <v>42502</v>
      </c>
      <c r="C45" s="3">
        <v>2971</v>
      </c>
      <c r="D45" s="2">
        <v>1.9299999475479099</v>
      </c>
      <c r="E45" s="2">
        <v>1.9299999475479099</v>
      </c>
      <c r="F45" s="2">
        <v>0</v>
      </c>
      <c r="G45" s="2">
        <v>0</v>
      </c>
      <c r="H45" s="2">
        <v>0</v>
      </c>
      <c r="I45" s="2">
        <v>1.91999995708466</v>
      </c>
      <c r="J45" s="2">
        <v>9.9999997764825804E-3</v>
      </c>
      <c r="K45" s="3">
        <v>0</v>
      </c>
      <c r="L45" s="3">
        <v>0</v>
      </c>
      <c r="M45" s="3">
        <v>107</v>
      </c>
      <c r="N45" s="3">
        <v>890</v>
      </c>
      <c r="O45" s="3">
        <v>1002</v>
      </c>
      <c r="P45" t="str">
        <f t="shared" si="0"/>
        <v>Thu</v>
      </c>
      <c r="Q45" t="str">
        <f t="shared" si="1"/>
        <v>Sedentary</v>
      </c>
    </row>
    <row r="46" spans="1:17">
      <c r="A46">
        <v>1624580081</v>
      </c>
      <c r="B46" s="1">
        <v>42501</v>
      </c>
      <c r="C46" s="3">
        <v>3134</v>
      </c>
      <c r="D46" s="2">
        <v>2.03999996185303</v>
      </c>
      <c r="E46" s="2">
        <v>2.03999996185303</v>
      </c>
      <c r="F46" s="2">
        <v>0</v>
      </c>
      <c r="G46" s="2">
        <v>0</v>
      </c>
      <c r="H46" s="2">
        <v>0</v>
      </c>
      <c r="I46" s="2">
        <v>2.03999996185303</v>
      </c>
      <c r="J46" s="2">
        <v>0</v>
      </c>
      <c r="K46" s="3">
        <v>0</v>
      </c>
      <c r="L46" s="3">
        <v>0</v>
      </c>
      <c r="M46" s="3">
        <v>112</v>
      </c>
      <c r="N46" s="3">
        <v>1328</v>
      </c>
      <c r="O46" s="3">
        <v>1359</v>
      </c>
      <c r="P46" t="str">
        <f t="shared" si="0"/>
        <v>Wed</v>
      </c>
      <c r="Q46" t="str">
        <f t="shared" si="1"/>
        <v>Sedentary</v>
      </c>
    </row>
    <row r="47" spans="1:17">
      <c r="A47">
        <v>1624580081</v>
      </c>
      <c r="B47" s="1">
        <v>42498</v>
      </c>
      <c r="C47" s="3">
        <v>3427</v>
      </c>
      <c r="D47" s="2">
        <v>2.2300000190734899</v>
      </c>
      <c r="E47" s="2">
        <v>2.2300000190734899</v>
      </c>
      <c r="F47" s="2">
        <v>0</v>
      </c>
      <c r="G47" s="2">
        <v>0</v>
      </c>
      <c r="H47" s="2">
        <v>0</v>
      </c>
      <c r="I47" s="2">
        <v>2.2200000286102299</v>
      </c>
      <c r="J47" s="2">
        <v>0</v>
      </c>
      <c r="K47" s="3">
        <v>0</v>
      </c>
      <c r="L47" s="3">
        <v>0</v>
      </c>
      <c r="M47" s="3">
        <v>152</v>
      </c>
      <c r="N47" s="3">
        <v>1288</v>
      </c>
      <c r="O47" s="3">
        <v>1427</v>
      </c>
      <c r="P47" t="str">
        <f t="shared" si="0"/>
        <v>Sun</v>
      </c>
      <c r="Q47" t="str">
        <f t="shared" si="1"/>
        <v>Sedentary</v>
      </c>
    </row>
    <row r="48" spans="1:17">
      <c r="A48">
        <v>1624580081</v>
      </c>
      <c r="B48" s="1">
        <v>42482</v>
      </c>
      <c r="C48" s="3">
        <v>4026</v>
      </c>
      <c r="D48" s="2">
        <v>2.6199998855590798</v>
      </c>
      <c r="E48" s="2">
        <v>2.6199998855590798</v>
      </c>
      <c r="F48" s="2">
        <v>0</v>
      </c>
      <c r="G48" s="2">
        <v>0</v>
      </c>
      <c r="H48" s="2">
        <v>0</v>
      </c>
      <c r="I48" s="2">
        <v>2.5999999046325701</v>
      </c>
      <c r="J48" s="2">
        <v>0</v>
      </c>
      <c r="K48" s="3">
        <v>0</v>
      </c>
      <c r="L48" s="3">
        <v>0</v>
      </c>
      <c r="M48" s="3">
        <v>199</v>
      </c>
      <c r="N48" s="3">
        <v>1241</v>
      </c>
      <c r="O48" s="3">
        <v>1470</v>
      </c>
      <c r="P48" t="str">
        <f t="shared" si="0"/>
        <v>Fri</v>
      </c>
      <c r="Q48" t="str">
        <f t="shared" si="1"/>
        <v>Sedentary</v>
      </c>
    </row>
    <row r="49" spans="1:17">
      <c r="A49">
        <v>1624580081</v>
      </c>
      <c r="B49" s="1">
        <v>42480</v>
      </c>
      <c r="C49" s="3">
        <v>4974</v>
      </c>
      <c r="D49" s="2">
        <v>3.2300000190734899</v>
      </c>
      <c r="E49" s="2">
        <v>3.2300000190734899</v>
      </c>
      <c r="F49" s="2">
        <v>0</v>
      </c>
      <c r="G49" s="2">
        <v>0</v>
      </c>
      <c r="H49" s="2">
        <v>0</v>
      </c>
      <c r="I49" s="2">
        <v>3.2300000190734899</v>
      </c>
      <c r="J49" s="2">
        <v>0</v>
      </c>
      <c r="K49" s="3">
        <v>0</v>
      </c>
      <c r="L49" s="3">
        <v>0</v>
      </c>
      <c r="M49" s="3">
        <v>151</v>
      </c>
      <c r="N49" s="3">
        <v>1289</v>
      </c>
      <c r="O49" s="3">
        <v>1446</v>
      </c>
      <c r="P49" t="str">
        <f t="shared" si="0"/>
        <v>Wed</v>
      </c>
      <c r="Q49" t="str">
        <f t="shared" si="1"/>
        <v>Sedentary</v>
      </c>
    </row>
    <row r="50" spans="1:17">
      <c r="A50">
        <v>1624580081</v>
      </c>
      <c r="B50" s="1">
        <v>42476</v>
      </c>
      <c r="C50" s="3">
        <v>5370</v>
      </c>
      <c r="D50" s="2">
        <v>3.4900000095367401</v>
      </c>
      <c r="E50" s="2">
        <v>3.4900000095367401</v>
      </c>
      <c r="F50" s="2">
        <v>0</v>
      </c>
      <c r="G50" s="2">
        <v>0</v>
      </c>
      <c r="H50" s="2">
        <v>0</v>
      </c>
      <c r="I50" s="2">
        <v>3.4900000095367401</v>
      </c>
      <c r="J50" s="2">
        <v>0</v>
      </c>
      <c r="K50" s="3">
        <v>0</v>
      </c>
      <c r="L50" s="3">
        <v>0</v>
      </c>
      <c r="M50" s="3">
        <v>176</v>
      </c>
      <c r="N50" s="3">
        <v>1264</v>
      </c>
      <c r="O50" s="3">
        <v>1463</v>
      </c>
      <c r="P50" t="str">
        <f t="shared" si="0"/>
        <v>Sat</v>
      </c>
      <c r="Q50" t="str">
        <f t="shared" si="1"/>
        <v>Lightly Active</v>
      </c>
    </row>
    <row r="51" spans="1:17">
      <c r="A51">
        <v>1624580081</v>
      </c>
      <c r="B51" s="1">
        <v>42484</v>
      </c>
      <c r="C51" s="3">
        <v>6076</v>
      </c>
      <c r="D51" s="2">
        <v>3.9500000476837198</v>
      </c>
      <c r="E51" s="2">
        <v>3.9500000476837198</v>
      </c>
      <c r="F51" s="2">
        <v>0</v>
      </c>
      <c r="G51" s="2">
        <v>1.1499999761581401</v>
      </c>
      <c r="H51" s="2">
        <v>0.91000002622604403</v>
      </c>
      <c r="I51" s="2">
        <v>1.8899999856948899</v>
      </c>
      <c r="J51" s="2">
        <v>0</v>
      </c>
      <c r="K51" s="3">
        <v>16</v>
      </c>
      <c r="L51" s="3">
        <v>18</v>
      </c>
      <c r="M51" s="3">
        <v>185</v>
      </c>
      <c r="N51" s="3">
        <v>1221</v>
      </c>
      <c r="O51" s="3">
        <v>1617</v>
      </c>
      <c r="P51" t="str">
        <f t="shared" si="0"/>
        <v>Sun</v>
      </c>
      <c r="Q51" t="str">
        <f t="shared" si="1"/>
        <v>Lightly Active</v>
      </c>
    </row>
    <row r="52" spans="1:17">
      <c r="A52">
        <v>1624580081</v>
      </c>
      <c r="B52" s="1">
        <v>42477</v>
      </c>
      <c r="C52" s="3">
        <v>6175</v>
      </c>
      <c r="D52" s="2">
        <v>4.0599999427795401</v>
      </c>
      <c r="E52" s="2">
        <v>4.0599999427795401</v>
      </c>
      <c r="F52" s="2">
        <v>0</v>
      </c>
      <c r="G52" s="2">
        <v>1.0299999713897701</v>
      </c>
      <c r="H52" s="2">
        <v>1.5199999809265099</v>
      </c>
      <c r="I52" s="2">
        <v>1.4900000095367401</v>
      </c>
      <c r="J52" s="2">
        <v>9.9999997764825804E-3</v>
      </c>
      <c r="K52" s="3">
        <v>15</v>
      </c>
      <c r="L52" s="3">
        <v>22</v>
      </c>
      <c r="M52" s="3">
        <v>127</v>
      </c>
      <c r="N52" s="3">
        <v>1276</v>
      </c>
      <c r="O52" s="3">
        <v>1554</v>
      </c>
      <c r="P52" t="str">
        <f t="shared" si="0"/>
        <v>Sun</v>
      </c>
      <c r="Q52" t="str">
        <f t="shared" si="1"/>
        <v>Lightly Active</v>
      </c>
    </row>
    <row r="53" spans="1:17">
      <c r="A53">
        <v>1624580081</v>
      </c>
      <c r="B53" s="1">
        <v>42481</v>
      </c>
      <c r="C53" s="3">
        <v>6349</v>
      </c>
      <c r="D53" s="2">
        <v>4.1300001144409197</v>
      </c>
      <c r="E53" s="2">
        <v>4.1300001144409197</v>
      </c>
      <c r="F53" s="2">
        <v>0</v>
      </c>
      <c r="G53" s="2">
        <v>0</v>
      </c>
      <c r="H53" s="2">
        <v>0</v>
      </c>
      <c r="I53" s="2">
        <v>4.1100001335143999</v>
      </c>
      <c r="J53" s="2">
        <v>1.9999999552965199E-2</v>
      </c>
      <c r="K53" s="3">
        <v>0</v>
      </c>
      <c r="L53" s="3">
        <v>0</v>
      </c>
      <c r="M53" s="3">
        <v>186</v>
      </c>
      <c r="N53" s="3">
        <v>1254</v>
      </c>
      <c r="O53" s="3">
        <v>1467</v>
      </c>
      <c r="P53" t="str">
        <f t="shared" si="0"/>
        <v>Thu</v>
      </c>
      <c r="Q53" t="str">
        <f t="shared" si="1"/>
        <v>Lightly Active</v>
      </c>
    </row>
    <row r="54" spans="1:17">
      <c r="A54">
        <v>1624580081</v>
      </c>
      <c r="B54" s="1">
        <v>42490</v>
      </c>
      <c r="C54" s="3">
        <v>6474</v>
      </c>
      <c r="D54" s="2">
        <v>4.3000001907348597</v>
      </c>
      <c r="E54" s="2">
        <v>4.3000001907348597</v>
      </c>
      <c r="F54" s="2">
        <v>0</v>
      </c>
      <c r="G54" s="2">
        <v>0.89999997615814198</v>
      </c>
      <c r="H54" s="2">
        <v>1.2799999713897701</v>
      </c>
      <c r="I54" s="2">
        <v>2.1199998855590798</v>
      </c>
      <c r="J54" s="2">
        <v>9.9999997764825804E-3</v>
      </c>
      <c r="K54" s="3">
        <v>11</v>
      </c>
      <c r="L54" s="3">
        <v>23</v>
      </c>
      <c r="M54" s="3">
        <v>224</v>
      </c>
      <c r="N54" s="3">
        <v>1182</v>
      </c>
      <c r="O54" s="3">
        <v>1655</v>
      </c>
      <c r="P54" t="str">
        <f t="shared" si="0"/>
        <v>Sat</v>
      </c>
      <c r="Q54" t="str">
        <f t="shared" si="1"/>
        <v>Lightly Active</v>
      </c>
    </row>
    <row r="55" spans="1:17">
      <c r="A55">
        <v>1624580081</v>
      </c>
      <c r="B55" s="1">
        <v>42485</v>
      </c>
      <c r="C55" s="3">
        <v>6497</v>
      </c>
      <c r="D55" s="2">
        <v>4.2199997901916504</v>
      </c>
      <c r="E55" s="2">
        <v>4.2199997901916504</v>
      </c>
      <c r="F55" s="2">
        <v>0</v>
      </c>
      <c r="G55" s="2">
        <v>0</v>
      </c>
      <c r="H55" s="2">
        <v>0</v>
      </c>
      <c r="I55" s="2">
        <v>4.1999998092651403</v>
      </c>
      <c r="J55" s="2">
        <v>1.9999999552965199E-2</v>
      </c>
      <c r="K55" s="3">
        <v>0</v>
      </c>
      <c r="L55" s="3">
        <v>0</v>
      </c>
      <c r="M55" s="3">
        <v>202</v>
      </c>
      <c r="N55" s="3">
        <v>1238</v>
      </c>
      <c r="O55" s="3">
        <v>1492</v>
      </c>
      <c r="P55" t="str">
        <f t="shared" si="0"/>
        <v>Mon</v>
      </c>
      <c r="Q55" t="str">
        <f t="shared" si="1"/>
        <v>Lightly Active</v>
      </c>
    </row>
    <row r="56" spans="1:17">
      <c r="A56">
        <v>1624580081</v>
      </c>
      <c r="B56" s="1">
        <v>42473</v>
      </c>
      <c r="C56" s="3">
        <v>7007</v>
      </c>
      <c r="D56" s="2">
        <v>4.5500001907348597</v>
      </c>
      <c r="E56" s="2">
        <v>4.5500001907348597</v>
      </c>
      <c r="F56" s="2">
        <v>0</v>
      </c>
      <c r="G56" s="2">
        <v>0</v>
      </c>
      <c r="H56" s="2">
        <v>0</v>
      </c>
      <c r="I56" s="2">
        <v>4.5500001907348597</v>
      </c>
      <c r="J56" s="2">
        <v>0</v>
      </c>
      <c r="K56" s="3">
        <v>0</v>
      </c>
      <c r="L56" s="3">
        <v>0</v>
      </c>
      <c r="M56" s="3">
        <v>148</v>
      </c>
      <c r="N56" s="3">
        <v>1292</v>
      </c>
      <c r="O56" s="3">
        <v>1411</v>
      </c>
      <c r="P56" t="str">
        <f t="shared" si="0"/>
        <v>Wed</v>
      </c>
      <c r="Q56" t="str">
        <f t="shared" si="1"/>
        <v>Lightly Active</v>
      </c>
    </row>
    <row r="57" spans="1:17">
      <c r="A57">
        <v>1624580081</v>
      </c>
      <c r="B57" s="1">
        <v>42492</v>
      </c>
      <c r="C57" s="3">
        <v>7155</v>
      </c>
      <c r="D57" s="2">
        <v>4.9299998283386204</v>
      </c>
      <c r="E57" s="2">
        <v>4.9299998283386204</v>
      </c>
      <c r="F57" s="2">
        <v>0</v>
      </c>
      <c r="G57" s="2">
        <v>0.86000001430511497</v>
      </c>
      <c r="H57" s="2">
        <v>0.58999997377395597</v>
      </c>
      <c r="I57" s="2">
        <v>3.4700000286102299</v>
      </c>
      <c r="J57" s="2">
        <v>0</v>
      </c>
      <c r="K57" s="3">
        <v>7</v>
      </c>
      <c r="L57" s="3">
        <v>6</v>
      </c>
      <c r="M57" s="3">
        <v>166</v>
      </c>
      <c r="N57" s="3">
        <v>1261</v>
      </c>
      <c r="O57" s="3">
        <v>1497</v>
      </c>
      <c r="P57" t="str">
        <f t="shared" si="0"/>
        <v>Mon</v>
      </c>
      <c r="Q57" t="str">
        <f t="shared" si="1"/>
        <v>Lightly Active</v>
      </c>
    </row>
    <row r="58" spans="1:17">
      <c r="A58">
        <v>1624580081</v>
      </c>
      <c r="B58" s="1">
        <v>42472</v>
      </c>
      <c r="C58" s="3">
        <v>8163</v>
      </c>
      <c r="D58" s="2">
        <v>5.3099999427795401</v>
      </c>
      <c r="E58" s="2">
        <v>5.3099999427795401</v>
      </c>
      <c r="F58" s="2">
        <v>0</v>
      </c>
      <c r="G58" s="2">
        <v>0</v>
      </c>
      <c r="H58" s="2">
        <v>0</v>
      </c>
      <c r="I58" s="2">
        <v>5.3099999427795401</v>
      </c>
      <c r="J58" s="2">
        <v>0</v>
      </c>
      <c r="K58" s="3">
        <v>0</v>
      </c>
      <c r="L58" s="3">
        <v>0</v>
      </c>
      <c r="M58" s="3">
        <v>146</v>
      </c>
      <c r="N58" s="3">
        <v>1294</v>
      </c>
      <c r="O58" s="3">
        <v>1432</v>
      </c>
      <c r="P58" t="str">
        <f t="shared" si="0"/>
        <v>Tue</v>
      </c>
      <c r="Q58" t="str">
        <f t="shared" si="1"/>
        <v>Fairly Active</v>
      </c>
    </row>
    <row r="59" spans="1:17">
      <c r="A59">
        <v>1624580081</v>
      </c>
      <c r="B59" s="1">
        <v>42487</v>
      </c>
      <c r="C59" s="3">
        <v>8367</v>
      </c>
      <c r="D59" s="2">
        <v>5.4400000572204599</v>
      </c>
      <c r="E59" s="2">
        <v>5.4400000572204599</v>
      </c>
      <c r="F59" s="2">
        <v>0</v>
      </c>
      <c r="G59" s="2">
        <v>1.1100000143051101</v>
      </c>
      <c r="H59" s="2">
        <v>1.87000000476837</v>
      </c>
      <c r="I59" s="2">
        <v>2.46000003814697</v>
      </c>
      <c r="J59" s="2">
        <v>0</v>
      </c>
      <c r="K59" s="3">
        <v>17</v>
      </c>
      <c r="L59" s="3">
        <v>36</v>
      </c>
      <c r="M59" s="3">
        <v>154</v>
      </c>
      <c r="N59" s="3">
        <v>1233</v>
      </c>
      <c r="O59" s="3">
        <v>1670</v>
      </c>
      <c r="P59" t="str">
        <f t="shared" si="0"/>
        <v>Wed</v>
      </c>
      <c r="Q59" t="str">
        <f t="shared" si="1"/>
        <v>Fairly Active</v>
      </c>
    </row>
    <row r="60" spans="1:17">
      <c r="A60">
        <v>1624580081</v>
      </c>
      <c r="B60" s="1">
        <v>42483</v>
      </c>
      <c r="C60" s="3">
        <v>8538</v>
      </c>
      <c r="D60" s="2">
        <v>5.5500001907348597</v>
      </c>
      <c r="E60" s="2">
        <v>5.5500001907348597</v>
      </c>
      <c r="F60" s="2">
        <v>0</v>
      </c>
      <c r="G60" s="2">
        <v>0</v>
      </c>
      <c r="H60" s="2">
        <v>0</v>
      </c>
      <c r="I60" s="2">
        <v>5.53999996185303</v>
      </c>
      <c r="J60" s="2">
        <v>9.9999997764825804E-3</v>
      </c>
      <c r="K60" s="3">
        <v>0</v>
      </c>
      <c r="L60" s="3">
        <v>0</v>
      </c>
      <c r="M60" s="3">
        <v>227</v>
      </c>
      <c r="N60" s="3">
        <v>1213</v>
      </c>
      <c r="O60" s="3">
        <v>1562</v>
      </c>
      <c r="P60" t="str">
        <f t="shared" si="0"/>
        <v>Sat</v>
      </c>
      <c r="Q60" t="str">
        <f t="shared" si="1"/>
        <v>Fairly Active</v>
      </c>
    </row>
    <row r="61" spans="1:17">
      <c r="A61">
        <v>1624580081</v>
      </c>
      <c r="B61" s="1">
        <v>42474</v>
      </c>
      <c r="C61" s="3">
        <v>9107</v>
      </c>
      <c r="D61" s="2">
        <v>5.9200000762939498</v>
      </c>
      <c r="E61" s="2">
        <v>5.9200000762939498</v>
      </c>
      <c r="F61" s="2">
        <v>0</v>
      </c>
      <c r="G61" s="2">
        <v>0</v>
      </c>
      <c r="H61" s="2">
        <v>0</v>
      </c>
      <c r="I61" s="2">
        <v>5.9099998474121103</v>
      </c>
      <c r="J61" s="2">
        <v>9.9999997764825804E-3</v>
      </c>
      <c r="K61" s="3">
        <v>0</v>
      </c>
      <c r="L61" s="3">
        <v>0</v>
      </c>
      <c r="M61" s="3">
        <v>236</v>
      </c>
      <c r="N61" s="3">
        <v>1204</v>
      </c>
      <c r="O61" s="3">
        <v>1572</v>
      </c>
      <c r="P61" t="str">
        <f t="shared" si="0"/>
        <v>Thu</v>
      </c>
      <c r="Q61" t="str">
        <f t="shared" si="1"/>
        <v>Fairly Active</v>
      </c>
    </row>
    <row r="62" spans="1:17">
      <c r="A62">
        <v>1624580081</v>
      </c>
      <c r="B62" s="1">
        <v>42478</v>
      </c>
      <c r="C62" s="3">
        <v>10536</v>
      </c>
      <c r="D62" s="2">
        <v>7.4099998474121103</v>
      </c>
      <c r="E62" s="2">
        <v>7.4099998474121103</v>
      </c>
      <c r="F62" s="2">
        <v>0</v>
      </c>
      <c r="G62" s="2">
        <v>2.1500000953674299</v>
      </c>
      <c r="H62" s="2">
        <v>0.62000000476837203</v>
      </c>
      <c r="I62" s="2">
        <v>4.6199998855590803</v>
      </c>
      <c r="J62" s="2">
        <v>9.9999997764825804E-3</v>
      </c>
      <c r="K62" s="3">
        <v>17</v>
      </c>
      <c r="L62" s="3">
        <v>7</v>
      </c>
      <c r="M62" s="3">
        <v>202</v>
      </c>
      <c r="N62" s="3">
        <v>1214</v>
      </c>
      <c r="O62" s="3">
        <v>1604</v>
      </c>
      <c r="P62" t="str">
        <f t="shared" si="0"/>
        <v>Mon</v>
      </c>
      <c r="Q62" t="str">
        <f t="shared" si="1"/>
        <v>Vey Active</v>
      </c>
    </row>
    <row r="63" spans="1:17">
      <c r="A63">
        <v>1624580081</v>
      </c>
      <c r="B63" s="1">
        <v>42491</v>
      </c>
      <c r="C63" s="3">
        <v>36019</v>
      </c>
      <c r="D63" s="2">
        <v>28.030000686645501</v>
      </c>
      <c r="E63" s="2">
        <v>28.030000686645501</v>
      </c>
      <c r="F63" s="2">
        <v>0</v>
      </c>
      <c r="G63" s="2">
        <v>21.920000076293899</v>
      </c>
      <c r="H63" s="2">
        <v>4.1900000572204599</v>
      </c>
      <c r="I63" s="2">
        <v>1.9099999666214</v>
      </c>
      <c r="J63" s="2">
        <v>1.9999999552965199E-2</v>
      </c>
      <c r="K63" s="3">
        <v>186</v>
      </c>
      <c r="L63" s="3">
        <v>63</v>
      </c>
      <c r="M63" s="3">
        <v>171</v>
      </c>
      <c r="N63" s="3">
        <v>1020</v>
      </c>
      <c r="O63" s="3">
        <v>2690</v>
      </c>
      <c r="P63" t="str">
        <f t="shared" si="0"/>
        <v>Sun</v>
      </c>
      <c r="Q63" t="str">
        <f t="shared" si="1"/>
        <v>Vey Active</v>
      </c>
    </row>
    <row r="64" spans="1:17">
      <c r="A64">
        <v>1644430081</v>
      </c>
      <c r="B64" s="1">
        <v>42481</v>
      </c>
      <c r="C64" s="3">
        <v>1223</v>
      </c>
      <c r="D64" s="2">
        <v>0.88999998569488503</v>
      </c>
      <c r="E64" s="2">
        <v>0.88999998569488503</v>
      </c>
      <c r="F64" s="2">
        <v>0</v>
      </c>
      <c r="G64" s="2">
        <v>0</v>
      </c>
      <c r="H64" s="2">
        <v>0</v>
      </c>
      <c r="I64" s="2">
        <v>0.87999999523162797</v>
      </c>
      <c r="J64" s="2">
        <v>9.9999997764825804E-3</v>
      </c>
      <c r="K64" s="3">
        <v>0</v>
      </c>
      <c r="L64" s="3">
        <v>0</v>
      </c>
      <c r="M64" s="3">
        <v>38</v>
      </c>
      <c r="N64" s="3">
        <v>1402</v>
      </c>
      <c r="O64" s="3">
        <v>2140</v>
      </c>
      <c r="P64" t="str">
        <f t="shared" si="0"/>
        <v>Thu</v>
      </c>
      <c r="Q64" t="str">
        <f t="shared" si="1"/>
        <v>Sedentary</v>
      </c>
    </row>
    <row r="65" spans="1:17">
      <c r="A65">
        <v>1644430081</v>
      </c>
      <c r="B65" s="1">
        <v>42501</v>
      </c>
      <c r="C65" s="3">
        <v>1329</v>
      </c>
      <c r="D65" s="2">
        <v>0.97000002861022905</v>
      </c>
      <c r="E65" s="2">
        <v>0.97000002861022905</v>
      </c>
      <c r="F65" s="2">
        <v>0</v>
      </c>
      <c r="G65" s="2">
        <v>0</v>
      </c>
      <c r="H65" s="2">
        <v>0</v>
      </c>
      <c r="I65" s="2">
        <v>0.94999998807907104</v>
      </c>
      <c r="J65" s="2">
        <v>9.9999997764825804E-3</v>
      </c>
      <c r="K65" s="3">
        <v>0</v>
      </c>
      <c r="L65" s="3">
        <v>0</v>
      </c>
      <c r="M65" s="3">
        <v>49</v>
      </c>
      <c r="N65" s="3">
        <v>713</v>
      </c>
      <c r="O65" s="3">
        <v>1276</v>
      </c>
      <c r="P65" t="str">
        <f t="shared" si="0"/>
        <v>Wed</v>
      </c>
      <c r="Q65" t="str">
        <f t="shared" si="1"/>
        <v>Sedentary</v>
      </c>
    </row>
    <row r="66" spans="1:17">
      <c r="A66">
        <v>1644430081</v>
      </c>
      <c r="B66" s="1">
        <v>42494</v>
      </c>
      <c r="C66" s="3">
        <v>2309</v>
      </c>
      <c r="D66" s="2">
        <v>1.6799999475479099</v>
      </c>
      <c r="E66" s="2">
        <v>1.6799999475479099</v>
      </c>
      <c r="F66" s="2">
        <v>0</v>
      </c>
      <c r="G66" s="2">
        <v>0</v>
      </c>
      <c r="H66" s="2">
        <v>0</v>
      </c>
      <c r="I66" s="2">
        <v>1.6599999666214</v>
      </c>
      <c r="J66" s="2">
        <v>1.9999999552965199E-2</v>
      </c>
      <c r="K66" s="3">
        <v>0</v>
      </c>
      <c r="L66" s="3">
        <v>0</v>
      </c>
      <c r="M66" s="3">
        <v>52</v>
      </c>
      <c r="N66" s="3">
        <v>1388</v>
      </c>
      <c r="O66" s="3">
        <v>2222</v>
      </c>
      <c r="P66" t="str">
        <f t="shared" ref="P66:P129" si="2">TEXT(B66, "ddd")</f>
        <v>Wed</v>
      </c>
      <c r="Q66" t="str">
        <f t="shared" ref="Q66:Q129" si="3">IF(C66&lt;5000, "Sedentary", IF(C66&lt;7500, "Lightly Active",IF(C66&lt;10000, "Fairly Active", "Vey Active")))</f>
        <v>Sedentary</v>
      </c>
    </row>
    <row r="67" spans="1:17">
      <c r="A67">
        <v>1644430081</v>
      </c>
      <c r="B67" s="1">
        <v>42480</v>
      </c>
      <c r="C67" s="3">
        <v>2436</v>
      </c>
      <c r="D67" s="2">
        <v>1.7699999809265099</v>
      </c>
      <c r="E67" s="2">
        <v>1.7699999809265099</v>
      </c>
      <c r="F67" s="2">
        <v>0</v>
      </c>
      <c r="G67" s="2">
        <v>0</v>
      </c>
      <c r="H67" s="2">
        <v>0</v>
      </c>
      <c r="I67" s="2">
        <v>1.7599999904632599</v>
      </c>
      <c r="J67" s="2">
        <v>9.9999997764825804E-3</v>
      </c>
      <c r="K67" s="3">
        <v>0</v>
      </c>
      <c r="L67" s="3">
        <v>0</v>
      </c>
      <c r="M67" s="3">
        <v>125</v>
      </c>
      <c r="N67" s="3">
        <v>1315</v>
      </c>
      <c r="O67" s="3">
        <v>2430</v>
      </c>
      <c r="P67" t="str">
        <f t="shared" si="2"/>
        <v>Wed</v>
      </c>
      <c r="Q67" t="str">
        <f t="shared" si="3"/>
        <v>Sedentary</v>
      </c>
    </row>
    <row r="68" spans="1:17">
      <c r="A68">
        <v>1644430081</v>
      </c>
      <c r="B68" s="1">
        <v>42487</v>
      </c>
      <c r="C68" s="3">
        <v>3032</v>
      </c>
      <c r="D68" s="2">
        <v>2.2000000476837198</v>
      </c>
      <c r="E68" s="2">
        <v>2.2000000476837198</v>
      </c>
      <c r="F68" s="2">
        <v>0</v>
      </c>
      <c r="G68" s="2">
        <v>0</v>
      </c>
      <c r="H68" s="2">
        <v>0</v>
      </c>
      <c r="I68" s="2">
        <v>2.2000000476837198</v>
      </c>
      <c r="J68" s="2">
        <v>0</v>
      </c>
      <c r="K68" s="3">
        <v>0</v>
      </c>
      <c r="L68" s="3">
        <v>0</v>
      </c>
      <c r="M68" s="3">
        <v>118</v>
      </c>
      <c r="N68" s="3">
        <v>1322</v>
      </c>
      <c r="O68" s="3">
        <v>2489</v>
      </c>
      <c r="P68" t="str">
        <f t="shared" si="2"/>
        <v>Wed</v>
      </c>
      <c r="Q68" t="str">
        <f t="shared" si="3"/>
        <v>Sedentary</v>
      </c>
    </row>
    <row r="69" spans="1:17">
      <c r="A69">
        <v>1644430081</v>
      </c>
      <c r="B69" s="1">
        <v>42489</v>
      </c>
      <c r="C69" s="3">
        <v>3176</v>
      </c>
      <c r="D69" s="2">
        <v>2.3099999427795401</v>
      </c>
      <c r="E69" s="2">
        <v>2.3099999427795401</v>
      </c>
      <c r="F69" s="2">
        <v>0</v>
      </c>
      <c r="G69" s="2">
        <v>0</v>
      </c>
      <c r="H69" s="2">
        <v>0</v>
      </c>
      <c r="I69" s="2">
        <v>2.3099999427795401</v>
      </c>
      <c r="J69" s="2">
        <v>0</v>
      </c>
      <c r="K69" s="3">
        <v>0</v>
      </c>
      <c r="L69" s="3">
        <v>0</v>
      </c>
      <c r="M69" s="3">
        <v>120</v>
      </c>
      <c r="N69" s="3">
        <v>1193</v>
      </c>
      <c r="O69" s="3">
        <v>2498</v>
      </c>
      <c r="P69" t="str">
        <f t="shared" si="2"/>
        <v>Fri</v>
      </c>
      <c r="Q69" t="str">
        <f t="shared" si="3"/>
        <v>Sedentary</v>
      </c>
    </row>
    <row r="70" spans="1:17">
      <c r="A70">
        <v>1644430081</v>
      </c>
      <c r="B70" s="1">
        <v>42484</v>
      </c>
      <c r="C70" s="3">
        <v>3321</v>
      </c>
      <c r="D70" s="2">
        <v>2.4100000858306898</v>
      </c>
      <c r="E70" s="2">
        <v>2.4100000858306898</v>
      </c>
      <c r="F70" s="2">
        <v>0</v>
      </c>
      <c r="G70" s="2">
        <v>0</v>
      </c>
      <c r="H70" s="2">
        <v>0</v>
      </c>
      <c r="I70" s="2">
        <v>2.4100000858306898</v>
      </c>
      <c r="J70" s="2">
        <v>0</v>
      </c>
      <c r="K70" s="3">
        <v>0</v>
      </c>
      <c r="L70" s="3">
        <v>0</v>
      </c>
      <c r="M70" s="3">
        <v>89</v>
      </c>
      <c r="N70" s="3">
        <v>1351</v>
      </c>
      <c r="O70" s="3">
        <v>2413</v>
      </c>
      <c r="P70" t="str">
        <f t="shared" si="2"/>
        <v>Sun</v>
      </c>
      <c r="Q70" t="str">
        <f t="shared" si="3"/>
        <v>Sedentary</v>
      </c>
    </row>
    <row r="71" spans="1:17">
      <c r="A71">
        <v>1644430081</v>
      </c>
      <c r="B71" s="1">
        <v>42485</v>
      </c>
      <c r="C71" s="3">
        <v>3580</v>
      </c>
      <c r="D71" s="2">
        <v>2.5999999046325701</v>
      </c>
      <c r="E71" s="2">
        <v>2.5999999046325701</v>
      </c>
      <c r="F71" s="2">
        <v>0</v>
      </c>
      <c r="G71" s="2">
        <v>0.58999997377395597</v>
      </c>
      <c r="H71" s="2">
        <v>5.9999998658895499E-2</v>
      </c>
      <c r="I71" s="2">
        <v>1.95000004768372</v>
      </c>
      <c r="J71" s="2">
        <v>0</v>
      </c>
      <c r="K71" s="3">
        <v>8</v>
      </c>
      <c r="L71" s="3">
        <v>1</v>
      </c>
      <c r="M71" s="3">
        <v>94</v>
      </c>
      <c r="N71" s="3">
        <v>1337</v>
      </c>
      <c r="O71" s="3">
        <v>2497</v>
      </c>
      <c r="P71" t="str">
        <f t="shared" si="2"/>
        <v>Mon</v>
      </c>
      <c r="Q71" t="str">
        <f t="shared" si="3"/>
        <v>Sedentary</v>
      </c>
    </row>
    <row r="72" spans="1:17">
      <c r="A72">
        <v>1644430081</v>
      </c>
      <c r="B72" s="1">
        <v>42482</v>
      </c>
      <c r="C72" s="3">
        <v>3673</v>
      </c>
      <c r="D72" s="2">
        <v>2.6700000762939502</v>
      </c>
      <c r="E72" s="2">
        <v>2.6700000762939502</v>
      </c>
      <c r="F72" s="2">
        <v>0</v>
      </c>
      <c r="G72" s="2">
        <v>0</v>
      </c>
      <c r="H72" s="2">
        <v>0</v>
      </c>
      <c r="I72" s="2">
        <v>2.6600000858306898</v>
      </c>
      <c r="J72" s="2">
        <v>9.9999997764825804E-3</v>
      </c>
      <c r="K72" s="3">
        <v>0</v>
      </c>
      <c r="L72" s="3">
        <v>0</v>
      </c>
      <c r="M72" s="3">
        <v>86</v>
      </c>
      <c r="N72" s="3">
        <v>1354</v>
      </c>
      <c r="O72" s="3">
        <v>2344</v>
      </c>
      <c r="P72" t="str">
        <f t="shared" si="2"/>
        <v>Fri</v>
      </c>
      <c r="Q72" t="str">
        <f t="shared" si="3"/>
        <v>Sedentary</v>
      </c>
    </row>
    <row r="73" spans="1:17">
      <c r="A73">
        <v>1644430081</v>
      </c>
      <c r="B73" s="1">
        <v>42492</v>
      </c>
      <c r="C73" s="3">
        <v>3758</v>
      </c>
      <c r="D73" s="2">
        <v>2.7300000190734899</v>
      </c>
      <c r="E73" s="2">
        <v>2.7300000190734899</v>
      </c>
      <c r="F73" s="2">
        <v>0</v>
      </c>
      <c r="G73" s="2">
        <v>7.0000000298023196E-2</v>
      </c>
      <c r="H73" s="2">
        <v>0.31000000238418601</v>
      </c>
      <c r="I73" s="2">
        <v>2.3499999046325701</v>
      </c>
      <c r="J73" s="2">
        <v>0</v>
      </c>
      <c r="K73" s="3">
        <v>1</v>
      </c>
      <c r="L73" s="3">
        <v>7</v>
      </c>
      <c r="M73" s="3">
        <v>148</v>
      </c>
      <c r="N73" s="3">
        <v>682</v>
      </c>
      <c r="O73" s="3">
        <v>2580</v>
      </c>
      <c r="P73" t="str">
        <f t="shared" si="2"/>
        <v>Mon</v>
      </c>
      <c r="Q73" t="str">
        <f t="shared" si="3"/>
        <v>Sedentary</v>
      </c>
    </row>
    <row r="74" spans="1:17">
      <c r="A74">
        <v>1644430081</v>
      </c>
      <c r="B74" s="1">
        <v>42495</v>
      </c>
      <c r="C74" s="3">
        <v>4363</v>
      </c>
      <c r="D74" s="2">
        <v>3.1900000572204599</v>
      </c>
      <c r="E74" s="2">
        <v>3.1900000572204599</v>
      </c>
      <c r="F74" s="2">
        <v>0</v>
      </c>
      <c r="G74" s="2">
        <v>0.519999980926514</v>
      </c>
      <c r="H74" s="2">
        <v>0.54000002145767201</v>
      </c>
      <c r="I74" s="2">
        <v>2.1300001144409202</v>
      </c>
      <c r="J74" s="2">
        <v>9.9999997764825804E-3</v>
      </c>
      <c r="K74" s="3">
        <v>6</v>
      </c>
      <c r="L74" s="3">
        <v>12</v>
      </c>
      <c r="M74" s="3">
        <v>81</v>
      </c>
      <c r="N74" s="3">
        <v>1341</v>
      </c>
      <c r="O74" s="3">
        <v>2463</v>
      </c>
      <c r="P74" t="str">
        <f t="shared" si="2"/>
        <v>Thu</v>
      </c>
      <c r="Q74" t="str">
        <f t="shared" si="3"/>
        <v>Sedentary</v>
      </c>
    </row>
    <row r="75" spans="1:17">
      <c r="A75">
        <v>1644430081</v>
      </c>
      <c r="B75" s="1">
        <v>42475</v>
      </c>
      <c r="C75" s="3">
        <v>5263</v>
      </c>
      <c r="D75" s="2">
        <v>3.8299999237060498</v>
      </c>
      <c r="E75" s="2">
        <v>3.8299999237060498</v>
      </c>
      <c r="F75" s="2">
        <v>0</v>
      </c>
      <c r="G75" s="2">
        <v>0.21999999880790699</v>
      </c>
      <c r="H75" s="2">
        <v>0.15000000596046401</v>
      </c>
      <c r="I75" s="2">
        <v>3.4500000476837198</v>
      </c>
      <c r="J75" s="2">
        <v>0</v>
      </c>
      <c r="K75" s="3">
        <v>3</v>
      </c>
      <c r="L75" s="3">
        <v>4</v>
      </c>
      <c r="M75" s="3">
        <v>170</v>
      </c>
      <c r="N75" s="3">
        <v>1263</v>
      </c>
      <c r="O75" s="3">
        <v>2750</v>
      </c>
      <c r="P75" t="str">
        <f t="shared" si="2"/>
        <v>Fri</v>
      </c>
      <c r="Q75" t="str">
        <f t="shared" si="3"/>
        <v>Lightly Active</v>
      </c>
    </row>
    <row r="76" spans="1:17">
      <c r="A76">
        <v>1644430081</v>
      </c>
      <c r="B76" s="1">
        <v>42491</v>
      </c>
      <c r="C76" s="3">
        <v>6132</v>
      </c>
      <c r="D76" s="2">
        <v>4.46000003814697</v>
      </c>
      <c r="E76" s="2">
        <v>4.46000003814697</v>
      </c>
      <c r="F76" s="2">
        <v>0</v>
      </c>
      <c r="G76" s="2">
        <v>0.239999994635582</v>
      </c>
      <c r="H76" s="2">
        <v>0.99000000953674305</v>
      </c>
      <c r="I76" s="2">
        <v>3.2300000190734899</v>
      </c>
      <c r="J76" s="2">
        <v>0</v>
      </c>
      <c r="K76" s="3">
        <v>3</v>
      </c>
      <c r="L76" s="3">
        <v>24</v>
      </c>
      <c r="M76" s="3">
        <v>146</v>
      </c>
      <c r="N76" s="3">
        <v>908</v>
      </c>
      <c r="O76" s="3">
        <v>2696</v>
      </c>
      <c r="P76" t="str">
        <f t="shared" si="2"/>
        <v>Sun</v>
      </c>
      <c r="Q76" t="str">
        <f t="shared" si="3"/>
        <v>Lightly Active</v>
      </c>
    </row>
    <row r="77" spans="1:17">
      <c r="A77">
        <v>1644430081</v>
      </c>
      <c r="B77" s="1">
        <v>42483</v>
      </c>
      <c r="C77" s="3">
        <v>6637</v>
      </c>
      <c r="D77" s="2">
        <v>4.8299999237060502</v>
      </c>
      <c r="E77" s="2">
        <v>4.8299999237060502</v>
      </c>
      <c r="F77" s="2">
        <v>0</v>
      </c>
      <c r="G77" s="2">
        <v>0</v>
      </c>
      <c r="H77" s="2">
        <v>0.57999998331069902</v>
      </c>
      <c r="I77" s="2">
        <v>4.25</v>
      </c>
      <c r="J77" s="2">
        <v>0</v>
      </c>
      <c r="K77" s="3">
        <v>0</v>
      </c>
      <c r="L77" s="3">
        <v>15</v>
      </c>
      <c r="M77" s="3">
        <v>160</v>
      </c>
      <c r="N77" s="3">
        <v>1265</v>
      </c>
      <c r="O77" s="3">
        <v>2677</v>
      </c>
      <c r="P77" t="str">
        <f t="shared" si="2"/>
        <v>Sat</v>
      </c>
      <c r="Q77" t="str">
        <f t="shared" si="3"/>
        <v>Lightly Active</v>
      </c>
    </row>
    <row r="78" spans="1:17">
      <c r="A78">
        <v>1644430081</v>
      </c>
      <c r="B78" s="1">
        <v>42499</v>
      </c>
      <c r="C78" s="3">
        <v>6643</v>
      </c>
      <c r="D78" s="2">
        <v>4.8299999237060502</v>
      </c>
      <c r="E78" s="2">
        <v>4.8299999237060502</v>
      </c>
      <c r="F78" s="2">
        <v>0</v>
      </c>
      <c r="G78" s="2">
        <v>2.3900001049041699</v>
      </c>
      <c r="H78" s="2">
        <v>0.34999999403953602</v>
      </c>
      <c r="I78" s="2">
        <v>2.0899999141693102</v>
      </c>
      <c r="J78" s="2">
        <v>9.9999997764825804E-3</v>
      </c>
      <c r="K78" s="3">
        <v>32</v>
      </c>
      <c r="L78" s="3">
        <v>6</v>
      </c>
      <c r="M78" s="3">
        <v>303</v>
      </c>
      <c r="N78" s="3">
        <v>1099</v>
      </c>
      <c r="O78" s="3">
        <v>3008</v>
      </c>
      <c r="P78" t="str">
        <f t="shared" si="2"/>
        <v>Mon</v>
      </c>
      <c r="Q78" t="str">
        <f t="shared" si="3"/>
        <v>Lightly Active</v>
      </c>
    </row>
    <row r="79" spans="1:17">
      <c r="A79">
        <v>1644430081</v>
      </c>
      <c r="B79" s="1">
        <v>42498</v>
      </c>
      <c r="C79" s="3">
        <v>6724</v>
      </c>
      <c r="D79" s="2">
        <v>4.8899998664856001</v>
      </c>
      <c r="E79" s="2">
        <v>4.8899998664856001</v>
      </c>
      <c r="F79" s="2">
        <v>0</v>
      </c>
      <c r="G79" s="2">
        <v>0</v>
      </c>
      <c r="H79" s="2">
        <v>0</v>
      </c>
      <c r="I79" s="2">
        <v>4.8800001144409197</v>
      </c>
      <c r="J79" s="2">
        <v>0</v>
      </c>
      <c r="K79" s="3">
        <v>0</v>
      </c>
      <c r="L79" s="3">
        <v>0</v>
      </c>
      <c r="M79" s="3">
        <v>295</v>
      </c>
      <c r="N79" s="3">
        <v>991</v>
      </c>
      <c r="O79" s="3">
        <v>2987</v>
      </c>
      <c r="P79" t="str">
        <f t="shared" si="2"/>
        <v>Sun</v>
      </c>
      <c r="Q79" t="str">
        <f t="shared" si="3"/>
        <v>Lightly Active</v>
      </c>
    </row>
    <row r="80" spans="1:17">
      <c r="A80">
        <v>1644430081</v>
      </c>
      <c r="B80" s="1">
        <v>42478</v>
      </c>
      <c r="C80" s="3">
        <v>7132</v>
      </c>
      <c r="D80" s="2">
        <v>5.1900000572204599</v>
      </c>
      <c r="E80" s="2">
        <v>5.1900000572204599</v>
      </c>
      <c r="F80" s="2">
        <v>0</v>
      </c>
      <c r="G80" s="2">
        <v>1.0700000524520901</v>
      </c>
      <c r="H80" s="2">
        <v>1.66999995708466</v>
      </c>
      <c r="I80" s="2">
        <v>2.4500000476837198</v>
      </c>
      <c r="J80" s="2">
        <v>0</v>
      </c>
      <c r="K80" s="3">
        <v>15</v>
      </c>
      <c r="L80" s="3">
        <v>33</v>
      </c>
      <c r="M80" s="3">
        <v>121</v>
      </c>
      <c r="N80" s="3">
        <v>1271</v>
      </c>
      <c r="O80" s="3">
        <v>2806</v>
      </c>
      <c r="P80" t="str">
        <f t="shared" si="2"/>
        <v>Mon</v>
      </c>
      <c r="Q80" t="str">
        <f t="shared" si="3"/>
        <v>Lightly Active</v>
      </c>
    </row>
    <row r="81" spans="1:17">
      <c r="A81">
        <v>1644430081</v>
      </c>
      <c r="B81" s="1">
        <v>42473</v>
      </c>
      <c r="C81" s="3">
        <v>8001</v>
      </c>
      <c r="D81" s="2">
        <v>5.8200001716613796</v>
      </c>
      <c r="E81" s="2">
        <v>5.8200001716613796</v>
      </c>
      <c r="F81" s="2">
        <v>0</v>
      </c>
      <c r="G81" s="2">
        <v>2.2799999713897701</v>
      </c>
      <c r="H81" s="2">
        <v>0.89999997615814198</v>
      </c>
      <c r="I81" s="2">
        <v>2.6400001049041699</v>
      </c>
      <c r="J81" s="2">
        <v>0</v>
      </c>
      <c r="K81" s="3">
        <v>30</v>
      </c>
      <c r="L81" s="3">
        <v>16</v>
      </c>
      <c r="M81" s="3">
        <v>135</v>
      </c>
      <c r="N81" s="3">
        <v>1259</v>
      </c>
      <c r="O81" s="3">
        <v>2902</v>
      </c>
      <c r="P81" t="str">
        <f t="shared" si="2"/>
        <v>Wed</v>
      </c>
      <c r="Q81" t="str">
        <f t="shared" si="3"/>
        <v>Fairly Active</v>
      </c>
    </row>
    <row r="82" spans="1:17">
      <c r="A82">
        <v>1644430081</v>
      </c>
      <c r="B82" s="1">
        <v>42477</v>
      </c>
      <c r="C82" s="3">
        <v>8757</v>
      </c>
      <c r="D82" s="2">
        <v>6.3699998855590803</v>
      </c>
      <c r="E82" s="2">
        <v>6.3699998855590803</v>
      </c>
      <c r="F82" s="2">
        <v>0</v>
      </c>
      <c r="G82" s="2">
        <v>2.25</v>
      </c>
      <c r="H82" s="2">
        <v>0.56999999284744296</v>
      </c>
      <c r="I82" s="2">
        <v>3.5499999523162802</v>
      </c>
      <c r="J82" s="2">
        <v>0</v>
      </c>
      <c r="K82" s="3">
        <v>29</v>
      </c>
      <c r="L82" s="3">
        <v>13</v>
      </c>
      <c r="M82" s="3">
        <v>186</v>
      </c>
      <c r="N82" s="3">
        <v>1212</v>
      </c>
      <c r="O82" s="3">
        <v>3011</v>
      </c>
      <c r="P82" t="str">
        <f t="shared" si="2"/>
        <v>Sun</v>
      </c>
      <c r="Q82" t="str">
        <f t="shared" si="3"/>
        <v>Fairly Active</v>
      </c>
    </row>
    <row r="83" spans="1:17">
      <c r="A83">
        <v>1644430081</v>
      </c>
      <c r="B83" s="1">
        <v>42500</v>
      </c>
      <c r="C83" s="3">
        <v>9167</v>
      </c>
      <c r="D83" s="2">
        <v>6.6599998474121103</v>
      </c>
      <c r="E83" s="2">
        <v>6.6599998474121103</v>
      </c>
      <c r="F83" s="2">
        <v>0</v>
      </c>
      <c r="G83" s="2">
        <v>0.87999999523162797</v>
      </c>
      <c r="H83" s="2">
        <v>0.81000000238418601</v>
      </c>
      <c r="I83" s="2">
        <v>4.9699997901916504</v>
      </c>
      <c r="J83" s="2">
        <v>9.9999997764825804E-3</v>
      </c>
      <c r="K83" s="3">
        <v>12</v>
      </c>
      <c r="L83" s="3">
        <v>19</v>
      </c>
      <c r="M83" s="3">
        <v>155</v>
      </c>
      <c r="N83" s="3">
        <v>1254</v>
      </c>
      <c r="O83" s="3">
        <v>2799</v>
      </c>
      <c r="P83" t="str">
        <f t="shared" si="2"/>
        <v>Tue</v>
      </c>
      <c r="Q83" t="str">
        <f t="shared" si="3"/>
        <v>Fairly Active</v>
      </c>
    </row>
    <row r="84" spans="1:17">
      <c r="A84">
        <v>1644430081</v>
      </c>
      <c r="B84" s="1">
        <v>42488</v>
      </c>
      <c r="C84" s="3">
        <v>9405</v>
      </c>
      <c r="D84" s="2">
        <v>6.8400001525878897</v>
      </c>
      <c r="E84" s="2">
        <v>6.8400001525878897</v>
      </c>
      <c r="F84" s="2">
        <v>0</v>
      </c>
      <c r="G84" s="2">
        <v>0.20000000298023199</v>
      </c>
      <c r="H84" s="2">
        <v>2.3199999332428001</v>
      </c>
      <c r="I84" s="2">
        <v>4.3099999427795401</v>
      </c>
      <c r="J84" s="2">
        <v>0</v>
      </c>
      <c r="K84" s="3">
        <v>3</v>
      </c>
      <c r="L84" s="3">
        <v>53</v>
      </c>
      <c r="M84" s="3">
        <v>227</v>
      </c>
      <c r="N84" s="3">
        <v>1157</v>
      </c>
      <c r="O84" s="3">
        <v>3108</v>
      </c>
      <c r="P84" t="str">
        <f t="shared" si="2"/>
        <v>Thu</v>
      </c>
      <c r="Q84" t="str">
        <f t="shared" si="3"/>
        <v>Fairly Active</v>
      </c>
    </row>
    <row r="85" spans="1:17">
      <c r="A85">
        <v>1644430081</v>
      </c>
      <c r="B85" s="1">
        <v>42496</v>
      </c>
      <c r="C85" s="3">
        <v>9787</v>
      </c>
      <c r="D85" s="2">
        <v>7.1199998855590803</v>
      </c>
      <c r="E85" s="2">
        <v>7.1199998855590803</v>
      </c>
      <c r="F85" s="2">
        <v>0</v>
      </c>
      <c r="G85" s="2">
        <v>0.81999999284744296</v>
      </c>
      <c r="H85" s="2">
        <v>0.270000010728836</v>
      </c>
      <c r="I85" s="2">
        <v>6.0100002288818404</v>
      </c>
      <c r="J85" s="2">
        <v>1.9999999552965199E-2</v>
      </c>
      <c r="K85" s="3">
        <v>11</v>
      </c>
      <c r="L85" s="3">
        <v>6</v>
      </c>
      <c r="M85" s="3">
        <v>369</v>
      </c>
      <c r="N85" s="3">
        <v>1054</v>
      </c>
      <c r="O85" s="3">
        <v>3328</v>
      </c>
      <c r="P85" t="str">
        <f t="shared" si="2"/>
        <v>Fri</v>
      </c>
      <c r="Q85" t="str">
        <f t="shared" si="3"/>
        <v>Fairly Active</v>
      </c>
    </row>
    <row r="86" spans="1:17">
      <c r="A86">
        <v>1644430081</v>
      </c>
      <c r="B86" s="1">
        <v>42486</v>
      </c>
      <c r="C86" s="3">
        <v>9919</v>
      </c>
      <c r="D86" s="2">
        <v>7.21000003814697</v>
      </c>
      <c r="E86" s="2">
        <v>7.21000003814697</v>
      </c>
      <c r="F86" s="2">
        <v>0</v>
      </c>
      <c r="G86" s="2">
        <v>0.80000001192092896</v>
      </c>
      <c r="H86" s="2">
        <v>1.7200000286102299</v>
      </c>
      <c r="I86" s="2">
        <v>4.6900000572204599</v>
      </c>
      <c r="J86" s="2">
        <v>0</v>
      </c>
      <c r="K86" s="3">
        <v>11</v>
      </c>
      <c r="L86" s="3">
        <v>41</v>
      </c>
      <c r="M86" s="3">
        <v>223</v>
      </c>
      <c r="N86" s="3">
        <v>1165</v>
      </c>
      <c r="O86" s="3">
        <v>3123</v>
      </c>
      <c r="P86" t="str">
        <f t="shared" si="2"/>
        <v>Tue</v>
      </c>
      <c r="Q86" t="str">
        <f t="shared" si="3"/>
        <v>Fairly Active</v>
      </c>
    </row>
    <row r="87" spans="1:17">
      <c r="A87">
        <v>1644430081</v>
      </c>
      <c r="B87" s="1">
        <v>42472</v>
      </c>
      <c r="C87" s="3">
        <v>10694</v>
      </c>
      <c r="D87" s="2">
        <v>7.7699999809265101</v>
      </c>
      <c r="E87" s="2">
        <v>7.7699999809265101</v>
      </c>
      <c r="F87" s="2">
        <v>0</v>
      </c>
      <c r="G87" s="2">
        <v>0.140000000596046</v>
      </c>
      <c r="H87" s="2">
        <v>2.2999999523162802</v>
      </c>
      <c r="I87" s="2">
        <v>5.3299999237060502</v>
      </c>
      <c r="J87" s="2">
        <v>0</v>
      </c>
      <c r="K87" s="3">
        <v>2</v>
      </c>
      <c r="L87" s="3">
        <v>51</v>
      </c>
      <c r="M87" s="3">
        <v>256</v>
      </c>
      <c r="N87" s="3">
        <v>1131</v>
      </c>
      <c r="O87" s="3">
        <v>3199</v>
      </c>
      <c r="P87" t="str">
        <f t="shared" si="2"/>
        <v>Tue</v>
      </c>
      <c r="Q87" t="str">
        <f t="shared" si="3"/>
        <v>Vey Active</v>
      </c>
    </row>
    <row r="88" spans="1:17">
      <c r="A88">
        <v>1644430081</v>
      </c>
      <c r="B88" s="1">
        <v>42474</v>
      </c>
      <c r="C88" s="3">
        <v>11037</v>
      </c>
      <c r="D88" s="2">
        <v>8.0200004577636701</v>
      </c>
      <c r="E88" s="2">
        <v>8.0200004577636701</v>
      </c>
      <c r="F88" s="2">
        <v>0</v>
      </c>
      <c r="G88" s="2">
        <v>0.36000001430511502</v>
      </c>
      <c r="H88" s="2">
        <v>2.5599999427795401</v>
      </c>
      <c r="I88" s="2">
        <v>5.0999999046325701</v>
      </c>
      <c r="J88" s="2">
        <v>0</v>
      </c>
      <c r="K88" s="3">
        <v>5</v>
      </c>
      <c r="L88" s="3">
        <v>58</v>
      </c>
      <c r="M88" s="3">
        <v>252</v>
      </c>
      <c r="N88" s="3">
        <v>1125</v>
      </c>
      <c r="O88" s="3">
        <v>3226</v>
      </c>
      <c r="P88" t="str">
        <f t="shared" si="2"/>
        <v>Thu</v>
      </c>
      <c r="Q88" t="str">
        <f t="shared" si="3"/>
        <v>Vey Active</v>
      </c>
    </row>
    <row r="89" spans="1:17">
      <c r="A89">
        <v>1644430081</v>
      </c>
      <c r="B89" s="1">
        <v>42479</v>
      </c>
      <c r="C89" s="3">
        <v>11256</v>
      </c>
      <c r="D89" s="2">
        <v>8.1800003051757795</v>
      </c>
      <c r="E89" s="2">
        <v>8.1800003051757795</v>
      </c>
      <c r="F89" s="2">
        <v>0</v>
      </c>
      <c r="G89" s="2">
        <v>0.36000001430511502</v>
      </c>
      <c r="H89" s="2">
        <v>2.5299999713897701</v>
      </c>
      <c r="I89" s="2">
        <v>5.3000001907348597</v>
      </c>
      <c r="J89" s="2">
        <v>0</v>
      </c>
      <c r="K89" s="3">
        <v>5</v>
      </c>
      <c r="L89" s="3">
        <v>58</v>
      </c>
      <c r="M89" s="3">
        <v>278</v>
      </c>
      <c r="N89" s="3">
        <v>1099</v>
      </c>
      <c r="O89" s="3">
        <v>3300</v>
      </c>
      <c r="P89" t="str">
        <f t="shared" si="2"/>
        <v>Tue</v>
      </c>
      <c r="Q89" t="str">
        <f t="shared" si="3"/>
        <v>Vey Active</v>
      </c>
    </row>
    <row r="90" spans="1:17">
      <c r="A90">
        <v>1644430081</v>
      </c>
      <c r="B90" s="1">
        <v>42493</v>
      </c>
      <c r="C90" s="3">
        <v>12850</v>
      </c>
      <c r="D90" s="2">
        <v>9.3400001525878906</v>
      </c>
      <c r="E90" s="2">
        <v>9.3400001525878906</v>
      </c>
      <c r="F90" s="2">
        <v>0</v>
      </c>
      <c r="G90" s="2">
        <v>0.72000002861022905</v>
      </c>
      <c r="H90" s="2">
        <v>4.0900001525878897</v>
      </c>
      <c r="I90" s="2">
        <v>4.53999996185303</v>
      </c>
      <c r="J90" s="2">
        <v>0</v>
      </c>
      <c r="K90" s="3">
        <v>10</v>
      </c>
      <c r="L90" s="3">
        <v>94</v>
      </c>
      <c r="M90" s="3">
        <v>221</v>
      </c>
      <c r="N90" s="3">
        <v>1115</v>
      </c>
      <c r="O90" s="3">
        <v>3324</v>
      </c>
      <c r="P90" t="str">
        <f t="shared" si="2"/>
        <v>Tue</v>
      </c>
      <c r="Q90" t="str">
        <f t="shared" si="3"/>
        <v>Vey Active</v>
      </c>
    </row>
    <row r="91" spans="1:17">
      <c r="A91">
        <v>1644430081</v>
      </c>
      <c r="B91" s="1">
        <v>42497</v>
      </c>
      <c r="C91" s="3">
        <v>13372</v>
      </c>
      <c r="D91" s="2">
        <v>9.7200002670288104</v>
      </c>
      <c r="E91" s="2">
        <v>9.7200002670288104</v>
      </c>
      <c r="F91" s="2">
        <v>0</v>
      </c>
      <c r="G91" s="2">
        <v>3.2599999904632599</v>
      </c>
      <c r="H91" s="2">
        <v>0.79000002145767201</v>
      </c>
      <c r="I91" s="2">
        <v>5.6700000762939498</v>
      </c>
      <c r="J91" s="2">
        <v>9.9999997764825804E-3</v>
      </c>
      <c r="K91" s="3">
        <v>41</v>
      </c>
      <c r="L91" s="3">
        <v>17</v>
      </c>
      <c r="M91" s="3">
        <v>243</v>
      </c>
      <c r="N91" s="3">
        <v>1139</v>
      </c>
      <c r="O91" s="3">
        <v>3404</v>
      </c>
      <c r="P91" t="str">
        <f t="shared" si="2"/>
        <v>Sat</v>
      </c>
      <c r="Q91" t="str">
        <f t="shared" si="3"/>
        <v>Vey Active</v>
      </c>
    </row>
    <row r="92" spans="1:17">
      <c r="A92">
        <v>1644430081</v>
      </c>
      <c r="B92" s="1">
        <v>42476</v>
      </c>
      <c r="C92" s="3">
        <v>15300</v>
      </c>
      <c r="D92" s="2">
        <v>11.1199998855591</v>
      </c>
      <c r="E92" s="2">
        <v>11.1199998855591</v>
      </c>
      <c r="F92" s="2">
        <v>0</v>
      </c>
      <c r="G92" s="2">
        <v>4.0999999046325701</v>
      </c>
      <c r="H92" s="2">
        <v>1.87999999523163</v>
      </c>
      <c r="I92" s="2">
        <v>5.0900001525878897</v>
      </c>
      <c r="J92" s="2">
        <v>0</v>
      </c>
      <c r="K92" s="3">
        <v>51</v>
      </c>
      <c r="L92" s="3">
        <v>42</v>
      </c>
      <c r="M92" s="3">
        <v>212</v>
      </c>
      <c r="N92" s="3">
        <v>1135</v>
      </c>
      <c r="O92" s="3">
        <v>3493</v>
      </c>
      <c r="P92" t="str">
        <f t="shared" si="2"/>
        <v>Sat</v>
      </c>
      <c r="Q92" t="str">
        <f t="shared" si="3"/>
        <v>Vey Active</v>
      </c>
    </row>
    <row r="93" spans="1:17">
      <c r="A93">
        <v>1644430081</v>
      </c>
      <c r="B93" s="1">
        <v>42490</v>
      </c>
      <c r="C93" s="3">
        <v>18213</v>
      </c>
      <c r="D93" s="2">
        <v>13.2399997711182</v>
      </c>
      <c r="E93" s="2">
        <v>13.2399997711182</v>
      </c>
      <c r="F93" s="2">
        <v>0</v>
      </c>
      <c r="G93" s="2">
        <v>0.62999999523162797</v>
      </c>
      <c r="H93" s="2">
        <v>3.1400001049041699</v>
      </c>
      <c r="I93" s="2">
        <v>9.4600000381469709</v>
      </c>
      <c r="J93" s="2">
        <v>0</v>
      </c>
      <c r="K93" s="3">
        <v>9</v>
      </c>
      <c r="L93" s="3">
        <v>71</v>
      </c>
      <c r="M93" s="3">
        <v>402</v>
      </c>
      <c r="N93" s="3">
        <v>816</v>
      </c>
      <c r="O93" s="3">
        <v>3846</v>
      </c>
      <c r="P93" t="str">
        <f t="shared" si="2"/>
        <v>Sat</v>
      </c>
      <c r="Q93" t="str">
        <f t="shared" si="3"/>
        <v>Vey Active</v>
      </c>
    </row>
    <row r="94" spans="1:17">
      <c r="A94">
        <v>1844505072</v>
      </c>
      <c r="B94" s="1">
        <v>42484</v>
      </c>
      <c r="C94" s="3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0</v>
      </c>
      <c r="K94" s="3">
        <v>0</v>
      </c>
      <c r="L94" s="3">
        <v>0</v>
      </c>
      <c r="M94" s="3">
        <v>0</v>
      </c>
      <c r="N94" s="3">
        <v>1440</v>
      </c>
      <c r="O94" s="3">
        <v>1347</v>
      </c>
      <c r="P94" t="str">
        <f t="shared" si="2"/>
        <v>Sun</v>
      </c>
      <c r="Q94" t="str">
        <f t="shared" si="3"/>
        <v>Sedentary</v>
      </c>
    </row>
    <row r="95" spans="1:17">
      <c r="A95">
        <v>1844505072</v>
      </c>
      <c r="B95" s="1">
        <v>42485</v>
      </c>
      <c r="C95" s="3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3">
        <v>0</v>
      </c>
      <c r="L95" s="3">
        <v>0</v>
      </c>
      <c r="M95" s="3">
        <v>0</v>
      </c>
      <c r="N95" s="3">
        <v>1440</v>
      </c>
      <c r="O95" s="3">
        <v>1347</v>
      </c>
      <c r="P95" t="str">
        <f t="shared" si="2"/>
        <v>Mon</v>
      </c>
      <c r="Q95" t="str">
        <f t="shared" si="3"/>
        <v>Sedentary</v>
      </c>
    </row>
    <row r="96" spans="1:17">
      <c r="A96">
        <v>1844505072</v>
      </c>
      <c r="B96" s="1">
        <v>42486</v>
      </c>
      <c r="C96" s="3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3">
        <v>0</v>
      </c>
      <c r="L96" s="3">
        <v>0</v>
      </c>
      <c r="M96" s="3">
        <v>0</v>
      </c>
      <c r="N96" s="3">
        <v>1440</v>
      </c>
      <c r="O96" s="3">
        <v>1347</v>
      </c>
      <c r="P96" t="str">
        <f t="shared" si="2"/>
        <v>Tue</v>
      </c>
      <c r="Q96" t="str">
        <f t="shared" si="3"/>
        <v>Sedentary</v>
      </c>
    </row>
    <row r="97" spans="1:17">
      <c r="A97">
        <v>1844505072</v>
      </c>
      <c r="B97" s="1">
        <v>42492</v>
      </c>
      <c r="C97" s="3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0</v>
      </c>
      <c r="K97" s="3">
        <v>0</v>
      </c>
      <c r="L97" s="3">
        <v>0</v>
      </c>
      <c r="M97" s="3">
        <v>0</v>
      </c>
      <c r="N97" s="3">
        <v>1440</v>
      </c>
      <c r="O97" s="3">
        <v>1348</v>
      </c>
      <c r="P97" t="str">
        <f t="shared" si="2"/>
        <v>Mon</v>
      </c>
      <c r="Q97" t="str">
        <f t="shared" si="3"/>
        <v>Sedentary</v>
      </c>
    </row>
    <row r="98" spans="1:17">
      <c r="A98">
        <v>1844505072</v>
      </c>
      <c r="B98" s="1">
        <v>42497</v>
      </c>
      <c r="C98" s="3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3">
        <v>0</v>
      </c>
      <c r="L98" s="3">
        <v>0</v>
      </c>
      <c r="M98" s="3">
        <v>0</v>
      </c>
      <c r="N98" s="3">
        <v>1440</v>
      </c>
      <c r="O98" s="3">
        <v>1347</v>
      </c>
      <c r="P98" t="str">
        <f t="shared" si="2"/>
        <v>Sat</v>
      </c>
      <c r="Q98" t="str">
        <f t="shared" si="3"/>
        <v>Sedentary</v>
      </c>
    </row>
    <row r="99" spans="1:17">
      <c r="A99">
        <v>1844505072</v>
      </c>
      <c r="B99" s="1">
        <v>42498</v>
      </c>
      <c r="C99" s="3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3">
        <v>0</v>
      </c>
      <c r="L99" s="3">
        <v>0</v>
      </c>
      <c r="M99" s="3">
        <v>0</v>
      </c>
      <c r="N99" s="3">
        <v>1440</v>
      </c>
      <c r="O99" s="3">
        <v>1347</v>
      </c>
      <c r="P99" t="str">
        <f t="shared" si="2"/>
        <v>Sun</v>
      </c>
      <c r="Q99" t="str">
        <f t="shared" si="3"/>
        <v>Sedentary</v>
      </c>
    </row>
    <row r="100" spans="1:17">
      <c r="A100">
        <v>1844505072</v>
      </c>
      <c r="B100" s="1">
        <v>42499</v>
      </c>
      <c r="C100" s="3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3">
        <v>0</v>
      </c>
      <c r="L100" s="3">
        <v>0</v>
      </c>
      <c r="M100" s="3">
        <v>0</v>
      </c>
      <c r="N100" s="3">
        <v>1440</v>
      </c>
      <c r="O100" s="3">
        <v>1347</v>
      </c>
      <c r="P100" t="str">
        <f t="shared" si="2"/>
        <v>Mon</v>
      </c>
      <c r="Q100" t="str">
        <f t="shared" si="3"/>
        <v>Sedentary</v>
      </c>
    </row>
    <row r="101" spans="1:17">
      <c r="A101">
        <v>1844505072</v>
      </c>
      <c r="B101" s="1">
        <v>42500</v>
      </c>
      <c r="C101" s="3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3">
        <v>0</v>
      </c>
      <c r="L101" s="3">
        <v>0</v>
      </c>
      <c r="M101" s="3">
        <v>0</v>
      </c>
      <c r="N101" s="3">
        <v>1440</v>
      </c>
      <c r="O101" s="3">
        <v>1347</v>
      </c>
      <c r="P101" t="str">
        <f t="shared" si="2"/>
        <v>Tue</v>
      </c>
      <c r="Q101" t="str">
        <f t="shared" si="3"/>
        <v>Sedentary</v>
      </c>
    </row>
    <row r="102" spans="1:17">
      <c r="A102">
        <v>1844505072</v>
      </c>
      <c r="B102" s="1">
        <v>42501</v>
      </c>
      <c r="C102" s="3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3">
        <v>0</v>
      </c>
      <c r="L102" s="3">
        <v>0</v>
      </c>
      <c r="M102" s="3">
        <v>0</v>
      </c>
      <c r="N102" s="3">
        <v>1440</v>
      </c>
      <c r="O102" s="3">
        <v>1347</v>
      </c>
      <c r="P102" t="str">
        <f t="shared" si="2"/>
        <v>Wed</v>
      </c>
      <c r="Q102" t="str">
        <f t="shared" si="3"/>
        <v>Sedentary</v>
      </c>
    </row>
    <row r="103" spans="1:17">
      <c r="A103">
        <v>1844505072</v>
      </c>
      <c r="B103" s="1">
        <v>42502</v>
      </c>
      <c r="C103" s="3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3">
        <v>0</v>
      </c>
      <c r="L103" s="3">
        <v>0</v>
      </c>
      <c r="M103" s="3">
        <v>0</v>
      </c>
      <c r="N103" s="3">
        <v>711</v>
      </c>
      <c r="O103" s="3">
        <v>665</v>
      </c>
      <c r="P103" t="str">
        <f t="shared" si="2"/>
        <v>Thu</v>
      </c>
      <c r="Q103" t="str">
        <f t="shared" si="3"/>
        <v>Sedentary</v>
      </c>
    </row>
    <row r="104" spans="1:17">
      <c r="A104">
        <v>1844505072</v>
      </c>
      <c r="B104" s="1">
        <v>42487</v>
      </c>
      <c r="C104" s="3">
        <v>4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3">
        <v>0</v>
      </c>
      <c r="L104" s="3">
        <v>0</v>
      </c>
      <c r="M104" s="3">
        <v>1</v>
      </c>
      <c r="N104" s="3">
        <v>1439</v>
      </c>
      <c r="O104" s="3">
        <v>1348</v>
      </c>
      <c r="P104" t="str">
        <f t="shared" si="2"/>
        <v>Wed</v>
      </c>
      <c r="Q104" t="str">
        <f t="shared" si="3"/>
        <v>Sedentary</v>
      </c>
    </row>
    <row r="105" spans="1:17">
      <c r="A105">
        <v>1844505072</v>
      </c>
      <c r="B105" s="1">
        <v>42480</v>
      </c>
      <c r="C105" s="3">
        <v>8</v>
      </c>
      <c r="D105" s="2">
        <v>9.9999997764825804E-3</v>
      </c>
      <c r="E105" s="2">
        <v>9.9999997764825804E-3</v>
      </c>
      <c r="F105" s="2">
        <v>0</v>
      </c>
      <c r="G105" s="2">
        <v>0</v>
      </c>
      <c r="H105" s="2">
        <v>0</v>
      </c>
      <c r="I105" s="2">
        <v>9.9999997764825804E-3</v>
      </c>
      <c r="J105" s="2">
        <v>0</v>
      </c>
      <c r="K105" s="3">
        <v>0</v>
      </c>
      <c r="L105" s="3">
        <v>0</v>
      </c>
      <c r="M105" s="3">
        <v>1</v>
      </c>
      <c r="N105" s="3">
        <v>1439</v>
      </c>
      <c r="O105" s="3">
        <v>1349</v>
      </c>
      <c r="P105" t="str">
        <f t="shared" si="2"/>
        <v>Wed</v>
      </c>
      <c r="Q105" t="str">
        <f t="shared" si="3"/>
        <v>Sedentary</v>
      </c>
    </row>
    <row r="106" spans="1:17">
      <c r="A106">
        <v>1844505072</v>
      </c>
      <c r="B106" s="1">
        <v>42496</v>
      </c>
      <c r="C106" s="3">
        <v>44</v>
      </c>
      <c r="D106" s="2">
        <v>2.9999999329447701E-2</v>
      </c>
      <c r="E106" s="2">
        <v>2.9999999329447701E-2</v>
      </c>
      <c r="F106" s="2">
        <v>0</v>
      </c>
      <c r="G106" s="2">
        <v>0</v>
      </c>
      <c r="H106" s="2">
        <v>0</v>
      </c>
      <c r="I106" s="2">
        <v>2.9999999329447701E-2</v>
      </c>
      <c r="J106" s="2">
        <v>0</v>
      </c>
      <c r="K106" s="3">
        <v>0</v>
      </c>
      <c r="L106" s="3">
        <v>0</v>
      </c>
      <c r="M106" s="3">
        <v>2</v>
      </c>
      <c r="N106" s="3">
        <v>1438</v>
      </c>
      <c r="O106" s="3">
        <v>1351</v>
      </c>
      <c r="P106" t="str">
        <f t="shared" si="2"/>
        <v>Fri</v>
      </c>
      <c r="Q106" t="str">
        <f t="shared" si="3"/>
        <v>Sedentary</v>
      </c>
    </row>
    <row r="107" spans="1:17">
      <c r="A107">
        <v>1844505072</v>
      </c>
      <c r="B107" s="1">
        <v>42479</v>
      </c>
      <c r="C107" s="3">
        <v>197</v>
      </c>
      <c r="D107" s="2">
        <v>0.129999995231628</v>
      </c>
      <c r="E107" s="2">
        <v>0.129999995231628</v>
      </c>
      <c r="F107" s="2">
        <v>0</v>
      </c>
      <c r="G107" s="2">
        <v>0</v>
      </c>
      <c r="H107" s="2">
        <v>0</v>
      </c>
      <c r="I107" s="2">
        <v>0.129999995231628</v>
      </c>
      <c r="J107" s="2">
        <v>0</v>
      </c>
      <c r="K107" s="3">
        <v>0</v>
      </c>
      <c r="L107" s="3">
        <v>0</v>
      </c>
      <c r="M107" s="3">
        <v>10</v>
      </c>
      <c r="N107" s="3">
        <v>1430</v>
      </c>
      <c r="O107" s="3">
        <v>1366</v>
      </c>
      <c r="P107" t="str">
        <f t="shared" si="2"/>
        <v>Tue</v>
      </c>
      <c r="Q107" t="str">
        <f t="shared" si="3"/>
        <v>Sedentary</v>
      </c>
    </row>
    <row r="108" spans="1:17">
      <c r="A108">
        <v>1844505072</v>
      </c>
      <c r="B108" s="1">
        <v>42494</v>
      </c>
      <c r="C108" s="3">
        <v>2080</v>
      </c>
      <c r="D108" s="2">
        <v>1.37000000476837</v>
      </c>
      <c r="E108" s="2">
        <v>1.37000000476837</v>
      </c>
      <c r="F108" s="2">
        <v>0</v>
      </c>
      <c r="G108" s="2">
        <v>0</v>
      </c>
      <c r="H108" s="2">
        <v>0</v>
      </c>
      <c r="I108" s="2">
        <v>1.37000000476837</v>
      </c>
      <c r="J108" s="2">
        <v>0</v>
      </c>
      <c r="K108" s="3">
        <v>0</v>
      </c>
      <c r="L108" s="3">
        <v>0</v>
      </c>
      <c r="M108" s="3">
        <v>87</v>
      </c>
      <c r="N108" s="3">
        <v>1353</v>
      </c>
      <c r="O108" s="3">
        <v>1549</v>
      </c>
      <c r="P108" t="str">
        <f t="shared" si="2"/>
        <v>Wed</v>
      </c>
      <c r="Q108" t="str">
        <f t="shared" si="3"/>
        <v>Sedentary</v>
      </c>
    </row>
    <row r="109" spans="1:17">
      <c r="A109">
        <v>1844505072</v>
      </c>
      <c r="B109" s="1">
        <v>42495</v>
      </c>
      <c r="C109" s="3">
        <v>2237</v>
      </c>
      <c r="D109" s="2">
        <v>1.4800000190734901</v>
      </c>
      <c r="E109" s="2">
        <v>1.4800000190734901</v>
      </c>
      <c r="F109" s="2">
        <v>0</v>
      </c>
      <c r="G109" s="2">
        <v>0</v>
      </c>
      <c r="H109" s="2">
        <v>0</v>
      </c>
      <c r="I109" s="2">
        <v>1.4800000190734901</v>
      </c>
      <c r="J109" s="2">
        <v>0</v>
      </c>
      <c r="K109" s="3">
        <v>0</v>
      </c>
      <c r="L109" s="3">
        <v>0</v>
      </c>
      <c r="M109" s="3">
        <v>120</v>
      </c>
      <c r="N109" s="3">
        <v>1320</v>
      </c>
      <c r="O109" s="3">
        <v>1589</v>
      </c>
      <c r="P109" t="str">
        <f t="shared" si="2"/>
        <v>Thu</v>
      </c>
      <c r="Q109" t="str">
        <f t="shared" si="3"/>
        <v>Sedentary</v>
      </c>
    </row>
    <row r="110" spans="1:17">
      <c r="A110">
        <v>1844505072</v>
      </c>
      <c r="B110" s="1">
        <v>42491</v>
      </c>
      <c r="C110" s="3">
        <v>2573</v>
      </c>
      <c r="D110" s="2">
        <v>1.70000004768372</v>
      </c>
      <c r="E110" s="2">
        <v>1.70000004768372</v>
      </c>
      <c r="F110" s="2">
        <v>0</v>
      </c>
      <c r="G110" s="2">
        <v>0</v>
      </c>
      <c r="H110" s="2">
        <v>0.259999990463257</v>
      </c>
      <c r="I110" s="2">
        <v>1.45000004768372</v>
      </c>
      <c r="J110" s="2">
        <v>0</v>
      </c>
      <c r="K110" s="3">
        <v>0</v>
      </c>
      <c r="L110" s="3">
        <v>7</v>
      </c>
      <c r="M110" s="3">
        <v>75</v>
      </c>
      <c r="N110" s="3">
        <v>585</v>
      </c>
      <c r="O110" s="3">
        <v>1541</v>
      </c>
      <c r="P110" t="str">
        <f t="shared" si="2"/>
        <v>Sun</v>
      </c>
      <c r="Q110" t="str">
        <f t="shared" si="3"/>
        <v>Sedentary</v>
      </c>
    </row>
    <row r="111" spans="1:17">
      <c r="A111">
        <v>1844505072</v>
      </c>
      <c r="B111" s="1">
        <v>42476</v>
      </c>
      <c r="C111" s="3">
        <v>3414</v>
      </c>
      <c r="D111" s="2">
        <v>2.2599999904632599</v>
      </c>
      <c r="E111" s="2">
        <v>2.2599999904632599</v>
      </c>
      <c r="F111" s="2">
        <v>0</v>
      </c>
      <c r="G111" s="2">
        <v>0</v>
      </c>
      <c r="H111" s="2">
        <v>0</v>
      </c>
      <c r="I111" s="2">
        <v>2.2599999904632599</v>
      </c>
      <c r="J111" s="2">
        <v>0</v>
      </c>
      <c r="K111" s="3">
        <v>0</v>
      </c>
      <c r="L111" s="3">
        <v>0</v>
      </c>
      <c r="M111" s="3">
        <v>147</v>
      </c>
      <c r="N111" s="3">
        <v>1293</v>
      </c>
      <c r="O111" s="3">
        <v>1657</v>
      </c>
      <c r="P111" t="str">
        <f t="shared" si="2"/>
        <v>Sat</v>
      </c>
      <c r="Q111" t="str">
        <f t="shared" si="3"/>
        <v>Sedentary</v>
      </c>
    </row>
    <row r="112" spans="1:17">
      <c r="A112">
        <v>1844505072</v>
      </c>
      <c r="B112" s="1">
        <v>42483</v>
      </c>
      <c r="C112" s="3">
        <v>3570</v>
      </c>
      <c r="D112" s="2">
        <v>2.3599998950958301</v>
      </c>
      <c r="E112" s="2">
        <v>2.3599998950958301</v>
      </c>
      <c r="F112" s="2">
        <v>0</v>
      </c>
      <c r="G112" s="2">
        <v>0</v>
      </c>
      <c r="H112" s="2">
        <v>0</v>
      </c>
      <c r="I112" s="2">
        <v>2.3599998950958301</v>
      </c>
      <c r="J112" s="2">
        <v>0</v>
      </c>
      <c r="K112" s="3">
        <v>0</v>
      </c>
      <c r="L112" s="3">
        <v>0</v>
      </c>
      <c r="M112" s="3">
        <v>139</v>
      </c>
      <c r="N112" s="3">
        <v>1301</v>
      </c>
      <c r="O112" s="3">
        <v>1645</v>
      </c>
      <c r="P112" t="str">
        <f t="shared" si="2"/>
        <v>Sat</v>
      </c>
      <c r="Q112" t="str">
        <f t="shared" si="3"/>
        <v>Sedentary</v>
      </c>
    </row>
    <row r="113" spans="1:17">
      <c r="A113">
        <v>1844505072</v>
      </c>
      <c r="B113" s="1">
        <v>42475</v>
      </c>
      <c r="C113" s="3">
        <v>3844</v>
      </c>
      <c r="D113" s="2">
        <v>2.53999996185303</v>
      </c>
      <c r="E113" s="2">
        <v>2.53999996185303</v>
      </c>
      <c r="F113" s="2">
        <v>0</v>
      </c>
      <c r="G113" s="2">
        <v>0</v>
      </c>
      <c r="H113" s="2">
        <v>0</v>
      </c>
      <c r="I113" s="2">
        <v>2.53999996185303</v>
      </c>
      <c r="J113" s="2">
        <v>0</v>
      </c>
      <c r="K113" s="3">
        <v>0</v>
      </c>
      <c r="L113" s="3">
        <v>0</v>
      </c>
      <c r="M113" s="3">
        <v>176</v>
      </c>
      <c r="N113" s="3">
        <v>527</v>
      </c>
      <c r="O113" s="3">
        <v>1725</v>
      </c>
      <c r="P113" t="str">
        <f t="shared" si="2"/>
        <v>Fri</v>
      </c>
      <c r="Q113" t="str">
        <f t="shared" si="3"/>
        <v>Sedentary</v>
      </c>
    </row>
    <row r="114" spans="1:17">
      <c r="A114">
        <v>1844505072</v>
      </c>
      <c r="B114" s="1">
        <v>42490</v>
      </c>
      <c r="C114" s="3">
        <v>4014</v>
      </c>
      <c r="D114" s="2">
        <v>2.6700000762939502</v>
      </c>
      <c r="E114" s="2">
        <v>2.6700000762939502</v>
      </c>
      <c r="F114" s="2">
        <v>0</v>
      </c>
      <c r="G114" s="2">
        <v>0</v>
      </c>
      <c r="H114" s="2">
        <v>0</v>
      </c>
      <c r="I114" s="2">
        <v>2.6500000953674299</v>
      </c>
      <c r="J114" s="2">
        <v>0</v>
      </c>
      <c r="K114" s="3">
        <v>0</v>
      </c>
      <c r="L114" s="3">
        <v>0</v>
      </c>
      <c r="M114" s="3">
        <v>184</v>
      </c>
      <c r="N114" s="3">
        <v>218</v>
      </c>
      <c r="O114" s="3">
        <v>1763</v>
      </c>
      <c r="P114" t="str">
        <f t="shared" si="2"/>
        <v>Sat</v>
      </c>
      <c r="Q114" t="str">
        <f t="shared" si="3"/>
        <v>Sedentary</v>
      </c>
    </row>
    <row r="115" spans="1:17">
      <c r="A115">
        <v>1844505072</v>
      </c>
      <c r="B115" s="1">
        <v>42493</v>
      </c>
      <c r="C115" s="3">
        <v>4059</v>
      </c>
      <c r="D115" s="2">
        <v>2.6800000667571999</v>
      </c>
      <c r="E115" s="2">
        <v>2.6800000667571999</v>
      </c>
      <c r="F115" s="2">
        <v>0</v>
      </c>
      <c r="G115" s="2">
        <v>0</v>
      </c>
      <c r="H115" s="2">
        <v>0</v>
      </c>
      <c r="I115" s="2">
        <v>2.6800000667571999</v>
      </c>
      <c r="J115" s="2">
        <v>0</v>
      </c>
      <c r="K115" s="3">
        <v>0</v>
      </c>
      <c r="L115" s="3">
        <v>0</v>
      </c>
      <c r="M115" s="3">
        <v>184</v>
      </c>
      <c r="N115" s="3">
        <v>1256</v>
      </c>
      <c r="O115" s="3">
        <v>1742</v>
      </c>
      <c r="P115" t="str">
        <f t="shared" si="2"/>
        <v>Tue</v>
      </c>
      <c r="Q115" t="str">
        <f t="shared" si="3"/>
        <v>Sedentary</v>
      </c>
    </row>
    <row r="116" spans="1:17">
      <c r="A116">
        <v>1844505072</v>
      </c>
      <c r="B116" s="1">
        <v>42477</v>
      </c>
      <c r="C116" s="3">
        <v>4525</v>
      </c>
      <c r="D116" s="2">
        <v>2.9900000095367401</v>
      </c>
      <c r="E116" s="2">
        <v>2.9900000095367401</v>
      </c>
      <c r="F116" s="2">
        <v>0</v>
      </c>
      <c r="G116" s="2">
        <v>0.140000000596046</v>
      </c>
      <c r="H116" s="2">
        <v>0.259999990463257</v>
      </c>
      <c r="I116" s="2">
        <v>2.5899999141693102</v>
      </c>
      <c r="J116" s="2">
        <v>0</v>
      </c>
      <c r="K116" s="3">
        <v>2</v>
      </c>
      <c r="L116" s="3">
        <v>8</v>
      </c>
      <c r="M116" s="3">
        <v>199</v>
      </c>
      <c r="N116" s="3">
        <v>1231</v>
      </c>
      <c r="O116" s="3">
        <v>1793</v>
      </c>
      <c r="P116" t="str">
        <f t="shared" si="2"/>
        <v>Sun</v>
      </c>
      <c r="Q116" t="str">
        <f t="shared" si="3"/>
        <v>Sedentary</v>
      </c>
    </row>
    <row r="117" spans="1:17">
      <c r="A117">
        <v>1844505072</v>
      </c>
      <c r="B117" s="1">
        <v>42478</v>
      </c>
      <c r="C117" s="3">
        <v>4597</v>
      </c>
      <c r="D117" s="2">
        <v>3.03999996185303</v>
      </c>
      <c r="E117" s="2">
        <v>3.03999996185303</v>
      </c>
      <c r="F117" s="2">
        <v>0</v>
      </c>
      <c r="G117" s="2">
        <v>0</v>
      </c>
      <c r="H117" s="2">
        <v>0.479999989271164</v>
      </c>
      <c r="I117" s="2">
        <v>2.5599999427795401</v>
      </c>
      <c r="J117" s="2">
        <v>0</v>
      </c>
      <c r="K117" s="3">
        <v>0</v>
      </c>
      <c r="L117" s="3">
        <v>12</v>
      </c>
      <c r="M117" s="3">
        <v>217</v>
      </c>
      <c r="N117" s="3">
        <v>1211</v>
      </c>
      <c r="O117" s="3">
        <v>1814</v>
      </c>
      <c r="P117" t="str">
        <f t="shared" si="2"/>
        <v>Mon</v>
      </c>
      <c r="Q117" t="str">
        <f t="shared" si="3"/>
        <v>Sedentary</v>
      </c>
    </row>
    <row r="118" spans="1:17">
      <c r="A118">
        <v>1844505072</v>
      </c>
      <c r="B118" s="1">
        <v>42489</v>
      </c>
      <c r="C118" s="3">
        <v>4920</v>
      </c>
      <c r="D118" s="2">
        <v>3.25</v>
      </c>
      <c r="E118" s="2">
        <v>3.25</v>
      </c>
      <c r="F118" s="2">
        <v>0</v>
      </c>
      <c r="G118" s="2">
        <v>0</v>
      </c>
      <c r="H118" s="2">
        <v>0</v>
      </c>
      <c r="I118" s="2">
        <v>3.25</v>
      </c>
      <c r="J118" s="2">
        <v>0</v>
      </c>
      <c r="K118" s="3">
        <v>0</v>
      </c>
      <c r="L118" s="3">
        <v>0</v>
      </c>
      <c r="M118" s="3">
        <v>247</v>
      </c>
      <c r="N118" s="3">
        <v>1082</v>
      </c>
      <c r="O118" s="3">
        <v>1856</v>
      </c>
      <c r="P118" t="str">
        <f t="shared" si="2"/>
        <v>Fri</v>
      </c>
      <c r="Q118" t="str">
        <f t="shared" si="3"/>
        <v>Sedentary</v>
      </c>
    </row>
    <row r="119" spans="1:17">
      <c r="A119">
        <v>1844505072</v>
      </c>
      <c r="B119" s="1">
        <v>42473</v>
      </c>
      <c r="C119" s="3">
        <v>4929</v>
      </c>
      <c r="D119" s="2">
        <v>3.2599999904632599</v>
      </c>
      <c r="E119" s="2">
        <v>3.2599999904632599</v>
      </c>
      <c r="F119" s="2">
        <v>0</v>
      </c>
      <c r="G119" s="2">
        <v>0</v>
      </c>
      <c r="H119" s="2">
        <v>0</v>
      </c>
      <c r="I119" s="2">
        <v>3.2599999904632599</v>
      </c>
      <c r="J119" s="2">
        <v>0</v>
      </c>
      <c r="K119" s="3">
        <v>0</v>
      </c>
      <c r="L119" s="3">
        <v>0</v>
      </c>
      <c r="M119" s="3">
        <v>248</v>
      </c>
      <c r="N119" s="3">
        <v>1192</v>
      </c>
      <c r="O119" s="3">
        <v>1860</v>
      </c>
      <c r="P119" t="str">
        <f t="shared" si="2"/>
        <v>Wed</v>
      </c>
      <c r="Q119" t="str">
        <f t="shared" si="3"/>
        <v>Sedentary</v>
      </c>
    </row>
    <row r="120" spans="1:17">
      <c r="A120">
        <v>1844505072</v>
      </c>
      <c r="B120" s="1">
        <v>42482</v>
      </c>
      <c r="C120" s="3">
        <v>5372</v>
      </c>
      <c r="D120" s="2">
        <v>3.5499999523162802</v>
      </c>
      <c r="E120" s="2">
        <v>3.5499999523162802</v>
      </c>
      <c r="F120" s="2">
        <v>0</v>
      </c>
      <c r="G120" s="2">
        <v>0</v>
      </c>
      <c r="H120" s="2">
        <v>0</v>
      </c>
      <c r="I120" s="2">
        <v>3.5499999523162802</v>
      </c>
      <c r="J120" s="2">
        <v>0</v>
      </c>
      <c r="K120" s="3">
        <v>0</v>
      </c>
      <c r="L120" s="3">
        <v>0</v>
      </c>
      <c r="M120" s="3">
        <v>220</v>
      </c>
      <c r="N120" s="3">
        <v>1220</v>
      </c>
      <c r="O120" s="3">
        <v>1827</v>
      </c>
      <c r="P120" t="str">
        <f t="shared" si="2"/>
        <v>Fri</v>
      </c>
      <c r="Q120" t="str">
        <f t="shared" si="3"/>
        <v>Lightly Active</v>
      </c>
    </row>
    <row r="121" spans="1:17">
      <c r="A121">
        <v>1844505072</v>
      </c>
      <c r="B121" s="1">
        <v>42472</v>
      </c>
      <c r="C121" s="3">
        <v>6697</v>
      </c>
      <c r="D121" s="2">
        <v>4.4299998283386204</v>
      </c>
      <c r="E121" s="2">
        <v>4.4299998283386204</v>
      </c>
      <c r="F121" s="2">
        <v>0</v>
      </c>
      <c r="G121" s="2">
        <v>0</v>
      </c>
      <c r="H121" s="2">
        <v>0</v>
      </c>
      <c r="I121" s="2">
        <v>4.4299998283386204</v>
      </c>
      <c r="J121" s="2">
        <v>0</v>
      </c>
      <c r="K121" s="3">
        <v>0</v>
      </c>
      <c r="L121" s="3">
        <v>0</v>
      </c>
      <c r="M121" s="3">
        <v>339</v>
      </c>
      <c r="N121" s="3">
        <v>1101</v>
      </c>
      <c r="O121" s="3">
        <v>2030</v>
      </c>
      <c r="P121" t="str">
        <f t="shared" si="2"/>
        <v>Tue</v>
      </c>
      <c r="Q121" t="str">
        <f t="shared" si="3"/>
        <v>Lightly Active</v>
      </c>
    </row>
    <row r="122" spans="1:17">
      <c r="A122">
        <v>1844505072</v>
      </c>
      <c r="B122" s="1">
        <v>42488</v>
      </c>
      <c r="C122" s="3">
        <v>6907</v>
      </c>
      <c r="D122" s="2">
        <v>4.5700001716613796</v>
      </c>
      <c r="E122" s="2">
        <v>4.5700001716613796</v>
      </c>
      <c r="F122" s="2">
        <v>0</v>
      </c>
      <c r="G122" s="2">
        <v>0</v>
      </c>
      <c r="H122" s="2">
        <v>0</v>
      </c>
      <c r="I122" s="2">
        <v>4.5599999427795401</v>
      </c>
      <c r="J122" s="2">
        <v>0</v>
      </c>
      <c r="K122" s="3">
        <v>0</v>
      </c>
      <c r="L122" s="3">
        <v>0</v>
      </c>
      <c r="M122" s="3">
        <v>302</v>
      </c>
      <c r="N122" s="3">
        <v>1138</v>
      </c>
      <c r="O122" s="3">
        <v>1992</v>
      </c>
      <c r="P122" t="str">
        <f t="shared" si="2"/>
        <v>Thu</v>
      </c>
      <c r="Q122" t="str">
        <f t="shared" si="3"/>
        <v>Lightly Active</v>
      </c>
    </row>
    <row r="123" spans="1:17">
      <c r="A123">
        <v>1844505072</v>
      </c>
      <c r="B123" s="1">
        <v>42474</v>
      </c>
      <c r="C123" s="3">
        <v>7937</v>
      </c>
      <c r="D123" s="2">
        <v>5.25</v>
      </c>
      <c r="E123" s="2">
        <v>5.25</v>
      </c>
      <c r="F123" s="2">
        <v>0</v>
      </c>
      <c r="G123" s="2">
        <v>0</v>
      </c>
      <c r="H123" s="2">
        <v>0</v>
      </c>
      <c r="I123" s="2">
        <v>5.2300000190734899</v>
      </c>
      <c r="J123" s="2">
        <v>0</v>
      </c>
      <c r="K123" s="3">
        <v>0</v>
      </c>
      <c r="L123" s="3">
        <v>0</v>
      </c>
      <c r="M123" s="3">
        <v>373</v>
      </c>
      <c r="N123" s="3">
        <v>843</v>
      </c>
      <c r="O123" s="3">
        <v>2130</v>
      </c>
      <c r="P123" t="str">
        <f t="shared" si="2"/>
        <v>Thu</v>
      </c>
      <c r="Q123" t="str">
        <f t="shared" si="3"/>
        <v>Fairly Active</v>
      </c>
    </row>
    <row r="124" spans="1:17">
      <c r="A124">
        <v>1844505072</v>
      </c>
      <c r="B124" s="1">
        <v>42481</v>
      </c>
      <c r="C124" s="3">
        <v>8054</v>
      </c>
      <c r="D124" s="2">
        <v>5.3200001716613796</v>
      </c>
      <c r="E124" s="2">
        <v>5.3200001716613796</v>
      </c>
      <c r="F124" s="2">
        <v>0</v>
      </c>
      <c r="G124" s="2">
        <v>0.119999997317791</v>
      </c>
      <c r="H124" s="2">
        <v>0.519999980926514</v>
      </c>
      <c r="I124" s="2">
        <v>4.6799998283386204</v>
      </c>
      <c r="J124" s="2">
        <v>0</v>
      </c>
      <c r="K124" s="3">
        <v>2</v>
      </c>
      <c r="L124" s="3">
        <v>13</v>
      </c>
      <c r="M124" s="3">
        <v>308</v>
      </c>
      <c r="N124" s="3">
        <v>1117</v>
      </c>
      <c r="O124" s="3">
        <v>2062</v>
      </c>
      <c r="P124" t="str">
        <f t="shared" si="2"/>
        <v>Thu</v>
      </c>
      <c r="Q124" t="str">
        <f t="shared" si="3"/>
        <v>Fairly Active</v>
      </c>
    </row>
    <row r="125" spans="1:17">
      <c r="A125">
        <v>1927972279</v>
      </c>
      <c r="B125" s="1">
        <v>42476</v>
      </c>
      <c r="C125" s="3">
        <v>0</v>
      </c>
      <c r="D125" s="2">
        <v>0</v>
      </c>
      <c r="E125" s="2">
        <v>0</v>
      </c>
      <c r="F125" s="2">
        <v>0</v>
      </c>
      <c r="G125" s="2">
        <v>0</v>
      </c>
      <c r="H125" s="2">
        <v>0</v>
      </c>
      <c r="I125" s="2">
        <v>0</v>
      </c>
      <c r="J125" s="2">
        <v>0</v>
      </c>
      <c r="K125" s="3">
        <v>0</v>
      </c>
      <c r="L125" s="3">
        <v>0</v>
      </c>
      <c r="M125" s="3">
        <v>0</v>
      </c>
      <c r="N125" s="3">
        <v>1440</v>
      </c>
      <c r="O125" s="3">
        <v>2064</v>
      </c>
      <c r="P125" t="str">
        <f t="shared" si="2"/>
        <v>Sat</v>
      </c>
      <c r="Q125" t="str">
        <f t="shared" si="3"/>
        <v>Sedentary</v>
      </c>
    </row>
    <row r="126" spans="1:17">
      <c r="A126">
        <v>1927972279</v>
      </c>
      <c r="B126" s="1">
        <v>42477</v>
      </c>
      <c r="C126" s="3">
        <v>0</v>
      </c>
      <c r="D126" s="2">
        <v>0</v>
      </c>
      <c r="E126" s="2">
        <v>0</v>
      </c>
      <c r="F126" s="2">
        <v>0</v>
      </c>
      <c r="G126" s="2">
        <v>0</v>
      </c>
      <c r="H126" s="2">
        <v>0</v>
      </c>
      <c r="I126" s="2">
        <v>0</v>
      </c>
      <c r="J126" s="2">
        <v>0</v>
      </c>
      <c r="K126" s="3">
        <v>0</v>
      </c>
      <c r="L126" s="3">
        <v>0</v>
      </c>
      <c r="M126" s="3">
        <v>0</v>
      </c>
      <c r="N126" s="3">
        <v>1440</v>
      </c>
      <c r="O126" s="3">
        <v>2063</v>
      </c>
      <c r="P126" t="str">
        <f t="shared" si="2"/>
        <v>Sun</v>
      </c>
      <c r="Q126" t="str">
        <f t="shared" si="3"/>
        <v>Sedentary</v>
      </c>
    </row>
    <row r="127" spans="1:17">
      <c r="A127">
        <v>1927972279</v>
      </c>
      <c r="B127" s="1">
        <v>42479</v>
      </c>
      <c r="C127" s="3">
        <v>0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3">
        <v>0</v>
      </c>
      <c r="L127" s="3">
        <v>0</v>
      </c>
      <c r="M127" s="3">
        <v>0</v>
      </c>
      <c r="N127" s="3">
        <v>1440</v>
      </c>
      <c r="O127" s="3">
        <v>2063</v>
      </c>
      <c r="P127" t="str">
        <f t="shared" si="2"/>
        <v>Tue</v>
      </c>
      <c r="Q127" t="str">
        <f t="shared" si="3"/>
        <v>Sedentary</v>
      </c>
    </row>
    <row r="128" spans="1:17">
      <c r="A128">
        <v>1927972279</v>
      </c>
      <c r="B128" s="1">
        <v>42480</v>
      </c>
      <c r="C128" s="3">
        <v>0</v>
      </c>
      <c r="D128" s="2">
        <v>0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0</v>
      </c>
      <c r="K128" s="3">
        <v>0</v>
      </c>
      <c r="L128" s="3">
        <v>0</v>
      </c>
      <c r="M128" s="3">
        <v>0</v>
      </c>
      <c r="N128" s="3">
        <v>1440</v>
      </c>
      <c r="O128" s="3">
        <v>2063</v>
      </c>
      <c r="P128" t="str">
        <f t="shared" si="2"/>
        <v>Wed</v>
      </c>
      <c r="Q128" t="str">
        <f t="shared" si="3"/>
        <v>Sedentary</v>
      </c>
    </row>
    <row r="129" spans="1:17">
      <c r="A129">
        <v>1927972279</v>
      </c>
      <c r="B129" s="1">
        <v>42481</v>
      </c>
      <c r="C129" s="3">
        <v>0</v>
      </c>
      <c r="D129" s="2">
        <v>0</v>
      </c>
      <c r="E129" s="2">
        <v>0</v>
      </c>
      <c r="F129" s="2">
        <v>0</v>
      </c>
      <c r="G129" s="2">
        <v>0</v>
      </c>
      <c r="H129" s="2">
        <v>0</v>
      </c>
      <c r="I129" s="2">
        <v>0</v>
      </c>
      <c r="J129" s="2">
        <v>0</v>
      </c>
      <c r="K129" s="3">
        <v>0</v>
      </c>
      <c r="L129" s="3">
        <v>0</v>
      </c>
      <c r="M129" s="3">
        <v>0</v>
      </c>
      <c r="N129" s="3">
        <v>1440</v>
      </c>
      <c r="O129" s="3">
        <v>2064</v>
      </c>
      <c r="P129" t="str">
        <f t="shared" si="2"/>
        <v>Thu</v>
      </c>
      <c r="Q129" t="str">
        <f t="shared" si="3"/>
        <v>Sedentary</v>
      </c>
    </row>
    <row r="130" spans="1:17">
      <c r="A130">
        <v>1927972279</v>
      </c>
      <c r="B130" s="1">
        <v>42487</v>
      </c>
      <c r="C130" s="3">
        <v>0</v>
      </c>
      <c r="D130" s="2">
        <v>0</v>
      </c>
      <c r="E130" s="2">
        <v>0</v>
      </c>
      <c r="F130" s="2">
        <v>0</v>
      </c>
      <c r="G130" s="2">
        <v>0</v>
      </c>
      <c r="H130" s="2">
        <v>0</v>
      </c>
      <c r="I130" s="2">
        <v>0</v>
      </c>
      <c r="J130" s="2">
        <v>0</v>
      </c>
      <c r="K130" s="3">
        <v>0</v>
      </c>
      <c r="L130" s="3">
        <v>0</v>
      </c>
      <c r="M130" s="3">
        <v>0</v>
      </c>
      <c r="N130" s="3">
        <v>1440</v>
      </c>
      <c r="O130" s="3">
        <v>2063</v>
      </c>
      <c r="P130" t="str">
        <f t="shared" ref="P130:P193" si="4">TEXT(B130, "ddd")</f>
        <v>Wed</v>
      </c>
      <c r="Q130" t="str">
        <f t="shared" ref="Q130:Q193" si="5">IF(C130&lt;5000, "Sedentary", IF(C130&lt;7500, "Lightly Active",IF(C130&lt;10000, "Fairly Active", "Vey Active")))</f>
        <v>Sedentary</v>
      </c>
    </row>
    <row r="131" spans="1:17">
      <c r="A131">
        <v>1927972279</v>
      </c>
      <c r="B131" s="1">
        <v>42489</v>
      </c>
      <c r="C131" s="3">
        <v>0</v>
      </c>
      <c r="D131" s="2">
        <v>0</v>
      </c>
      <c r="E131" s="2">
        <v>0</v>
      </c>
      <c r="F131" s="2">
        <v>0</v>
      </c>
      <c r="G131" s="2">
        <v>0</v>
      </c>
      <c r="H131" s="2">
        <v>0</v>
      </c>
      <c r="I131" s="2">
        <v>0</v>
      </c>
      <c r="J131" s="2">
        <v>0</v>
      </c>
      <c r="K131" s="3">
        <v>0</v>
      </c>
      <c r="L131" s="3">
        <v>0</v>
      </c>
      <c r="M131" s="3">
        <v>0</v>
      </c>
      <c r="N131" s="3">
        <v>1440</v>
      </c>
      <c r="O131" s="3">
        <v>2063</v>
      </c>
      <c r="P131" t="str">
        <f t="shared" si="4"/>
        <v>Fri</v>
      </c>
      <c r="Q131" t="str">
        <f t="shared" si="5"/>
        <v>Sedentary</v>
      </c>
    </row>
    <row r="132" spans="1:17">
      <c r="A132">
        <v>1927972279</v>
      </c>
      <c r="B132" s="1">
        <v>42490</v>
      </c>
      <c r="C132" s="3">
        <v>0</v>
      </c>
      <c r="D132" s="2">
        <v>0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0</v>
      </c>
      <c r="K132" s="3">
        <v>0</v>
      </c>
      <c r="L132" s="3">
        <v>0</v>
      </c>
      <c r="M132" s="3">
        <v>0</v>
      </c>
      <c r="N132" s="3">
        <v>1440</v>
      </c>
      <c r="O132" s="3">
        <v>2064</v>
      </c>
      <c r="P132" t="str">
        <f t="shared" si="4"/>
        <v>Sat</v>
      </c>
      <c r="Q132" t="str">
        <f t="shared" si="5"/>
        <v>Sedentary</v>
      </c>
    </row>
    <row r="133" spans="1:17">
      <c r="A133">
        <v>1927972279</v>
      </c>
      <c r="B133" s="1">
        <v>42495</v>
      </c>
      <c r="C133" s="3">
        <v>0</v>
      </c>
      <c r="D133" s="2">
        <v>0</v>
      </c>
      <c r="E133" s="2">
        <v>0</v>
      </c>
      <c r="F133" s="2">
        <v>0</v>
      </c>
      <c r="G133" s="2">
        <v>0</v>
      </c>
      <c r="H133" s="2">
        <v>0</v>
      </c>
      <c r="I133" s="2">
        <v>0</v>
      </c>
      <c r="J133" s="2">
        <v>0</v>
      </c>
      <c r="K133" s="3">
        <v>0</v>
      </c>
      <c r="L133" s="3">
        <v>0</v>
      </c>
      <c r="M133" s="3">
        <v>0</v>
      </c>
      <c r="N133" s="3">
        <v>1440</v>
      </c>
      <c r="O133" s="3">
        <v>2063</v>
      </c>
      <c r="P133" t="str">
        <f t="shared" si="4"/>
        <v>Thu</v>
      </c>
      <c r="Q133" t="str">
        <f t="shared" si="5"/>
        <v>Sedentary</v>
      </c>
    </row>
    <row r="134" spans="1:17">
      <c r="A134">
        <v>1927972279</v>
      </c>
      <c r="B134" s="1">
        <v>42498</v>
      </c>
      <c r="C134" s="3">
        <v>0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3">
        <v>0</v>
      </c>
      <c r="L134" s="3">
        <v>0</v>
      </c>
      <c r="M134" s="3">
        <v>0</v>
      </c>
      <c r="N134" s="3">
        <v>1440</v>
      </c>
      <c r="O134" s="3">
        <v>2063</v>
      </c>
      <c r="P134" t="str">
        <f t="shared" si="4"/>
        <v>Sun</v>
      </c>
      <c r="Q134" t="str">
        <f t="shared" si="5"/>
        <v>Sedentary</v>
      </c>
    </row>
    <row r="135" spans="1:17">
      <c r="A135">
        <v>1927972279</v>
      </c>
      <c r="B135" s="1">
        <v>42499</v>
      </c>
      <c r="C135" s="3">
        <v>0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3">
        <v>0</v>
      </c>
      <c r="L135" s="3">
        <v>0</v>
      </c>
      <c r="M135" s="3">
        <v>0</v>
      </c>
      <c r="N135" s="3">
        <v>1440</v>
      </c>
      <c r="O135" s="3">
        <v>2063</v>
      </c>
      <c r="P135" t="str">
        <f t="shared" si="4"/>
        <v>Mon</v>
      </c>
      <c r="Q135" t="str">
        <f t="shared" si="5"/>
        <v>Sedentary</v>
      </c>
    </row>
    <row r="136" spans="1:17">
      <c r="A136">
        <v>1927972279</v>
      </c>
      <c r="B136" s="1">
        <v>42500</v>
      </c>
      <c r="C136" s="3">
        <v>0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2">
        <v>0</v>
      </c>
      <c r="K136" s="3">
        <v>0</v>
      </c>
      <c r="L136" s="3">
        <v>0</v>
      </c>
      <c r="M136" s="3">
        <v>0</v>
      </c>
      <c r="N136" s="3">
        <v>1440</v>
      </c>
      <c r="O136" s="3">
        <v>2063</v>
      </c>
      <c r="P136" t="str">
        <f t="shared" si="4"/>
        <v>Tue</v>
      </c>
      <c r="Q136" t="str">
        <f t="shared" si="5"/>
        <v>Sedentary</v>
      </c>
    </row>
    <row r="137" spans="1:17">
      <c r="A137">
        <v>1927972279</v>
      </c>
      <c r="B137" s="1">
        <v>42501</v>
      </c>
      <c r="C137" s="3">
        <v>0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3">
        <v>0</v>
      </c>
      <c r="L137" s="3">
        <v>0</v>
      </c>
      <c r="M137" s="3">
        <v>0</v>
      </c>
      <c r="N137" s="3">
        <v>1440</v>
      </c>
      <c r="O137" s="3">
        <v>2063</v>
      </c>
      <c r="P137" t="str">
        <f t="shared" si="4"/>
        <v>Wed</v>
      </c>
      <c r="Q137" t="str">
        <f t="shared" si="5"/>
        <v>Sedentary</v>
      </c>
    </row>
    <row r="138" spans="1:17">
      <c r="A138">
        <v>1927972279</v>
      </c>
      <c r="B138" s="1">
        <v>42502</v>
      </c>
      <c r="C138" s="3">
        <v>0</v>
      </c>
      <c r="D138" s="2">
        <v>0</v>
      </c>
      <c r="E138" s="2">
        <v>0</v>
      </c>
      <c r="F138" s="2">
        <v>0</v>
      </c>
      <c r="G138" s="2">
        <v>0</v>
      </c>
      <c r="H138" s="2">
        <v>0</v>
      </c>
      <c r="I138" s="2">
        <v>0</v>
      </c>
      <c r="J138" s="2">
        <v>0</v>
      </c>
      <c r="K138" s="3">
        <v>0</v>
      </c>
      <c r="L138" s="3">
        <v>0</v>
      </c>
      <c r="M138" s="3">
        <v>0</v>
      </c>
      <c r="N138" s="3">
        <v>966</v>
      </c>
      <c r="O138" s="3">
        <v>1383</v>
      </c>
      <c r="P138" t="str">
        <f t="shared" si="4"/>
        <v>Thu</v>
      </c>
      <c r="Q138" t="str">
        <f t="shared" si="5"/>
        <v>Sedentary</v>
      </c>
    </row>
    <row r="139" spans="1:17">
      <c r="A139">
        <v>1927972279</v>
      </c>
      <c r="B139" s="1">
        <v>42482</v>
      </c>
      <c r="C139" s="3">
        <v>149</v>
      </c>
      <c r="D139" s="2">
        <v>0.10000000149011599</v>
      </c>
      <c r="E139" s="2">
        <v>0.10000000149011599</v>
      </c>
      <c r="F139" s="2">
        <v>0</v>
      </c>
      <c r="G139" s="2">
        <v>0</v>
      </c>
      <c r="H139" s="2">
        <v>0</v>
      </c>
      <c r="I139" s="2">
        <v>0.10000000149011599</v>
      </c>
      <c r="J139" s="2">
        <v>0</v>
      </c>
      <c r="K139" s="3">
        <v>0</v>
      </c>
      <c r="L139" s="3">
        <v>0</v>
      </c>
      <c r="M139" s="3">
        <v>10</v>
      </c>
      <c r="N139" s="3">
        <v>1430</v>
      </c>
      <c r="O139" s="3">
        <v>2093</v>
      </c>
      <c r="P139" t="str">
        <f t="shared" si="4"/>
        <v>Fri</v>
      </c>
      <c r="Q139" t="str">
        <f t="shared" si="5"/>
        <v>Sedentary</v>
      </c>
    </row>
    <row r="140" spans="1:17">
      <c r="A140">
        <v>1927972279</v>
      </c>
      <c r="B140" s="1">
        <v>42485</v>
      </c>
      <c r="C140" s="3">
        <v>152</v>
      </c>
      <c r="D140" s="2">
        <v>0.109999999403954</v>
      </c>
      <c r="E140" s="2">
        <v>0.109999999403954</v>
      </c>
      <c r="F140" s="2">
        <v>0</v>
      </c>
      <c r="G140" s="2">
        <v>0</v>
      </c>
      <c r="H140" s="2">
        <v>0</v>
      </c>
      <c r="I140" s="2">
        <v>0.109999999403954</v>
      </c>
      <c r="J140" s="2">
        <v>0</v>
      </c>
      <c r="K140" s="3">
        <v>0</v>
      </c>
      <c r="L140" s="3">
        <v>0</v>
      </c>
      <c r="M140" s="3">
        <v>12</v>
      </c>
      <c r="N140" s="3">
        <v>1303</v>
      </c>
      <c r="O140" s="3">
        <v>2100</v>
      </c>
      <c r="P140" t="str">
        <f t="shared" si="4"/>
        <v>Mon</v>
      </c>
      <c r="Q140" t="str">
        <f t="shared" si="5"/>
        <v>Sedentary</v>
      </c>
    </row>
    <row r="141" spans="1:17">
      <c r="A141">
        <v>1927972279</v>
      </c>
      <c r="B141" s="1">
        <v>42478</v>
      </c>
      <c r="C141" s="3">
        <v>244</v>
      </c>
      <c r="D141" s="2">
        <v>0.17000000178813901</v>
      </c>
      <c r="E141" s="2">
        <v>0.17000000178813901</v>
      </c>
      <c r="F141" s="2">
        <v>0</v>
      </c>
      <c r="G141" s="2">
        <v>0</v>
      </c>
      <c r="H141" s="2">
        <v>0</v>
      </c>
      <c r="I141" s="2">
        <v>0.17000000178813901</v>
      </c>
      <c r="J141" s="2">
        <v>0</v>
      </c>
      <c r="K141" s="3">
        <v>0</v>
      </c>
      <c r="L141" s="3">
        <v>0</v>
      </c>
      <c r="M141" s="3">
        <v>17</v>
      </c>
      <c r="N141" s="3">
        <v>1423</v>
      </c>
      <c r="O141" s="3">
        <v>2111</v>
      </c>
      <c r="P141" t="str">
        <f t="shared" si="4"/>
        <v>Mon</v>
      </c>
      <c r="Q141" t="str">
        <f t="shared" si="5"/>
        <v>Sedentary</v>
      </c>
    </row>
    <row r="142" spans="1:17">
      <c r="A142">
        <v>1927972279</v>
      </c>
      <c r="B142" s="1">
        <v>42473</v>
      </c>
      <c r="C142" s="3">
        <v>356</v>
      </c>
      <c r="D142" s="2">
        <v>0.25</v>
      </c>
      <c r="E142" s="2">
        <v>0.25</v>
      </c>
      <c r="F142" s="2">
        <v>0</v>
      </c>
      <c r="G142" s="2">
        <v>0</v>
      </c>
      <c r="H142" s="2">
        <v>0</v>
      </c>
      <c r="I142" s="2">
        <v>0.25</v>
      </c>
      <c r="J142" s="2">
        <v>0</v>
      </c>
      <c r="K142" s="3">
        <v>0</v>
      </c>
      <c r="L142" s="3">
        <v>0</v>
      </c>
      <c r="M142" s="3">
        <v>32</v>
      </c>
      <c r="N142" s="3">
        <v>986</v>
      </c>
      <c r="O142" s="3">
        <v>2151</v>
      </c>
      <c r="P142" t="str">
        <f t="shared" si="4"/>
        <v>Wed</v>
      </c>
      <c r="Q142" t="str">
        <f t="shared" si="5"/>
        <v>Sedentary</v>
      </c>
    </row>
    <row r="143" spans="1:17">
      <c r="A143">
        <v>1927972279</v>
      </c>
      <c r="B143" s="1">
        <v>42472</v>
      </c>
      <c r="C143" s="3">
        <v>678</v>
      </c>
      <c r="D143" s="2">
        <v>0.46999999880790699</v>
      </c>
      <c r="E143" s="2">
        <v>0.46999999880790699</v>
      </c>
      <c r="F143" s="2">
        <v>0</v>
      </c>
      <c r="G143" s="2">
        <v>0</v>
      </c>
      <c r="H143" s="2">
        <v>0</v>
      </c>
      <c r="I143" s="2">
        <v>0.46999999880790699</v>
      </c>
      <c r="J143" s="2">
        <v>0</v>
      </c>
      <c r="K143" s="3">
        <v>0</v>
      </c>
      <c r="L143" s="3">
        <v>0</v>
      </c>
      <c r="M143" s="3">
        <v>55</v>
      </c>
      <c r="N143" s="3">
        <v>734</v>
      </c>
      <c r="O143" s="3">
        <v>2220</v>
      </c>
      <c r="P143" t="str">
        <f t="shared" si="4"/>
        <v>Tue</v>
      </c>
      <c r="Q143" t="str">
        <f t="shared" si="5"/>
        <v>Sedentary</v>
      </c>
    </row>
    <row r="144" spans="1:17">
      <c r="A144">
        <v>1927972279</v>
      </c>
      <c r="B144" s="1">
        <v>42475</v>
      </c>
      <c r="C144" s="3">
        <v>980</v>
      </c>
      <c r="D144" s="2">
        <v>0.68000000715255704</v>
      </c>
      <c r="E144" s="2">
        <v>0.68000000715255704</v>
      </c>
      <c r="F144" s="2">
        <v>0</v>
      </c>
      <c r="G144" s="2">
        <v>0</v>
      </c>
      <c r="H144" s="2">
        <v>0</v>
      </c>
      <c r="I144" s="2">
        <v>0.68000000715255704</v>
      </c>
      <c r="J144" s="2">
        <v>0</v>
      </c>
      <c r="K144" s="3">
        <v>0</v>
      </c>
      <c r="L144" s="3">
        <v>0</v>
      </c>
      <c r="M144" s="3">
        <v>51</v>
      </c>
      <c r="N144" s="3">
        <v>941</v>
      </c>
      <c r="O144" s="3">
        <v>2221</v>
      </c>
      <c r="P144" t="str">
        <f t="shared" si="4"/>
        <v>Fri</v>
      </c>
      <c r="Q144" t="str">
        <f t="shared" si="5"/>
        <v>Sedentary</v>
      </c>
    </row>
    <row r="145" spans="1:17">
      <c r="A145">
        <v>1927972279</v>
      </c>
      <c r="B145" s="1">
        <v>42493</v>
      </c>
      <c r="C145" s="3">
        <v>1326</v>
      </c>
      <c r="D145" s="2">
        <v>0.92000001668930098</v>
      </c>
      <c r="E145" s="2">
        <v>0.92000001668930098</v>
      </c>
      <c r="F145" s="2">
        <v>0</v>
      </c>
      <c r="G145" s="2">
        <v>0.730000019073486</v>
      </c>
      <c r="H145" s="2">
        <v>0</v>
      </c>
      <c r="I145" s="2">
        <v>0.18000000715255701</v>
      </c>
      <c r="J145" s="2">
        <v>0</v>
      </c>
      <c r="K145" s="3">
        <v>10</v>
      </c>
      <c r="L145" s="3">
        <v>0</v>
      </c>
      <c r="M145" s="3">
        <v>17</v>
      </c>
      <c r="N145" s="3">
        <v>1413</v>
      </c>
      <c r="O145" s="3">
        <v>2195</v>
      </c>
      <c r="P145" t="str">
        <f t="shared" si="4"/>
        <v>Tue</v>
      </c>
      <c r="Q145" t="str">
        <f t="shared" si="5"/>
        <v>Sedentary</v>
      </c>
    </row>
    <row r="146" spans="1:17">
      <c r="A146">
        <v>1927972279</v>
      </c>
      <c r="B146" s="1">
        <v>42497</v>
      </c>
      <c r="C146" s="3">
        <v>1510</v>
      </c>
      <c r="D146" s="2">
        <v>1.03999996185303</v>
      </c>
      <c r="E146" s="2">
        <v>1.03999996185303</v>
      </c>
      <c r="F146" s="2">
        <v>0</v>
      </c>
      <c r="G146" s="2">
        <v>0</v>
      </c>
      <c r="H146" s="2">
        <v>0</v>
      </c>
      <c r="I146" s="2">
        <v>1.03999996185303</v>
      </c>
      <c r="J146" s="2">
        <v>0</v>
      </c>
      <c r="K146" s="3">
        <v>0</v>
      </c>
      <c r="L146" s="3">
        <v>0</v>
      </c>
      <c r="M146" s="3">
        <v>48</v>
      </c>
      <c r="N146" s="3">
        <v>1392</v>
      </c>
      <c r="O146" s="3">
        <v>2229</v>
      </c>
      <c r="P146" t="str">
        <f t="shared" si="4"/>
        <v>Sat</v>
      </c>
      <c r="Q146" t="str">
        <f t="shared" si="5"/>
        <v>Sedentary</v>
      </c>
    </row>
    <row r="147" spans="1:17">
      <c r="A147">
        <v>1927972279</v>
      </c>
      <c r="B147" s="1">
        <v>42488</v>
      </c>
      <c r="C147" s="3">
        <v>1675</v>
      </c>
      <c r="D147" s="2">
        <v>1.1599999666214</v>
      </c>
      <c r="E147" s="2">
        <v>1.1599999666214</v>
      </c>
      <c r="F147" s="2">
        <v>0</v>
      </c>
      <c r="G147" s="2">
        <v>0</v>
      </c>
      <c r="H147" s="2">
        <v>0</v>
      </c>
      <c r="I147" s="2">
        <v>1.1599999666214</v>
      </c>
      <c r="J147" s="2">
        <v>0</v>
      </c>
      <c r="K147" s="3">
        <v>0</v>
      </c>
      <c r="L147" s="3">
        <v>0</v>
      </c>
      <c r="M147" s="3">
        <v>95</v>
      </c>
      <c r="N147" s="3">
        <v>1167</v>
      </c>
      <c r="O147" s="3">
        <v>2351</v>
      </c>
      <c r="P147" t="str">
        <f t="shared" si="4"/>
        <v>Thu</v>
      </c>
      <c r="Q147" t="str">
        <f t="shared" si="5"/>
        <v>Sedentary</v>
      </c>
    </row>
    <row r="148" spans="1:17">
      <c r="A148">
        <v>1927972279</v>
      </c>
      <c r="B148" s="1">
        <v>42494</v>
      </c>
      <c r="C148" s="3">
        <v>1786</v>
      </c>
      <c r="D148" s="2">
        <v>1.2400000095367401</v>
      </c>
      <c r="E148" s="2">
        <v>1.2400000095367401</v>
      </c>
      <c r="F148" s="2">
        <v>0</v>
      </c>
      <c r="G148" s="2">
        <v>0</v>
      </c>
      <c r="H148" s="2">
        <v>0</v>
      </c>
      <c r="I148" s="2">
        <v>1.2400000095367401</v>
      </c>
      <c r="J148" s="2">
        <v>0</v>
      </c>
      <c r="K148" s="3">
        <v>0</v>
      </c>
      <c r="L148" s="3">
        <v>0</v>
      </c>
      <c r="M148" s="3">
        <v>87</v>
      </c>
      <c r="N148" s="3">
        <v>1353</v>
      </c>
      <c r="O148" s="3">
        <v>2338</v>
      </c>
      <c r="P148" t="str">
        <f t="shared" si="4"/>
        <v>Wed</v>
      </c>
      <c r="Q148" t="str">
        <f t="shared" si="5"/>
        <v>Sedentary</v>
      </c>
    </row>
    <row r="149" spans="1:17">
      <c r="A149">
        <v>1927972279</v>
      </c>
      <c r="B149" s="1">
        <v>42484</v>
      </c>
      <c r="C149" s="3">
        <v>2090</v>
      </c>
      <c r="D149" s="2">
        <v>1.45000004768372</v>
      </c>
      <c r="E149" s="2">
        <v>1.45000004768372</v>
      </c>
      <c r="F149" s="2">
        <v>0</v>
      </c>
      <c r="G149" s="2">
        <v>7.0000000298023196E-2</v>
      </c>
      <c r="H149" s="2">
        <v>0.239999994635582</v>
      </c>
      <c r="I149" s="2">
        <v>1.1399999856948899</v>
      </c>
      <c r="J149" s="2">
        <v>0</v>
      </c>
      <c r="K149" s="3">
        <v>1</v>
      </c>
      <c r="L149" s="3">
        <v>6</v>
      </c>
      <c r="M149" s="3">
        <v>75</v>
      </c>
      <c r="N149" s="3">
        <v>1358</v>
      </c>
      <c r="O149" s="3">
        <v>2324</v>
      </c>
      <c r="P149" t="str">
        <f t="shared" si="4"/>
        <v>Sun</v>
      </c>
      <c r="Q149" t="str">
        <f t="shared" si="5"/>
        <v>Sedentary</v>
      </c>
    </row>
    <row r="150" spans="1:17">
      <c r="A150">
        <v>1927972279</v>
      </c>
      <c r="B150" s="1">
        <v>42496</v>
      </c>
      <c r="C150" s="3">
        <v>2091</v>
      </c>
      <c r="D150" s="2">
        <v>1.45000004768372</v>
      </c>
      <c r="E150" s="2">
        <v>1.45000004768372</v>
      </c>
      <c r="F150" s="2">
        <v>0</v>
      </c>
      <c r="G150" s="2">
        <v>0</v>
      </c>
      <c r="H150" s="2">
        <v>0</v>
      </c>
      <c r="I150" s="2">
        <v>1.45000004768372</v>
      </c>
      <c r="J150" s="2">
        <v>0</v>
      </c>
      <c r="K150" s="3">
        <v>0</v>
      </c>
      <c r="L150" s="3">
        <v>0</v>
      </c>
      <c r="M150" s="3">
        <v>108</v>
      </c>
      <c r="N150" s="3">
        <v>1332</v>
      </c>
      <c r="O150" s="3">
        <v>2383</v>
      </c>
      <c r="P150" t="str">
        <f t="shared" si="4"/>
        <v>Fri</v>
      </c>
      <c r="Q150" t="str">
        <f t="shared" si="5"/>
        <v>Sedentary</v>
      </c>
    </row>
    <row r="151" spans="1:17">
      <c r="A151">
        <v>1927972279</v>
      </c>
      <c r="B151" s="1">
        <v>42474</v>
      </c>
      <c r="C151" s="3">
        <v>2163</v>
      </c>
      <c r="D151" s="2">
        <v>1.5</v>
      </c>
      <c r="E151" s="2">
        <v>1.5</v>
      </c>
      <c r="F151" s="2">
        <v>0</v>
      </c>
      <c r="G151" s="2">
        <v>0</v>
      </c>
      <c r="H151" s="2">
        <v>0.40000000596046398</v>
      </c>
      <c r="I151" s="2">
        <v>1.1000000238418599</v>
      </c>
      <c r="J151" s="2">
        <v>0</v>
      </c>
      <c r="K151" s="3">
        <v>0</v>
      </c>
      <c r="L151" s="3">
        <v>9</v>
      </c>
      <c r="M151" s="3">
        <v>88</v>
      </c>
      <c r="N151" s="3">
        <v>1292</v>
      </c>
      <c r="O151" s="3">
        <v>2383</v>
      </c>
      <c r="P151" t="str">
        <f t="shared" si="4"/>
        <v>Thu</v>
      </c>
      <c r="Q151" t="str">
        <f t="shared" si="5"/>
        <v>Sedentary</v>
      </c>
    </row>
    <row r="152" spans="1:17">
      <c r="A152">
        <v>1927972279</v>
      </c>
      <c r="B152" s="1">
        <v>42491</v>
      </c>
      <c r="C152" s="3">
        <v>2704</v>
      </c>
      <c r="D152" s="2">
        <v>1.87000000476837</v>
      </c>
      <c r="E152" s="2">
        <v>1.87000000476837</v>
      </c>
      <c r="F152" s="2">
        <v>0</v>
      </c>
      <c r="G152" s="2">
        <v>1.0099999904632599</v>
      </c>
      <c r="H152" s="2">
        <v>2.9999999329447701E-2</v>
      </c>
      <c r="I152" s="2">
        <v>0.82999998331069902</v>
      </c>
      <c r="J152" s="2">
        <v>0</v>
      </c>
      <c r="K152" s="3">
        <v>14</v>
      </c>
      <c r="L152" s="3">
        <v>1</v>
      </c>
      <c r="M152" s="3">
        <v>70</v>
      </c>
      <c r="N152" s="3">
        <v>1355</v>
      </c>
      <c r="O152" s="3">
        <v>2411</v>
      </c>
      <c r="P152" t="str">
        <f t="shared" si="4"/>
        <v>Sun</v>
      </c>
      <c r="Q152" t="str">
        <f t="shared" si="5"/>
        <v>Sedentary</v>
      </c>
    </row>
    <row r="153" spans="1:17">
      <c r="A153">
        <v>1927972279</v>
      </c>
      <c r="B153" s="1">
        <v>42483</v>
      </c>
      <c r="C153" s="3">
        <v>2945</v>
      </c>
      <c r="D153" s="2">
        <v>2.03999996185303</v>
      </c>
      <c r="E153" s="2">
        <v>2.03999996185303</v>
      </c>
      <c r="F153" s="2">
        <v>0</v>
      </c>
      <c r="G153" s="2">
        <v>0</v>
      </c>
      <c r="H153" s="2">
        <v>0</v>
      </c>
      <c r="I153" s="2">
        <v>2.03999996185303</v>
      </c>
      <c r="J153" s="2">
        <v>0</v>
      </c>
      <c r="K153" s="3">
        <v>0</v>
      </c>
      <c r="L153" s="3">
        <v>0</v>
      </c>
      <c r="M153" s="3">
        <v>145</v>
      </c>
      <c r="N153" s="3">
        <v>1295</v>
      </c>
      <c r="O153" s="3">
        <v>2499</v>
      </c>
      <c r="P153" t="str">
        <f t="shared" si="4"/>
        <v>Sat</v>
      </c>
      <c r="Q153" t="str">
        <f t="shared" si="5"/>
        <v>Sedentary</v>
      </c>
    </row>
    <row r="154" spans="1:17">
      <c r="A154">
        <v>1927972279</v>
      </c>
      <c r="B154" s="1">
        <v>42486</v>
      </c>
      <c r="C154" s="3">
        <v>3761</v>
      </c>
      <c r="D154" s="2">
        <v>2.5999999046325701</v>
      </c>
      <c r="E154" s="2">
        <v>2.5999999046325701</v>
      </c>
      <c r="F154" s="2">
        <v>0</v>
      </c>
      <c r="G154" s="2">
        <v>0</v>
      </c>
      <c r="H154" s="2">
        <v>0</v>
      </c>
      <c r="I154" s="2">
        <v>2.5999999046325701</v>
      </c>
      <c r="J154" s="2">
        <v>0</v>
      </c>
      <c r="K154" s="3">
        <v>0</v>
      </c>
      <c r="L154" s="3">
        <v>0</v>
      </c>
      <c r="M154" s="3">
        <v>192</v>
      </c>
      <c r="N154" s="3">
        <v>1058</v>
      </c>
      <c r="O154" s="3">
        <v>2638</v>
      </c>
      <c r="P154" t="str">
        <f t="shared" si="4"/>
        <v>Tue</v>
      </c>
      <c r="Q154" t="str">
        <f t="shared" si="5"/>
        <v>Sedentary</v>
      </c>
    </row>
    <row r="155" spans="1:17">
      <c r="A155">
        <v>1927972279</v>
      </c>
      <c r="B155" s="1">
        <v>42492</v>
      </c>
      <c r="C155" s="3">
        <v>3790</v>
      </c>
      <c r="D155" s="2">
        <v>2.6199998855590798</v>
      </c>
      <c r="E155" s="2">
        <v>2.6199998855590798</v>
      </c>
      <c r="F155" s="2">
        <v>0</v>
      </c>
      <c r="G155" s="2">
        <v>1.1599999666214</v>
      </c>
      <c r="H155" s="2">
        <v>0.30000001192092901</v>
      </c>
      <c r="I155" s="2">
        <v>1.1599999666214</v>
      </c>
      <c r="J155" s="2">
        <v>0</v>
      </c>
      <c r="K155" s="3">
        <v>16</v>
      </c>
      <c r="L155" s="3">
        <v>8</v>
      </c>
      <c r="M155" s="3">
        <v>94</v>
      </c>
      <c r="N155" s="3">
        <v>1322</v>
      </c>
      <c r="O155" s="3">
        <v>2505</v>
      </c>
      <c r="P155" t="str">
        <f t="shared" si="4"/>
        <v>Mon</v>
      </c>
      <c r="Q155" t="str">
        <f t="shared" si="5"/>
        <v>Sedentary</v>
      </c>
    </row>
    <row r="156" spans="1:17">
      <c r="A156">
        <v>2022484408</v>
      </c>
      <c r="B156" s="1">
        <v>42498</v>
      </c>
      <c r="C156" s="3">
        <v>3292</v>
      </c>
      <c r="D156" s="2">
        <v>2.3099999427795401</v>
      </c>
      <c r="E156" s="2">
        <v>2.3099999427795401</v>
      </c>
      <c r="F156" s="2">
        <v>0</v>
      </c>
      <c r="G156" s="2">
        <v>0</v>
      </c>
      <c r="H156" s="2">
        <v>0</v>
      </c>
      <c r="I156" s="2">
        <v>2.3099999427795401</v>
      </c>
      <c r="J156" s="2">
        <v>0</v>
      </c>
      <c r="K156" s="3">
        <v>0</v>
      </c>
      <c r="L156" s="3">
        <v>0</v>
      </c>
      <c r="M156" s="3">
        <v>135</v>
      </c>
      <c r="N156" s="3">
        <v>1305</v>
      </c>
      <c r="O156" s="3">
        <v>1848</v>
      </c>
      <c r="P156" t="str">
        <f t="shared" si="4"/>
        <v>Sun</v>
      </c>
      <c r="Q156" t="str">
        <f t="shared" si="5"/>
        <v>Sedentary</v>
      </c>
    </row>
    <row r="157" spans="1:17">
      <c r="A157">
        <v>2022484408</v>
      </c>
      <c r="B157" s="1">
        <v>42483</v>
      </c>
      <c r="C157" s="3">
        <v>6001</v>
      </c>
      <c r="D157" s="2">
        <v>4.21000003814697</v>
      </c>
      <c r="E157" s="2">
        <v>4.21000003814697</v>
      </c>
      <c r="F157" s="2">
        <v>0</v>
      </c>
      <c r="G157" s="2">
        <v>0</v>
      </c>
      <c r="H157" s="2">
        <v>0</v>
      </c>
      <c r="I157" s="2">
        <v>4.21000003814697</v>
      </c>
      <c r="J157" s="2">
        <v>0</v>
      </c>
      <c r="K157" s="3">
        <v>0</v>
      </c>
      <c r="L157" s="3">
        <v>0</v>
      </c>
      <c r="M157" s="3">
        <v>249</v>
      </c>
      <c r="N157" s="3">
        <v>1191</v>
      </c>
      <c r="O157" s="3">
        <v>2069</v>
      </c>
      <c r="P157" t="str">
        <f t="shared" si="4"/>
        <v>Sat</v>
      </c>
      <c r="Q157" t="str">
        <f t="shared" si="5"/>
        <v>Lightly Active</v>
      </c>
    </row>
    <row r="158" spans="1:17">
      <c r="A158">
        <v>2022484408</v>
      </c>
      <c r="B158" s="1">
        <v>42497</v>
      </c>
      <c r="C158" s="3">
        <v>6708</v>
      </c>
      <c r="D158" s="2">
        <v>4.71000003814697</v>
      </c>
      <c r="E158" s="2">
        <v>4.71000003814697</v>
      </c>
      <c r="F158" s="2">
        <v>0</v>
      </c>
      <c r="G158" s="2">
        <v>1.6100000143051101</v>
      </c>
      <c r="H158" s="2">
        <v>7.9999998211860698E-2</v>
      </c>
      <c r="I158" s="2">
        <v>3.0199999809265101</v>
      </c>
      <c r="J158" s="2">
        <v>0</v>
      </c>
      <c r="K158" s="3">
        <v>20</v>
      </c>
      <c r="L158" s="3">
        <v>2</v>
      </c>
      <c r="M158" s="3">
        <v>149</v>
      </c>
      <c r="N158" s="3">
        <v>1269</v>
      </c>
      <c r="O158" s="3">
        <v>1995</v>
      </c>
      <c r="P158" t="str">
        <f t="shared" si="4"/>
        <v>Sat</v>
      </c>
      <c r="Q158" t="str">
        <f t="shared" si="5"/>
        <v>Lightly Active</v>
      </c>
    </row>
    <row r="159" spans="1:17">
      <c r="A159">
        <v>2022484408</v>
      </c>
      <c r="B159" s="1">
        <v>42502</v>
      </c>
      <c r="C159" s="3">
        <v>9117</v>
      </c>
      <c r="D159" s="2">
        <v>6.4099998474121103</v>
      </c>
      <c r="E159" s="2">
        <v>6.4099998474121103</v>
      </c>
      <c r="F159" s="2">
        <v>0</v>
      </c>
      <c r="G159" s="2">
        <v>1.2799999713897701</v>
      </c>
      <c r="H159" s="2">
        <v>0.67000001668930098</v>
      </c>
      <c r="I159" s="2">
        <v>4.4400000572204599</v>
      </c>
      <c r="J159" s="2">
        <v>0</v>
      </c>
      <c r="K159" s="3">
        <v>16</v>
      </c>
      <c r="L159" s="3">
        <v>16</v>
      </c>
      <c r="M159" s="3">
        <v>236</v>
      </c>
      <c r="N159" s="3">
        <v>728</v>
      </c>
      <c r="O159" s="3">
        <v>1853</v>
      </c>
      <c r="P159" t="str">
        <f t="shared" si="4"/>
        <v>Thu</v>
      </c>
      <c r="Q159" t="str">
        <f t="shared" si="5"/>
        <v>Fairly Active</v>
      </c>
    </row>
    <row r="160" spans="1:17">
      <c r="A160">
        <v>2022484408</v>
      </c>
      <c r="B160" s="1">
        <v>42476</v>
      </c>
      <c r="C160" s="3">
        <v>10100</v>
      </c>
      <c r="D160" s="2">
        <v>7.0900001525878897</v>
      </c>
      <c r="E160" s="2">
        <v>7.0900001525878897</v>
      </c>
      <c r="F160" s="2">
        <v>0</v>
      </c>
      <c r="G160" s="2">
        <v>3.1500000953674299</v>
      </c>
      <c r="H160" s="2">
        <v>0.55000001192092896</v>
      </c>
      <c r="I160" s="2">
        <v>3.3900001049041699</v>
      </c>
      <c r="J160" s="2">
        <v>0</v>
      </c>
      <c r="K160" s="3">
        <v>41</v>
      </c>
      <c r="L160" s="3">
        <v>11</v>
      </c>
      <c r="M160" s="3">
        <v>151</v>
      </c>
      <c r="N160" s="3">
        <v>1237</v>
      </c>
      <c r="O160" s="3">
        <v>2177</v>
      </c>
      <c r="P160" t="str">
        <f t="shared" si="4"/>
        <v>Sat</v>
      </c>
      <c r="Q160" t="str">
        <f t="shared" si="5"/>
        <v>Vey Active</v>
      </c>
    </row>
    <row r="161" spans="1:17">
      <c r="A161">
        <v>2022484408</v>
      </c>
      <c r="B161" s="1">
        <v>42486</v>
      </c>
      <c r="C161" s="3">
        <v>10119</v>
      </c>
      <c r="D161" s="2">
        <v>7.1900000572204599</v>
      </c>
      <c r="E161" s="2">
        <v>7.1900000572204599</v>
      </c>
      <c r="F161" s="2">
        <v>0</v>
      </c>
      <c r="G161" s="2">
        <v>1.4299999475479099</v>
      </c>
      <c r="H161" s="2">
        <v>0.66000002622604403</v>
      </c>
      <c r="I161" s="2">
        <v>5.1100001335143999</v>
      </c>
      <c r="J161" s="2">
        <v>0</v>
      </c>
      <c r="K161" s="3">
        <v>55</v>
      </c>
      <c r="L161" s="3">
        <v>24</v>
      </c>
      <c r="M161" s="3">
        <v>275</v>
      </c>
      <c r="N161" s="3">
        <v>1086</v>
      </c>
      <c r="O161" s="3">
        <v>2793</v>
      </c>
      <c r="P161" t="str">
        <f t="shared" si="4"/>
        <v>Tue</v>
      </c>
      <c r="Q161" t="str">
        <f t="shared" si="5"/>
        <v>Vey Active</v>
      </c>
    </row>
    <row r="162" spans="1:17">
      <c r="A162">
        <v>2022484408</v>
      </c>
      <c r="B162" s="1">
        <v>42488</v>
      </c>
      <c r="C162" s="3">
        <v>10140</v>
      </c>
      <c r="D162" s="2">
        <v>7.1199998855590803</v>
      </c>
      <c r="E162" s="2">
        <v>7.1199998855590803</v>
      </c>
      <c r="F162" s="2">
        <v>0</v>
      </c>
      <c r="G162" s="2">
        <v>0.40999999642372098</v>
      </c>
      <c r="H162" s="2">
        <v>1.33000004291534</v>
      </c>
      <c r="I162" s="2">
        <v>5.3899998664856001</v>
      </c>
      <c r="J162" s="2">
        <v>0</v>
      </c>
      <c r="K162" s="3">
        <v>6</v>
      </c>
      <c r="L162" s="3">
        <v>20</v>
      </c>
      <c r="M162" s="3">
        <v>291</v>
      </c>
      <c r="N162" s="3">
        <v>1123</v>
      </c>
      <c r="O162" s="3">
        <v>2296</v>
      </c>
      <c r="P162" t="str">
        <f t="shared" si="4"/>
        <v>Thu</v>
      </c>
      <c r="Q162" t="str">
        <f t="shared" si="5"/>
        <v>Vey Active</v>
      </c>
    </row>
    <row r="163" spans="1:17">
      <c r="A163">
        <v>2022484408</v>
      </c>
      <c r="B163" s="1">
        <v>42487</v>
      </c>
      <c r="C163" s="3">
        <v>10159</v>
      </c>
      <c r="D163" s="2">
        <v>7.1300001144409197</v>
      </c>
      <c r="E163" s="2">
        <v>7.1300001144409197</v>
      </c>
      <c r="F163" s="2">
        <v>0</v>
      </c>
      <c r="G163" s="2">
        <v>1.03999996185303</v>
      </c>
      <c r="H163" s="2">
        <v>0.97000002861022905</v>
      </c>
      <c r="I163" s="2">
        <v>5.1199998855590803</v>
      </c>
      <c r="J163" s="2">
        <v>0</v>
      </c>
      <c r="K163" s="3">
        <v>19</v>
      </c>
      <c r="L163" s="3">
        <v>20</v>
      </c>
      <c r="M163" s="3">
        <v>282</v>
      </c>
      <c r="N163" s="3">
        <v>1119</v>
      </c>
      <c r="O163" s="3">
        <v>2463</v>
      </c>
      <c r="P163" t="str">
        <f t="shared" si="4"/>
        <v>Wed</v>
      </c>
      <c r="Q163" t="str">
        <f t="shared" si="5"/>
        <v>Vey Active</v>
      </c>
    </row>
    <row r="164" spans="1:17">
      <c r="A164">
        <v>2022484408</v>
      </c>
      <c r="B164" s="1">
        <v>42496</v>
      </c>
      <c r="C164" s="3">
        <v>10227</v>
      </c>
      <c r="D164" s="2">
        <v>7.1799998283386204</v>
      </c>
      <c r="E164" s="2">
        <v>7.1799998283386204</v>
      </c>
      <c r="F164" s="2">
        <v>0</v>
      </c>
      <c r="G164" s="2">
        <v>1.87000000476837</v>
      </c>
      <c r="H164" s="2">
        <v>0.67000001668930098</v>
      </c>
      <c r="I164" s="2">
        <v>4.6399998664856001</v>
      </c>
      <c r="J164" s="2">
        <v>0</v>
      </c>
      <c r="K164" s="3">
        <v>24</v>
      </c>
      <c r="L164" s="3">
        <v>17</v>
      </c>
      <c r="M164" s="3">
        <v>295</v>
      </c>
      <c r="N164" s="3">
        <v>1104</v>
      </c>
      <c r="O164" s="3">
        <v>2498</v>
      </c>
      <c r="P164" t="str">
        <f t="shared" si="4"/>
        <v>Fri</v>
      </c>
      <c r="Q164" t="str">
        <f t="shared" si="5"/>
        <v>Vey Active</v>
      </c>
    </row>
    <row r="165" spans="1:17">
      <c r="A165">
        <v>2022484408</v>
      </c>
      <c r="B165" s="1">
        <v>42489</v>
      </c>
      <c r="C165" s="3">
        <v>10245</v>
      </c>
      <c r="D165" s="2">
        <v>7.1900000572204599</v>
      </c>
      <c r="E165" s="2">
        <v>7.1900000572204599</v>
      </c>
      <c r="F165" s="2">
        <v>0</v>
      </c>
      <c r="G165" s="2">
        <v>0.479999989271164</v>
      </c>
      <c r="H165" s="2">
        <v>1.21000003814697</v>
      </c>
      <c r="I165" s="2">
        <v>5.5</v>
      </c>
      <c r="J165" s="2">
        <v>0</v>
      </c>
      <c r="K165" s="3">
        <v>21</v>
      </c>
      <c r="L165" s="3">
        <v>40</v>
      </c>
      <c r="M165" s="3">
        <v>281</v>
      </c>
      <c r="N165" s="3">
        <v>1098</v>
      </c>
      <c r="O165" s="3">
        <v>2611</v>
      </c>
      <c r="P165" t="str">
        <f t="shared" si="4"/>
        <v>Fri</v>
      </c>
      <c r="Q165" t="str">
        <f t="shared" si="5"/>
        <v>Vey Active</v>
      </c>
    </row>
    <row r="166" spans="1:17">
      <c r="A166">
        <v>2022484408</v>
      </c>
      <c r="B166" s="1">
        <v>42492</v>
      </c>
      <c r="C166" s="3">
        <v>10379</v>
      </c>
      <c r="D166" s="2">
        <v>7.28999996185303</v>
      </c>
      <c r="E166" s="2">
        <v>7.28999996185303</v>
      </c>
      <c r="F166" s="2">
        <v>0</v>
      </c>
      <c r="G166" s="2">
        <v>2.6099998950958301</v>
      </c>
      <c r="H166" s="2">
        <v>0.34000000357627902</v>
      </c>
      <c r="I166" s="2">
        <v>4.3299999237060502</v>
      </c>
      <c r="J166" s="2">
        <v>0</v>
      </c>
      <c r="K166" s="3">
        <v>36</v>
      </c>
      <c r="L166" s="3">
        <v>8</v>
      </c>
      <c r="M166" s="3">
        <v>277</v>
      </c>
      <c r="N166" s="3">
        <v>1119</v>
      </c>
      <c r="O166" s="3">
        <v>2473</v>
      </c>
      <c r="P166" t="str">
        <f t="shared" si="4"/>
        <v>Mon</v>
      </c>
      <c r="Q166" t="str">
        <f t="shared" si="5"/>
        <v>Vey Active</v>
      </c>
    </row>
    <row r="167" spans="1:17">
      <c r="A167">
        <v>2022484408</v>
      </c>
      <c r="B167" s="1">
        <v>42491</v>
      </c>
      <c r="C167" s="3">
        <v>10538</v>
      </c>
      <c r="D167" s="2">
        <v>7.4000000953674299</v>
      </c>
      <c r="E167" s="2">
        <v>7.4000000953674299</v>
      </c>
      <c r="F167" s="2">
        <v>0</v>
      </c>
      <c r="G167" s="2">
        <v>1.9400000572204601</v>
      </c>
      <c r="H167" s="2">
        <v>0.95999997854232799</v>
      </c>
      <c r="I167" s="2">
        <v>4.5</v>
      </c>
      <c r="J167" s="2">
        <v>0</v>
      </c>
      <c r="K167" s="3">
        <v>25</v>
      </c>
      <c r="L167" s="3">
        <v>28</v>
      </c>
      <c r="M167" s="3">
        <v>245</v>
      </c>
      <c r="N167" s="3">
        <v>1142</v>
      </c>
      <c r="O167" s="3">
        <v>2380</v>
      </c>
      <c r="P167" t="str">
        <f t="shared" si="4"/>
        <v>Sun</v>
      </c>
      <c r="Q167" t="str">
        <f t="shared" si="5"/>
        <v>Vey Active</v>
      </c>
    </row>
    <row r="168" spans="1:17">
      <c r="A168">
        <v>2022484408</v>
      </c>
      <c r="B168" s="1">
        <v>42474</v>
      </c>
      <c r="C168" s="3">
        <v>10690</v>
      </c>
      <c r="D168" s="2">
        <v>7.5</v>
      </c>
      <c r="E168" s="2">
        <v>7.5</v>
      </c>
      <c r="F168" s="2">
        <v>0</v>
      </c>
      <c r="G168" s="2">
        <v>2.4800000190734899</v>
      </c>
      <c r="H168" s="2">
        <v>0.20999999344348899</v>
      </c>
      <c r="I168" s="2">
        <v>4.8200001716613796</v>
      </c>
      <c r="J168" s="2">
        <v>0</v>
      </c>
      <c r="K168" s="3">
        <v>32</v>
      </c>
      <c r="L168" s="3">
        <v>3</v>
      </c>
      <c r="M168" s="3">
        <v>257</v>
      </c>
      <c r="N168" s="3">
        <v>1148</v>
      </c>
      <c r="O168" s="3">
        <v>2312</v>
      </c>
      <c r="P168" t="str">
        <f t="shared" si="4"/>
        <v>Thu</v>
      </c>
      <c r="Q168" t="str">
        <f t="shared" si="5"/>
        <v>Vey Active</v>
      </c>
    </row>
    <row r="169" spans="1:17">
      <c r="A169">
        <v>2022484408</v>
      </c>
      <c r="B169" s="1">
        <v>42475</v>
      </c>
      <c r="C169" s="3">
        <v>11034</v>
      </c>
      <c r="D169" s="2">
        <v>8.0299997329711896</v>
      </c>
      <c r="E169" s="2">
        <v>8.0299997329711896</v>
      </c>
      <c r="F169" s="2">
        <v>0</v>
      </c>
      <c r="G169" s="2">
        <v>1.9400000572204601</v>
      </c>
      <c r="H169" s="2">
        <v>0.31000000238418601</v>
      </c>
      <c r="I169" s="2">
        <v>5.7800002098083496</v>
      </c>
      <c r="J169" s="2">
        <v>0</v>
      </c>
      <c r="K169" s="3">
        <v>27</v>
      </c>
      <c r="L169" s="3">
        <v>9</v>
      </c>
      <c r="M169" s="3">
        <v>282</v>
      </c>
      <c r="N169" s="3">
        <v>1122</v>
      </c>
      <c r="O169" s="3">
        <v>2525</v>
      </c>
      <c r="P169" t="str">
        <f t="shared" si="4"/>
        <v>Fri</v>
      </c>
      <c r="Q169" t="str">
        <f t="shared" si="5"/>
        <v>Vey Active</v>
      </c>
    </row>
    <row r="170" spans="1:17">
      <c r="A170">
        <v>2022484408</v>
      </c>
      <c r="B170" s="1">
        <v>42485</v>
      </c>
      <c r="C170" s="3">
        <v>11369</v>
      </c>
      <c r="D170" s="2">
        <v>8.0100002288818395</v>
      </c>
      <c r="E170" s="2">
        <v>8.0100002288818395</v>
      </c>
      <c r="F170" s="2">
        <v>0</v>
      </c>
      <c r="G170" s="2">
        <v>3.3299999237060498</v>
      </c>
      <c r="H170" s="2">
        <v>0.21999999880790699</v>
      </c>
      <c r="I170" s="2">
        <v>4.46000003814697</v>
      </c>
      <c r="J170" s="2">
        <v>0</v>
      </c>
      <c r="K170" s="3">
        <v>44</v>
      </c>
      <c r="L170" s="3">
        <v>8</v>
      </c>
      <c r="M170" s="3">
        <v>217</v>
      </c>
      <c r="N170" s="3">
        <v>1171</v>
      </c>
      <c r="O170" s="3">
        <v>2470</v>
      </c>
      <c r="P170" t="str">
        <f t="shared" si="4"/>
        <v>Mon</v>
      </c>
      <c r="Q170" t="str">
        <f t="shared" si="5"/>
        <v>Vey Active</v>
      </c>
    </row>
    <row r="171" spans="1:17">
      <c r="A171">
        <v>2022484408</v>
      </c>
      <c r="B171" s="1">
        <v>42479</v>
      </c>
      <c r="C171" s="3">
        <v>11548</v>
      </c>
      <c r="D171" s="2">
        <v>8.5299997329711896</v>
      </c>
      <c r="E171" s="2">
        <v>8.5299997329711896</v>
      </c>
      <c r="F171" s="2">
        <v>0</v>
      </c>
      <c r="G171" s="2">
        <v>3.28999996185303</v>
      </c>
      <c r="H171" s="2">
        <v>0.239999994635582</v>
      </c>
      <c r="I171" s="2">
        <v>5</v>
      </c>
      <c r="J171" s="2">
        <v>0</v>
      </c>
      <c r="K171" s="3">
        <v>31</v>
      </c>
      <c r="L171" s="3">
        <v>7</v>
      </c>
      <c r="M171" s="3">
        <v>250</v>
      </c>
      <c r="N171" s="3">
        <v>1152</v>
      </c>
      <c r="O171" s="3">
        <v>2489</v>
      </c>
      <c r="P171" t="str">
        <f t="shared" si="4"/>
        <v>Tue</v>
      </c>
      <c r="Q171" t="str">
        <f t="shared" si="5"/>
        <v>Vey Active</v>
      </c>
    </row>
    <row r="172" spans="1:17">
      <c r="A172">
        <v>2022484408</v>
      </c>
      <c r="B172" s="1">
        <v>42494</v>
      </c>
      <c r="C172" s="3">
        <v>11768</v>
      </c>
      <c r="D172" s="2">
        <v>8.2899999618530291</v>
      </c>
      <c r="E172" s="2">
        <v>8.2899999618530291</v>
      </c>
      <c r="F172" s="2">
        <v>0</v>
      </c>
      <c r="G172" s="2">
        <v>2.5099999904632599</v>
      </c>
      <c r="H172" s="2">
        <v>0.93000000715255704</v>
      </c>
      <c r="I172" s="2">
        <v>4.8499999046325701</v>
      </c>
      <c r="J172" s="2">
        <v>0</v>
      </c>
      <c r="K172" s="3">
        <v>36</v>
      </c>
      <c r="L172" s="3">
        <v>27</v>
      </c>
      <c r="M172" s="3">
        <v>272</v>
      </c>
      <c r="N172" s="3">
        <v>1105</v>
      </c>
      <c r="O172" s="3">
        <v>2649</v>
      </c>
      <c r="P172" t="str">
        <f t="shared" si="4"/>
        <v>Wed</v>
      </c>
      <c r="Q172" t="str">
        <f t="shared" si="5"/>
        <v>Vey Active</v>
      </c>
    </row>
    <row r="173" spans="1:17">
      <c r="A173">
        <v>2022484408</v>
      </c>
      <c r="B173" s="1">
        <v>42472</v>
      </c>
      <c r="C173" s="3">
        <v>11875</v>
      </c>
      <c r="D173" s="2">
        <v>8.3400001525878906</v>
      </c>
      <c r="E173" s="2">
        <v>8.3400001525878906</v>
      </c>
      <c r="F173" s="2">
        <v>0</v>
      </c>
      <c r="G173" s="2">
        <v>3.3099999427795401</v>
      </c>
      <c r="H173" s="2">
        <v>0.769999980926514</v>
      </c>
      <c r="I173" s="2">
        <v>4.2600002288818404</v>
      </c>
      <c r="J173" s="2">
        <v>0</v>
      </c>
      <c r="K173" s="3">
        <v>42</v>
      </c>
      <c r="L173" s="3">
        <v>14</v>
      </c>
      <c r="M173" s="3">
        <v>227</v>
      </c>
      <c r="N173" s="3">
        <v>1157</v>
      </c>
      <c r="O173" s="3">
        <v>2390</v>
      </c>
      <c r="P173" t="str">
        <f t="shared" si="4"/>
        <v>Tue</v>
      </c>
      <c r="Q173" t="str">
        <f t="shared" si="5"/>
        <v>Vey Active</v>
      </c>
    </row>
    <row r="174" spans="1:17">
      <c r="A174">
        <v>2022484408</v>
      </c>
      <c r="B174" s="1">
        <v>42495</v>
      </c>
      <c r="C174" s="3">
        <v>11895</v>
      </c>
      <c r="D174" s="2">
        <v>8.3500003814697301</v>
      </c>
      <c r="E174" s="2">
        <v>8.3500003814697301</v>
      </c>
      <c r="F174" s="2">
        <v>0</v>
      </c>
      <c r="G174" s="2">
        <v>2.78999996185303</v>
      </c>
      <c r="H174" s="2">
        <v>0.86000001430511497</v>
      </c>
      <c r="I174" s="2">
        <v>4.6999998092651403</v>
      </c>
      <c r="J174" s="2">
        <v>0</v>
      </c>
      <c r="K174" s="3">
        <v>55</v>
      </c>
      <c r="L174" s="3">
        <v>20</v>
      </c>
      <c r="M174" s="3">
        <v>253</v>
      </c>
      <c r="N174" s="3">
        <v>1112</v>
      </c>
      <c r="O174" s="3">
        <v>2609</v>
      </c>
      <c r="P174" t="str">
        <f t="shared" si="4"/>
        <v>Thu</v>
      </c>
      <c r="Q174" t="str">
        <f t="shared" si="5"/>
        <v>Vey Active</v>
      </c>
    </row>
    <row r="175" spans="1:17">
      <c r="A175">
        <v>2022484408</v>
      </c>
      <c r="B175" s="1">
        <v>42473</v>
      </c>
      <c r="C175" s="3">
        <v>12024</v>
      </c>
      <c r="D175" s="2">
        <v>8.5</v>
      </c>
      <c r="E175" s="2">
        <v>8.5</v>
      </c>
      <c r="F175" s="2">
        <v>0</v>
      </c>
      <c r="G175" s="2">
        <v>2.9900000095367401</v>
      </c>
      <c r="H175" s="2">
        <v>0.10000000149011599</v>
      </c>
      <c r="I175" s="2">
        <v>5.4099998474121103</v>
      </c>
      <c r="J175" s="2">
        <v>0</v>
      </c>
      <c r="K175" s="3">
        <v>43</v>
      </c>
      <c r="L175" s="3">
        <v>5</v>
      </c>
      <c r="M175" s="3">
        <v>292</v>
      </c>
      <c r="N175" s="3">
        <v>1100</v>
      </c>
      <c r="O175" s="3">
        <v>2601</v>
      </c>
      <c r="P175" t="str">
        <f t="shared" si="4"/>
        <v>Wed</v>
      </c>
      <c r="Q175" t="str">
        <f t="shared" si="5"/>
        <v>Vey Active</v>
      </c>
    </row>
    <row r="176" spans="1:17">
      <c r="A176">
        <v>2022484408</v>
      </c>
      <c r="B176" s="1">
        <v>42493</v>
      </c>
      <c r="C176" s="3">
        <v>12183</v>
      </c>
      <c r="D176" s="2">
        <v>8.7399997711181605</v>
      </c>
      <c r="E176" s="2">
        <v>8.7399997711181605</v>
      </c>
      <c r="F176" s="2">
        <v>0</v>
      </c>
      <c r="G176" s="2">
        <v>3.9900000095367401</v>
      </c>
      <c r="H176" s="2">
        <v>0.46000000834464999</v>
      </c>
      <c r="I176" s="2">
        <v>4.2800002098083496</v>
      </c>
      <c r="J176" s="2">
        <v>0</v>
      </c>
      <c r="K176" s="3">
        <v>72</v>
      </c>
      <c r="L176" s="3">
        <v>14</v>
      </c>
      <c r="M176" s="3">
        <v>250</v>
      </c>
      <c r="N176" s="3">
        <v>1104</v>
      </c>
      <c r="O176" s="3">
        <v>2752</v>
      </c>
      <c r="P176" t="str">
        <f t="shared" si="4"/>
        <v>Tue</v>
      </c>
      <c r="Q176" t="str">
        <f t="shared" si="5"/>
        <v>Vey Active</v>
      </c>
    </row>
    <row r="177" spans="1:17">
      <c r="A177">
        <v>2022484408</v>
      </c>
      <c r="B177" s="1">
        <v>42481</v>
      </c>
      <c r="C177" s="3">
        <v>12453</v>
      </c>
      <c r="D177" s="2">
        <v>8.7399997711181605</v>
      </c>
      <c r="E177" s="2">
        <v>8.7399997711181605</v>
      </c>
      <c r="F177" s="2">
        <v>0</v>
      </c>
      <c r="G177" s="2">
        <v>3.3299999237060498</v>
      </c>
      <c r="H177" s="2">
        <v>1.1100000143051101</v>
      </c>
      <c r="I177" s="2">
        <v>4.3099999427795401</v>
      </c>
      <c r="J177" s="2">
        <v>0</v>
      </c>
      <c r="K177" s="3">
        <v>104</v>
      </c>
      <c r="L177" s="3">
        <v>53</v>
      </c>
      <c r="M177" s="3">
        <v>255</v>
      </c>
      <c r="N177" s="3">
        <v>1028</v>
      </c>
      <c r="O177" s="3">
        <v>3158</v>
      </c>
      <c r="P177" t="str">
        <f t="shared" si="4"/>
        <v>Thu</v>
      </c>
      <c r="Q177" t="str">
        <f t="shared" si="5"/>
        <v>Vey Active</v>
      </c>
    </row>
    <row r="178" spans="1:17">
      <c r="A178">
        <v>2022484408</v>
      </c>
      <c r="B178" s="1">
        <v>42500</v>
      </c>
      <c r="C178" s="3">
        <v>12798</v>
      </c>
      <c r="D178" s="2">
        <v>8.9799995422363299</v>
      </c>
      <c r="E178" s="2">
        <v>8.9799995422363299</v>
      </c>
      <c r="F178" s="2">
        <v>0</v>
      </c>
      <c r="G178" s="2">
        <v>2.2200000286102299</v>
      </c>
      <c r="H178" s="2">
        <v>1.21000003814697</v>
      </c>
      <c r="I178" s="2">
        <v>5.5599999427795401</v>
      </c>
      <c r="J178" s="2">
        <v>0</v>
      </c>
      <c r="K178" s="3">
        <v>57</v>
      </c>
      <c r="L178" s="3">
        <v>28</v>
      </c>
      <c r="M178" s="3">
        <v>271</v>
      </c>
      <c r="N178" s="3">
        <v>1084</v>
      </c>
      <c r="O178" s="3">
        <v>2797</v>
      </c>
      <c r="P178" t="str">
        <f t="shared" si="4"/>
        <v>Tue</v>
      </c>
      <c r="Q178" t="str">
        <f t="shared" si="5"/>
        <v>Vey Active</v>
      </c>
    </row>
    <row r="179" spans="1:17">
      <c r="A179">
        <v>2022484408</v>
      </c>
      <c r="B179" s="1">
        <v>42482</v>
      </c>
      <c r="C179" s="3">
        <v>12954</v>
      </c>
      <c r="D179" s="2">
        <v>9.3299999237060494</v>
      </c>
      <c r="E179" s="2">
        <v>9.3299999237060494</v>
      </c>
      <c r="F179" s="2">
        <v>0</v>
      </c>
      <c r="G179" s="2">
        <v>4.4299998283386204</v>
      </c>
      <c r="H179" s="2">
        <v>0.41999998688697798</v>
      </c>
      <c r="I179" s="2">
        <v>4.4699997901916504</v>
      </c>
      <c r="J179" s="2">
        <v>0</v>
      </c>
      <c r="K179" s="3">
        <v>52</v>
      </c>
      <c r="L179" s="3">
        <v>10</v>
      </c>
      <c r="M179" s="3">
        <v>273</v>
      </c>
      <c r="N179" s="3">
        <v>1105</v>
      </c>
      <c r="O179" s="3">
        <v>2638</v>
      </c>
      <c r="P179" t="str">
        <f t="shared" si="4"/>
        <v>Fri</v>
      </c>
      <c r="Q179" t="str">
        <f t="shared" si="5"/>
        <v>Vey Active</v>
      </c>
    </row>
    <row r="180" spans="1:17">
      <c r="A180">
        <v>2022484408</v>
      </c>
      <c r="B180" s="1">
        <v>42501</v>
      </c>
      <c r="C180" s="3">
        <v>13272</v>
      </c>
      <c r="D180" s="2">
        <v>9.3199996948242205</v>
      </c>
      <c r="E180" s="2">
        <v>9.3199996948242205</v>
      </c>
      <c r="F180" s="2">
        <v>0</v>
      </c>
      <c r="G180" s="2">
        <v>4.1799998283386204</v>
      </c>
      <c r="H180" s="2">
        <v>1.1499999761581401</v>
      </c>
      <c r="I180" s="2">
        <v>3.9900000095367401</v>
      </c>
      <c r="J180" s="2">
        <v>0</v>
      </c>
      <c r="K180" s="3">
        <v>58</v>
      </c>
      <c r="L180" s="3">
        <v>25</v>
      </c>
      <c r="M180" s="3">
        <v>224</v>
      </c>
      <c r="N180" s="3">
        <v>1133</v>
      </c>
      <c r="O180" s="3">
        <v>2544</v>
      </c>
      <c r="P180" t="str">
        <f t="shared" si="4"/>
        <v>Wed</v>
      </c>
      <c r="Q180" t="str">
        <f t="shared" si="5"/>
        <v>Vey Active</v>
      </c>
    </row>
    <row r="181" spans="1:17">
      <c r="A181">
        <v>2022484408</v>
      </c>
      <c r="B181" s="1">
        <v>42499</v>
      </c>
      <c r="C181" s="3">
        <v>13379</v>
      </c>
      <c r="D181" s="2">
        <v>9.3900003433227504</v>
      </c>
      <c r="E181" s="2">
        <v>9.3900003433227504</v>
      </c>
      <c r="F181" s="2">
        <v>0</v>
      </c>
      <c r="G181" s="2">
        <v>2.1199998855590798</v>
      </c>
      <c r="H181" s="2">
        <v>1.62999999523163</v>
      </c>
      <c r="I181" s="2">
        <v>5.6399998664856001</v>
      </c>
      <c r="J181" s="2">
        <v>0</v>
      </c>
      <c r="K181" s="3">
        <v>35</v>
      </c>
      <c r="L181" s="3">
        <v>47</v>
      </c>
      <c r="M181" s="3">
        <v>297</v>
      </c>
      <c r="N181" s="3">
        <v>1061</v>
      </c>
      <c r="O181" s="3">
        <v>2709</v>
      </c>
      <c r="P181" t="str">
        <f t="shared" si="4"/>
        <v>Mon</v>
      </c>
      <c r="Q181" t="str">
        <f t="shared" si="5"/>
        <v>Vey Active</v>
      </c>
    </row>
    <row r="182" spans="1:17">
      <c r="A182">
        <v>2022484408</v>
      </c>
      <c r="B182" s="1">
        <v>42484</v>
      </c>
      <c r="C182" s="3">
        <v>13481</v>
      </c>
      <c r="D182" s="2">
        <v>10.2799997329712</v>
      </c>
      <c r="E182" s="2">
        <v>10.2799997329712</v>
      </c>
      <c r="F182" s="2">
        <v>0</v>
      </c>
      <c r="G182" s="2">
        <v>4.5500001907348597</v>
      </c>
      <c r="H182" s="2">
        <v>1.1499999761581401</v>
      </c>
      <c r="I182" s="2">
        <v>4.5799999237060502</v>
      </c>
      <c r="J182" s="2">
        <v>0</v>
      </c>
      <c r="K182" s="3">
        <v>37</v>
      </c>
      <c r="L182" s="3">
        <v>26</v>
      </c>
      <c r="M182" s="3">
        <v>216</v>
      </c>
      <c r="N182" s="3">
        <v>1161</v>
      </c>
      <c r="O182" s="3">
        <v>2529</v>
      </c>
      <c r="P182" t="str">
        <f t="shared" si="4"/>
        <v>Sun</v>
      </c>
      <c r="Q182" t="str">
        <f t="shared" si="5"/>
        <v>Vey Active</v>
      </c>
    </row>
    <row r="183" spans="1:17">
      <c r="A183">
        <v>2022484408</v>
      </c>
      <c r="B183" s="1">
        <v>42478</v>
      </c>
      <c r="C183" s="3">
        <v>14131</v>
      </c>
      <c r="D183" s="2">
        <v>10.069999694824199</v>
      </c>
      <c r="E183" s="2">
        <v>10.069999694824199</v>
      </c>
      <c r="F183" s="2">
        <v>0</v>
      </c>
      <c r="G183" s="2">
        <v>3.6400001049041699</v>
      </c>
      <c r="H183" s="2">
        <v>0.119999997317791</v>
      </c>
      <c r="I183" s="2">
        <v>6.3000001907348597</v>
      </c>
      <c r="J183" s="2">
        <v>0</v>
      </c>
      <c r="K183" s="3">
        <v>48</v>
      </c>
      <c r="L183" s="3">
        <v>3</v>
      </c>
      <c r="M183" s="3">
        <v>311</v>
      </c>
      <c r="N183" s="3">
        <v>1078</v>
      </c>
      <c r="O183" s="3">
        <v>2770</v>
      </c>
      <c r="P183" t="str">
        <f t="shared" si="4"/>
        <v>Mon</v>
      </c>
      <c r="Q183" t="str">
        <f t="shared" si="5"/>
        <v>Vey Active</v>
      </c>
    </row>
    <row r="184" spans="1:17">
      <c r="A184">
        <v>2022484408</v>
      </c>
      <c r="B184" s="1">
        <v>42477</v>
      </c>
      <c r="C184" s="3">
        <v>15112</v>
      </c>
      <c r="D184" s="2">
        <v>11.3999996185303</v>
      </c>
      <c r="E184" s="2">
        <v>11.3999996185303</v>
      </c>
      <c r="F184" s="2">
        <v>0</v>
      </c>
      <c r="G184" s="2">
        <v>3.8699998855590798</v>
      </c>
      <c r="H184" s="2">
        <v>0.66000002622604403</v>
      </c>
      <c r="I184" s="2">
        <v>6.8800001144409197</v>
      </c>
      <c r="J184" s="2">
        <v>0</v>
      </c>
      <c r="K184" s="3">
        <v>28</v>
      </c>
      <c r="L184" s="3">
        <v>29</v>
      </c>
      <c r="M184" s="3">
        <v>331</v>
      </c>
      <c r="N184" s="3">
        <v>1052</v>
      </c>
      <c r="O184" s="3">
        <v>2782</v>
      </c>
      <c r="P184" t="str">
        <f t="shared" si="4"/>
        <v>Sun</v>
      </c>
      <c r="Q184" t="str">
        <f t="shared" si="5"/>
        <v>Vey Active</v>
      </c>
    </row>
    <row r="185" spans="1:17">
      <c r="A185">
        <v>2022484408</v>
      </c>
      <c r="B185" s="1">
        <v>42480</v>
      </c>
      <c r="C185" s="3">
        <v>15112</v>
      </c>
      <c r="D185" s="2">
        <v>10.670000076293899</v>
      </c>
      <c r="E185" s="2">
        <v>10.670000076293899</v>
      </c>
      <c r="F185" s="2">
        <v>0</v>
      </c>
      <c r="G185" s="2">
        <v>3.3399999141693102</v>
      </c>
      <c r="H185" s="2">
        <v>1.9299999475479099</v>
      </c>
      <c r="I185" s="2">
        <v>5.4000000953674299</v>
      </c>
      <c r="J185" s="2">
        <v>0</v>
      </c>
      <c r="K185" s="3">
        <v>48</v>
      </c>
      <c r="L185" s="3">
        <v>63</v>
      </c>
      <c r="M185" s="3">
        <v>276</v>
      </c>
      <c r="N185" s="3">
        <v>1053</v>
      </c>
      <c r="O185" s="3">
        <v>2897</v>
      </c>
      <c r="P185" t="str">
        <f t="shared" si="4"/>
        <v>Wed</v>
      </c>
      <c r="Q185" t="str">
        <f t="shared" si="5"/>
        <v>Vey Active</v>
      </c>
    </row>
    <row r="186" spans="1:17">
      <c r="A186">
        <v>2022484408</v>
      </c>
      <c r="B186" s="1">
        <v>42490</v>
      </c>
      <c r="C186" s="3">
        <v>18387</v>
      </c>
      <c r="D186" s="2">
        <v>12.9099998474121</v>
      </c>
      <c r="E186" s="2">
        <v>12.9099998474121</v>
      </c>
      <c r="F186" s="2">
        <v>0</v>
      </c>
      <c r="G186" s="2">
        <v>0.93999999761581399</v>
      </c>
      <c r="H186" s="2">
        <v>1.3999999761581401</v>
      </c>
      <c r="I186" s="2">
        <v>10.569999694824199</v>
      </c>
      <c r="J186" s="2">
        <v>0</v>
      </c>
      <c r="K186" s="3">
        <v>13</v>
      </c>
      <c r="L186" s="3">
        <v>23</v>
      </c>
      <c r="M186" s="3">
        <v>361</v>
      </c>
      <c r="N186" s="3">
        <v>1043</v>
      </c>
      <c r="O186" s="3">
        <v>2732</v>
      </c>
      <c r="P186" t="str">
        <f t="shared" si="4"/>
        <v>Sat</v>
      </c>
      <c r="Q186" t="str">
        <f t="shared" si="5"/>
        <v>Vey Active</v>
      </c>
    </row>
    <row r="187" spans="1:17">
      <c r="A187">
        <v>2026352035</v>
      </c>
      <c r="B187" s="1">
        <v>42500</v>
      </c>
      <c r="C187" s="3">
        <v>254</v>
      </c>
      <c r="D187" s="2">
        <v>0.15999999642372101</v>
      </c>
      <c r="E187" s="2">
        <v>0.15999999642372101</v>
      </c>
      <c r="F187" s="2">
        <v>0</v>
      </c>
      <c r="G187" s="2">
        <v>0</v>
      </c>
      <c r="H187" s="2">
        <v>0</v>
      </c>
      <c r="I187" s="2">
        <v>0.15999999642372101</v>
      </c>
      <c r="J187" s="2">
        <v>0</v>
      </c>
      <c r="K187" s="3">
        <v>0</v>
      </c>
      <c r="L187" s="3">
        <v>0</v>
      </c>
      <c r="M187" s="3">
        <v>17</v>
      </c>
      <c r="N187" s="3">
        <v>1002</v>
      </c>
      <c r="O187" s="3">
        <v>1141</v>
      </c>
      <c r="P187" t="str">
        <f t="shared" si="4"/>
        <v>Tue</v>
      </c>
      <c r="Q187" t="str">
        <f t="shared" si="5"/>
        <v>Sedentary</v>
      </c>
    </row>
    <row r="188" spans="1:17">
      <c r="A188">
        <v>2026352035</v>
      </c>
      <c r="B188" s="1">
        <v>42477</v>
      </c>
      <c r="C188" s="3">
        <v>838</v>
      </c>
      <c r="D188" s="2">
        <v>0.519999980926514</v>
      </c>
      <c r="E188" s="2">
        <v>0.519999980926514</v>
      </c>
      <c r="F188" s="2">
        <v>0</v>
      </c>
      <c r="G188" s="2">
        <v>0</v>
      </c>
      <c r="H188" s="2">
        <v>0</v>
      </c>
      <c r="I188" s="2">
        <v>0.519999980926514</v>
      </c>
      <c r="J188" s="2">
        <v>0</v>
      </c>
      <c r="K188" s="3">
        <v>0</v>
      </c>
      <c r="L188" s="3">
        <v>0</v>
      </c>
      <c r="M188" s="3">
        <v>60</v>
      </c>
      <c r="N188" s="3">
        <v>1053</v>
      </c>
      <c r="O188" s="3">
        <v>1214</v>
      </c>
      <c r="P188" t="str">
        <f t="shared" si="4"/>
        <v>Sun</v>
      </c>
      <c r="Q188" t="str">
        <f t="shared" si="5"/>
        <v>Sedentary</v>
      </c>
    </row>
    <row r="189" spans="1:17">
      <c r="A189">
        <v>2026352035</v>
      </c>
      <c r="B189" s="1">
        <v>42479</v>
      </c>
      <c r="C189" s="3">
        <v>2424</v>
      </c>
      <c r="D189" s="2">
        <v>1.5</v>
      </c>
      <c r="E189" s="2">
        <v>1.5</v>
      </c>
      <c r="F189" s="2">
        <v>0</v>
      </c>
      <c r="G189" s="2">
        <v>0</v>
      </c>
      <c r="H189" s="2">
        <v>0</v>
      </c>
      <c r="I189" s="2">
        <v>1.5</v>
      </c>
      <c r="J189" s="2">
        <v>0</v>
      </c>
      <c r="K189" s="3">
        <v>0</v>
      </c>
      <c r="L189" s="3">
        <v>0</v>
      </c>
      <c r="M189" s="3">
        <v>141</v>
      </c>
      <c r="N189" s="3">
        <v>785</v>
      </c>
      <c r="O189" s="3">
        <v>1356</v>
      </c>
      <c r="P189" t="str">
        <f t="shared" si="4"/>
        <v>Tue</v>
      </c>
      <c r="Q189" t="str">
        <f t="shared" si="5"/>
        <v>Sedentary</v>
      </c>
    </row>
    <row r="190" spans="1:17">
      <c r="A190">
        <v>2026352035</v>
      </c>
      <c r="B190" s="1">
        <v>42481</v>
      </c>
      <c r="C190" s="3">
        <v>2467</v>
      </c>
      <c r="D190" s="2">
        <v>1.5299999713897701</v>
      </c>
      <c r="E190" s="2">
        <v>1.5299999713897701</v>
      </c>
      <c r="F190" s="2">
        <v>0</v>
      </c>
      <c r="G190" s="2">
        <v>0</v>
      </c>
      <c r="H190" s="2">
        <v>0</v>
      </c>
      <c r="I190" s="2">
        <v>1.5299999713897701</v>
      </c>
      <c r="J190" s="2">
        <v>0</v>
      </c>
      <c r="K190" s="3">
        <v>0</v>
      </c>
      <c r="L190" s="3">
        <v>0</v>
      </c>
      <c r="M190" s="3">
        <v>153</v>
      </c>
      <c r="N190" s="3">
        <v>749</v>
      </c>
      <c r="O190" s="3">
        <v>1370</v>
      </c>
      <c r="P190" t="str">
        <f t="shared" si="4"/>
        <v>Thu</v>
      </c>
      <c r="Q190" t="str">
        <f t="shared" si="5"/>
        <v>Sedentary</v>
      </c>
    </row>
    <row r="191" spans="1:17">
      <c r="A191">
        <v>2026352035</v>
      </c>
      <c r="B191" s="1">
        <v>42476</v>
      </c>
      <c r="C191" s="3">
        <v>2547</v>
      </c>
      <c r="D191" s="2">
        <v>1.58000004291534</v>
      </c>
      <c r="E191" s="2">
        <v>1.58000004291534</v>
      </c>
      <c r="F191" s="2">
        <v>0</v>
      </c>
      <c r="G191" s="2">
        <v>0</v>
      </c>
      <c r="H191" s="2">
        <v>0</v>
      </c>
      <c r="I191" s="2">
        <v>1.58000004291534</v>
      </c>
      <c r="J191" s="2">
        <v>0</v>
      </c>
      <c r="K191" s="3">
        <v>0</v>
      </c>
      <c r="L191" s="3">
        <v>0</v>
      </c>
      <c r="M191" s="3">
        <v>150</v>
      </c>
      <c r="N191" s="3">
        <v>728</v>
      </c>
      <c r="O191" s="3">
        <v>1373</v>
      </c>
      <c r="P191" t="str">
        <f t="shared" si="4"/>
        <v>Sat</v>
      </c>
      <c r="Q191" t="str">
        <f t="shared" si="5"/>
        <v>Sedentary</v>
      </c>
    </row>
    <row r="192" spans="1:17">
      <c r="A192">
        <v>2026352035</v>
      </c>
      <c r="B192" s="1">
        <v>42482</v>
      </c>
      <c r="C192" s="3">
        <v>2915</v>
      </c>
      <c r="D192" s="2">
        <v>1.8099999427795399</v>
      </c>
      <c r="E192" s="2">
        <v>1.8099999427795399</v>
      </c>
      <c r="F192" s="2">
        <v>0</v>
      </c>
      <c r="G192" s="2">
        <v>0</v>
      </c>
      <c r="H192" s="2">
        <v>0</v>
      </c>
      <c r="I192" s="2">
        <v>1.8099999427795399</v>
      </c>
      <c r="J192" s="2">
        <v>0</v>
      </c>
      <c r="K192" s="3">
        <v>0</v>
      </c>
      <c r="L192" s="3">
        <v>0</v>
      </c>
      <c r="M192" s="3">
        <v>162</v>
      </c>
      <c r="N192" s="3">
        <v>712</v>
      </c>
      <c r="O192" s="3">
        <v>1399</v>
      </c>
      <c r="P192" t="str">
        <f t="shared" si="4"/>
        <v>Fri</v>
      </c>
      <c r="Q192" t="str">
        <f t="shared" si="5"/>
        <v>Sedentary</v>
      </c>
    </row>
    <row r="193" spans="1:17">
      <c r="A193">
        <v>2026352035</v>
      </c>
      <c r="B193" s="1">
        <v>42478</v>
      </c>
      <c r="C193" s="3">
        <v>3325</v>
      </c>
      <c r="D193" s="2">
        <v>2.0599999427795401</v>
      </c>
      <c r="E193" s="2">
        <v>2.0599999427795401</v>
      </c>
      <c r="F193" s="2">
        <v>0</v>
      </c>
      <c r="G193" s="2">
        <v>0</v>
      </c>
      <c r="H193" s="2">
        <v>0</v>
      </c>
      <c r="I193" s="2">
        <v>2.0599999427795401</v>
      </c>
      <c r="J193" s="2">
        <v>0</v>
      </c>
      <c r="K193" s="3">
        <v>0</v>
      </c>
      <c r="L193" s="3">
        <v>0</v>
      </c>
      <c r="M193" s="3">
        <v>182</v>
      </c>
      <c r="N193" s="3">
        <v>1062</v>
      </c>
      <c r="O193" s="3">
        <v>1419</v>
      </c>
      <c r="P193" t="str">
        <f t="shared" si="4"/>
        <v>Mon</v>
      </c>
      <c r="Q193" t="str">
        <f t="shared" si="5"/>
        <v>Sedentary</v>
      </c>
    </row>
    <row r="194" spans="1:17">
      <c r="A194">
        <v>2026352035</v>
      </c>
      <c r="B194" s="1">
        <v>42474</v>
      </c>
      <c r="C194" s="3">
        <v>3335</v>
      </c>
      <c r="D194" s="2">
        <v>2.0699999332428001</v>
      </c>
      <c r="E194" s="2">
        <v>2.0699999332428001</v>
      </c>
      <c r="F194" s="2">
        <v>0</v>
      </c>
      <c r="G194" s="2">
        <v>0</v>
      </c>
      <c r="H194" s="2">
        <v>0</v>
      </c>
      <c r="I194" s="2">
        <v>2.0499999523162802</v>
      </c>
      <c r="J194" s="2">
        <v>0</v>
      </c>
      <c r="K194" s="3">
        <v>0</v>
      </c>
      <c r="L194" s="3">
        <v>0</v>
      </c>
      <c r="M194" s="3">
        <v>197</v>
      </c>
      <c r="N194" s="3">
        <v>653</v>
      </c>
      <c r="O194" s="3">
        <v>1431</v>
      </c>
      <c r="P194" t="str">
        <f t="shared" ref="P194:P257" si="6">TEXT(B194, "ddd")</f>
        <v>Thu</v>
      </c>
      <c r="Q194" t="str">
        <f t="shared" ref="Q194:Q257" si="7">IF(C194&lt;5000, "Sedentary", IF(C194&lt;7500, "Lightly Active",IF(C194&lt;10000, "Fairly Active", "Vey Active")))</f>
        <v>Sedentary</v>
      </c>
    </row>
    <row r="195" spans="1:17">
      <c r="A195">
        <v>2026352035</v>
      </c>
      <c r="B195" s="1">
        <v>42484</v>
      </c>
      <c r="C195" s="3">
        <v>3490</v>
      </c>
      <c r="D195" s="2">
        <v>2.1600000858306898</v>
      </c>
      <c r="E195" s="2">
        <v>2.1600000858306898</v>
      </c>
      <c r="F195" s="2">
        <v>0</v>
      </c>
      <c r="G195" s="2">
        <v>0</v>
      </c>
      <c r="H195" s="2">
        <v>0</v>
      </c>
      <c r="I195" s="2">
        <v>2.1600000858306898</v>
      </c>
      <c r="J195" s="2">
        <v>0</v>
      </c>
      <c r="K195" s="3">
        <v>0</v>
      </c>
      <c r="L195" s="3">
        <v>0</v>
      </c>
      <c r="M195" s="3">
        <v>164</v>
      </c>
      <c r="N195" s="3">
        <v>704</v>
      </c>
      <c r="O195" s="3">
        <v>1401</v>
      </c>
      <c r="P195" t="str">
        <f t="shared" si="6"/>
        <v>Sun</v>
      </c>
      <c r="Q195" t="str">
        <f t="shared" si="7"/>
        <v>Sedentary</v>
      </c>
    </row>
    <row r="196" spans="1:17">
      <c r="A196">
        <v>2026352035</v>
      </c>
      <c r="B196" s="1">
        <v>42491</v>
      </c>
      <c r="C196" s="3">
        <v>3609</v>
      </c>
      <c r="D196" s="2">
        <v>2.2799999713897701</v>
      </c>
      <c r="E196" s="2">
        <v>2.2799999713897701</v>
      </c>
      <c r="F196" s="2">
        <v>0</v>
      </c>
      <c r="G196" s="2">
        <v>0</v>
      </c>
      <c r="H196" s="2">
        <v>0</v>
      </c>
      <c r="I196" s="2">
        <v>2.2799999713897701</v>
      </c>
      <c r="J196" s="2">
        <v>0</v>
      </c>
      <c r="K196" s="3">
        <v>0</v>
      </c>
      <c r="L196" s="3">
        <v>0</v>
      </c>
      <c r="M196" s="3">
        <v>191</v>
      </c>
      <c r="N196" s="3">
        <v>716</v>
      </c>
      <c r="O196" s="3">
        <v>1447</v>
      </c>
      <c r="P196" t="str">
        <f t="shared" si="6"/>
        <v>Sun</v>
      </c>
      <c r="Q196" t="str">
        <f t="shared" si="7"/>
        <v>Sedentary</v>
      </c>
    </row>
    <row r="197" spans="1:17">
      <c r="A197">
        <v>2026352035</v>
      </c>
      <c r="B197" s="1">
        <v>42475</v>
      </c>
      <c r="C197" s="3">
        <v>3821</v>
      </c>
      <c r="D197" s="2">
        <v>2.3699998855590798</v>
      </c>
      <c r="E197" s="2">
        <v>2.3699998855590798</v>
      </c>
      <c r="F197" s="2">
        <v>0</v>
      </c>
      <c r="G197" s="2">
        <v>0</v>
      </c>
      <c r="H197" s="2">
        <v>0</v>
      </c>
      <c r="I197" s="2">
        <v>2.3699998855590798</v>
      </c>
      <c r="J197" s="2">
        <v>0</v>
      </c>
      <c r="K197" s="3">
        <v>0</v>
      </c>
      <c r="L197" s="3">
        <v>0</v>
      </c>
      <c r="M197" s="3">
        <v>188</v>
      </c>
      <c r="N197" s="3">
        <v>687</v>
      </c>
      <c r="O197" s="3">
        <v>1444</v>
      </c>
      <c r="P197" t="str">
        <f t="shared" si="6"/>
        <v>Fri</v>
      </c>
      <c r="Q197" t="str">
        <f t="shared" si="7"/>
        <v>Sedentary</v>
      </c>
    </row>
    <row r="198" spans="1:17">
      <c r="A198">
        <v>2026352035</v>
      </c>
      <c r="B198" s="1">
        <v>42497</v>
      </c>
      <c r="C198" s="3">
        <v>4193</v>
      </c>
      <c r="D198" s="2">
        <v>2.5999999046325701</v>
      </c>
      <c r="E198" s="2">
        <v>2.5999999046325701</v>
      </c>
      <c r="F198" s="2">
        <v>0</v>
      </c>
      <c r="G198" s="2">
        <v>0</v>
      </c>
      <c r="H198" s="2">
        <v>0</v>
      </c>
      <c r="I198" s="2">
        <v>2.5999999046325701</v>
      </c>
      <c r="J198" s="2">
        <v>0</v>
      </c>
      <c r="K198" s="3">
        <v>0</v>
      </c>
      <c r="L198" s="3">
        <v>0</v>
      </c>
      <c r="M198" s="3">
        <v>229</v>
      </c>
      <c r="N198" s="3">
        <v>665</v>
      </c>
      <c r="O198" s="3">
        <v>1491</v>
      </c>
      <c r="P198" t="str">
        <f t="shared" si="6"/>
        <v>Sat</v>
      </c>
      <c r="Q198" t="str">
        <f t="shared" si="7"/>
        <v>Sedentary</v>
      </c>
    </row>
    <row r="199" spans="1:17">
      <c r="A199">
        <v>2026352035</v>
      </c>
      <c r="B199" s="1">
        <v>42472</v>
      </c>
      <c r="C199" s="3">
        <v>4414</v>
      </c>
      <c r="D199" s="2">
        <v>2.7400000095367401</v>
      </c>
      <c r="E199" s="2">
        <v>2.7400000095367401</v>
      </c>
      <c r="F199" s="2">
        <v>0</v>
      </c>
      <c r="G199" s="2">
        <v>0.18999999761581399</v>
      </c>
      <c r="H199" s="2">
        <v>0.34999999403953602</v>
      </c>
      <c r="I199" s="2">
        <v>2.2000000476837198</v>
      </c>
      <c r="J199" s="2">
        <v>0</v>
      </c>
      <c r="K199" s="3">
        <v>3</v>
      </c>
      <c r="L199" s="3">
        <v>8</v>
      </c>
      <c r="M199" s="3">
        <v>181</v>
      </c>
      <c r="N199" s="3">
        <v>706</v>
      </c>
      <c r="O199" s="3">
        <v>1459</v>
      </c>
      <c r="P199" t="str">
        <f t="shared" si="6"/>
        <v>Tue</v>
      </c>
      <c r="Q199" t="str">
        <f t="shared" si="7"/>
        <v>Sedentary</v>
      </c>
    </row>
    <row r="200" spans="1:17">
      <c r="A200">
        <v>2026352035</v>
      </c>
      <c r="B200" s="1">
        <v>42490</v>
      </c>
      <c r="C200" s="3">
        <v>4729</v>
      </c>
      <c r="D200" s="2">
        <v>2.9300000667571999</v>
      </c>
      <c r="E200" s="2">
        <v>2.9300000667571999</v>
      </c>
      <c r="F200" s="2">
        <v>0</v>
      </c>
      <c r="G200" s="2">
        <v>0</v>
      </c>
      <c r="H200" s="2">
        <v>0</v>
      </c>
      <c r="I200" s="2">
        <v>2.9300000667571999</v>
      </c>
      <c r="J200" s="2">
        <v>0</v>
      </c>
      <c r="K200" s="3">
        <v>0</v>
      </c>
      <c r="L200" s="3">
        <v>0</v>
      </c>
      <c r="M200" s="3">
        <v>233</v>
      </c>
      <c r="N200" s="3">
        <v>594</v>
      </c>
      <c r="O200" s="3">
        <v>1506</v>
      </c>
      <c r="P200" t="str">
        <f t="shared" si="6"/>
        <v>Sat</v>
      </c>
      <c r="Q200" t="str">
        <f t="shared" si="7"/>
        <v>Sedentary</v>
      </c>
    </row>
    <row r="201" spans="1:17">
      <c r="A201">
        <v>2026352035</v>
      </c>
      <c r="B201" s="1">
        <v>42473</v>
      </c>
      <c r="C201" s="3">
        <v>4993</v>
      </c>
      <c r="D201" s="2">
        <v>3.0999999046325701</v>
      </c>
      <c r="E201" s="2">
        <v>3.0999999046325701</v>
      </c>
      <c r="F201" s="2">
        <v>0</v>
      </c>
      <c r="G201" s="2">
        <v>0</v>
      </c>
      <c r="H201" s="2">
        <v>0</v>
      </c>
      <c r="I201" s="2">
        <v>3.0999999046325701</v>
      </c>
      <c r="J201" s="2">
        <v>0</v>
      </c>
      <c r="K201" s="3">
        <v>0</v>
      </c>
      <c r="L201" s="3">
        <v>0</v>
      </c>
      <c r="M201" s="3">
        <v>238</v>
      </c>
      <c r="N201" s="3">
        <v>663</v>
      </c>
      <c r="O201" s="3">
        <v>1521</v>
      </c>
      <c r="P201" t="str">
        <f t="shared" si="6"/>
        <v>Wed</v>
      </c>
      <c r="Q201" t="str">
        <f t="shared" si="7"/>
        <v>Sedentary</v>
      </c>
    </row>
    <row r="202" spans="1:17">
      <c r="A202">
        <v>2026352035</v>
      </c>
      <c r="B202" s="1">
        <v>42498</v>
      </c>
      <c r="C202" s="3">
        <v>5528</v>
      </c>
      <c r="D202" s="2">
        <v>3.4500000476837198</v>
      </c>
      <c r="E202" s="2">
        <v>3.4500000476837198</v>
      </c>
      <c r="F202" s="2">
        <v>0</v>
      </c>
      <c r="G202" s="2">
        <v>0</v>
      </c>
      <c r="H202" s="2">
        <v>0</v>
      </c>
      <c r="I202" s="2">
        <v>3.4500000476837198</v>
      </c>
      <c r="J202" s="2">
        <v>0</v>
      </c>
      <c r="K202" s="3">
        <v>0</v>
      </c>
      <c r="L202" s="3">
        <v>0</v>
      </c>
      <c r="M202" s="3">
        <v>258</v>
      </c>
      <c r="N202" s="3">
        <v>610</v>
      </c>
      <c r="O202" s="3">
        <v>1555</v>
      </c>
      <c r="P202" t="str">
        <f t="shared" si="6"/>
        <v>Sun</v>
      </c>
      <c r="Q202" t="str">
        <f t="shared" si="7"/>
        <v>Lightly Active</v>
      </c>
    </row>
    <row r="203" spans="1:17">
      <c r="A203">
        <v>2026352035</v>
      </c>
      <c r="B203" s="1">
        <v>42486</v>
      </c>
      <c r="C203" s="3">
        <v>5933</v>
      </c>
      <c r="D203" s="2">
        <v>3.6800000667571999</v>
      </c>
      <c r="E203" s="2">
        <v>3.6800000667571999</v>
      </c>
      <c r="F203" s="2">
        <v>0</v>
      </c>
      <c r="G203" s="2">
        <v>0</v>
      </c>
      <c r="H203" s="2">
        <v>0</v>
      </c>
      <c r="I203" s="2">
        <v>3.6800000667571999</v>
      </c>
      <c r="J203" s="2">
        <v>0</v>
      </c>
      <c r="K203" s="3">
        <v>0</v>
      </c>
      <c r="L203" s="3">
        <v>0</v>
      </c>
      <c r="M203" s="3">
        <v>288</v>
      </c>
      <c r="N203" s="3">
        <v>1018</v>
      </c>
      <c r="O203" s="3">
        <v>1595</v>
      </c>
      <c r="P203" t="str">
        <f t="shared" si="6"/>
        <v>Tue</v>
      </c>
      <c r="Q203" t="str">
        <f t="shared" si="7"/>
        <v>Lightly Active</v>
      </c>
    </row>
    <row r="204" spans="1:17">
      <c r="A204">
        <v>2026352035</v>
      </c>
      <c r="B204" s="1">
        <v>42493</v>
      </c>
      <c r="C204" s="3">
        <v>5992</v>
      </c>
      <c r="D204" s="2">
        <v>3.7200000286102299</v>
      </c>
      <c r="E204" s="2">
        <v>3.7200000286102299</v>
      </c>
      <c r="F204" s="2">
        <v>0</v>
      </c>
      <c r="G204" s="2">
        <v>0</v>
      </c>
      <c r="H204" s="2">
        <v>0</v>
      </c>
      <c r="I204" s="2">
        <v>3.7200000286102299</v>
      </c>
      <c r="J204" s="2">
        <v>0</v>
      </c>
      <c r="K204" s="3">
        <v>0</v>
      </c>
      <c r="L204" s="3">
        <v>0</v>
      </c>
      <c r="M204" s="3">
        <v>304</v>
      </c>
      <c r="N204" s="3">
        <v>981</v>
      </c>
      <c r="O204" s="3">
        <v>1604</v>
      </c>
      <c r="P204" t="str">
        <f t="shared" si="6"/>
        <v>Tue</v>
      </c>
      <c r="Q204" t="str">
        <f t="shared" si="7"/>
        <v>Lightly Active</v>
      </c>
    </row>
    <row r="205" spans="1:17">
      <c r="A205">
        <v>2026352035</v>
      </c>
      <c r="B205" s="1">
        <v>42485</v>
      </c>
      <c r="C205" s="3">
        <v>6017</v>
      </c>
      <c r="D205" s="2">
        <v>3.7300000190734899</v>
      </c>
      <c r="E205" s="2">
        <v>3.7300000190734899</v>
      </c>
      <c r="F205" s="2">
        <v>0</v>
      </c>
      <c r="G205" s="2">
        <v>0</v>
      </c>
      <c r="H205" s="2">
        <v>0</v>
      </c>
      <c r="I205" s="2">
        <v>3.7300000190734899</v>
      </c>
      <c r="J205" s="2">
        <v>0</v>
      </c>
      <c r="K205" s="3">
        <v>0</v>
      </c>
      <c r="L205" s="3">
        <v>0</v>
      </c>
      <c r="M205" s="3">
        <v>260</v>
      </c>
      <c r="N205" s="3">
        <v>821</v>
      </c>
      <c r="O205" s="3">
        <v>1576</v>
      </c>
      <c r="P205" t="str">
        <f t="shared" si="6"/>
        <v>Mon</v>
      </c>
      <c r="Q205" t="str">
        <f t="shared" si="7"/>
        <v>Lightly Active</v>
      </c>
    </row>
    <row r="206" spans="1:17">
      <c r="A206">
        <v>2026352035</v>
      </c>
      <c r="B206" s="1">
        <v>42487</v>
      </c>
      <c r="C206" s="3">
        <v>6088</v>
      </c>
      <c r="D206" s="2">
        <v>3.7699999809265101</v>
      </c>
      <c r="E206" s="2">
        <v>3.7699999809265101</v>
      </c>
      <c r="F206" s="2">
        <v>0</v>
      </c>
      <c r="G206" s="2">
        <v>0</v>
      </c>
      <c r="H206" s="2">
        <v>0</v>
      </c>
      <c r="I206" s="2">
        <v>3.7699999809265101</v>
      </c>
      <c r="J206" s="2">
        <v>0</v>
      </c>
      <c r="K206" s="3">
        <v>0</v>
      </c>
      <c r="L206" s="3">
        <v>0</v>
      </c>
      <c r="M206" s="3">
        <v>286</v>
      </c>
      <c r="N206" s="3">
        <v>586</v>
      </c>
      <c r="O206" s="3">
        <v>1593</v>
      </c>
      <c r="P206" t="str">
        <f t="shared" si="6"/>
        <v>Wed</v>
      </c>
      <c r="Q206" t="str">
        <f t="shared" si="7"/>
        <v>Lightly Active</v>
      </c>
    </row>
    <row r="207" spans="1:17">
      <c r="A207">
        <v>2026352035</v>
      </c>
      <c r="B207" s="1">
        <v>42488</v>
      </c>
      <c r="C207" s="3">
        <v>6375</v>
      </c>
      <c r="D207" s="2">
        <v>3.9500000476837198</v>
      </c>
      <c r="E207" s="2">
        <v>3.9500000476837198</v>
      </c>
      <c r="F207" s="2">
        <v>0</v>
      </c>
      <c r="G207" s="2">
        <v>0</v>
      </c>
      <c r="H207" s="2">
        <v>0</v>
      </c>
      <c r="I207" s="2">
        <v>3.9500000476837198</v>
      </c>
      <c r="J207" s="2">
        <v>0</v>
      </c>
      <c r="K207" s="3">
        <v>0</v>
      </c>
      <c r="L207" s="3">
        <v>0</v>
      </c>
      <c r="M207" s="3">
        <v>331</v>
      </c>
      <c r="N207" s="3">
        <v>626</v>
      </c>
      <c r="O207" s="3">
        <v>1649</v>
      </c>
      <c r="P207" t="str">
        <f t="shared" si="6"/>
        <v>Thu</v>
      </c>
      <c r="Q207" t="str">
        <f t="shared" si="7"/>
        <v>Lightly Active</v>
      </c>
    </row>
    <row r="208" spans="1:17">
      <c r="A208">
        <v>2026352035</v>
      </c>
      <c r="B208" s="1">
        <v>42494</v>
      </c>
      <c r="C208" s="3">
        <v>6564</v>
      </c>
      <c r="D208" s="2">
        <v>4.0700001716613796</v>
      </c>
      <c r="E208" s="2">
        <v>4.0700001716613796</v>
      </c>
      <c r="F208" s="2">
        <v>0</v>
      </c>
      <c r="G208" s="2">
        <v>0</v>
      </c>
      <c r="H208" s="2">
        <v>0</v>
      </c>
      <c r="I208" s="2">
        <v>4.0700001716613796</v>
      </c>
      <c r="J208" s="2">
        <v>0</v>
      </c>
      <c r="K208" s="3">
        <v>0</v>
      </c>
      <c r="L208" s="3">
        <v>0</v>
      </c>
      <c r="M208" s="3">
        <v>345</v>
      </c>
      <c r="N208" s="3">
        <v>530</v>
      </c>
      <c r="O208" s="3">
        <v>1658</v>
      </c>
      <c r="P208" t="str">
        <f t="shared" si="6"/>
        <v>Wed</v>
      </c>
      <c r="Q208" t="str">
        <f t="shared" si="7"/>
        <v>Lightly Active</v>
      </c>
    </row>
    <row r="209" spans="1:17">
      <c r="A209">
        <v>2026352035</v>
      </c>
      <c r="B209" s="1">
        <v>42492</v>
      </c>
      <c r="C209" s="3">
        <v>7018</v>
      </c>
      <c r="D209" s="2">
        <v>4.3499999046325701</v>
      </c>
      <c r="E209" s="2">
        <v>4.3499999046325701</v>
      </c>
      <c r="F209" s="2">
        <v>0</v>
      </c>
      <c r="G209" s="2">
        <v>0</v>
      </c>
      <c r="H209" s="2">
        <v>0</v>
      </c>
      <c r="I209" s="2">
        <v>4.3499999046325701</v>
      </c>
      <c r="J209" s="2">
        <v>0</v>
      </c>
      <c r="K209" s="3">
        <v>0</v>
      </c>
      <c r="L209" s="3">
        <v>0</v>
      </c>
      <c r="M209" s="3">
        <v>355</v>
      </c>
      <c r="N209" s="3">
        <v>716</v>
      </c>
      <c r="O209" s="3">
        <v>1690</v>
      </c>
      <c r="P209" t="str">
        <f t="shared" si="6"/>
        <v>Mon</v>
      </c>
      <c r="Q209" t="str">
        <f t="shared" si="7"/>
        <v>Lightly Active</v>
      </c>
    </row>
    <row r="210" spans="1:17">
      <c r="A210">
        <v>2026352035</v>
      </c>
      <c r="B210" s="1">
        <v>42480</v>
      </c>
      <c r="C210" s="3">
        <v>7222</v>
      </c>
      <c r="D210" s="2">
        <v>4.4800000190734899</v>
      </c>
      <c r="E210" s="2">
        <v>4.4800000190734899</v>
      </c>
      <c r="F210" s="2">
        <v>0</v>
      </c>
      <c r="G210" s="2">
        <v>0</v>
      </c>
      <c r="H210" s="2">
        <v>0</v>
      </c>
      <c r="I210" s="2">
        <v>4.4800000190734899</v>
      </c>
      <c r="J210" s="2">
        <v>0</v>
      </c>
      <c r="K210" s="3">
        <v>0</v>
      </c>
      <c r="L210" s="3">
        <v>0</v>
      </c>
      <c r="M210" s="3">
        <v>327</v>
      </c>
      <c r="N210" s="3">
        <v>623</v>
      </c>
      <c r="O210" s="3">
        <v>1667</v>
      </c>
      <c r="P210" t="str">
        <f t="shared" si="6"/>
        <v>Wed</v>
      </c>
      <c r="Q210" t="str">
        <f t="shared" si="7"/>
        <v>Lightly Active</v>
      </c>
    </row>
    <row r="211" spans="1:17">
      <c r="A211">
        <v>2026352035</v>
      </c>
      <c r="B211" s="1">
        <v>42489</v>
      </c>
      <c r="C211" s="3">
        <v>7604</v>
      </c>
      <c r="D211" s="2">
        <v>4.71000003814697</v>
      </c>
      <c r="E211" s="2">
        <v>4.71000003814697</v>
      </c>
      <c r="F211" s="2">
        <v>0</v>
      </c>
      <c r="G211" s="2">
        <v>0</v>
      </c>
      <c r="H211" s="2">
        <v>0</v>
      </c>
      <c r="I211" s="2">
        <v>4.71000003814697</v>
      </c>
      <c r="J211" s="2">
        <v>0</v>
      </c>
      <c r="K211" s="3">
        <v>0</v>
      </c>
      <c r="L211" s="3">
        <v>0</v>
      </c>
      <c r="M211" s="3">
        <v>352</v>
      </c>
      <c r="N211" s="3">
        <v>492</v>
      </c>
      <c r="O211" s="3">
        <v>1692</v>
      </c>
      <c r="P211" t="str">
        <f t="shared" si="6"/>
        <v>Fri</v>
      </c>
      <c r="Q211" t="str">
        <f t="shared" si="7"/>
        <v>Fairly Active</v>
      </c>
    </row>
    <row r="212" spans="1:17">
      <c r="A212">
        <v>2026352035</v>
      </c>
      <c r="B212" s="1">
        <v>42496</v>
      </c>
      <c r="C212" s="3">
        <v>8198</v>
      </c>
      <c r="D212" s="2">
        <v>5.0799999237060502</v>
      </c>
      <c r="E212" s="2">
        <v>5.0799999237060502</v>
      </c>
      <c r="F212" s="2">
        <v>0</v>
      </c>
      <c r="G212" s="2">
        <v>0</v>
      </c>
      <c r="H212" s="2">
        <v>0</v>
      </c>
      <c r="I212" s="2">
        <v>5.0799999237060502</v>
      </c>
      <c r="J212" s="2">
        <v>0</v>
      </c>
      <c r="K212" s="3">
        <v>0</v>
      </c>
      <c r="L212" s="3">
        <v>0</v>
      </c>
      <c r="M212" s="3">
        <v>383</v>
      </c>
      <c r="N212" s="3">
        <v>511</v>
      </c>
      <c r="O212" s="3">
        <v>1736</v>
      </c>
      <c r="P212" t="str">
        <f t="shared" si="6"/>
        <v>Fri</v>
      </c>
      <c r="Q212" t="str">
        <f t="shared" si="7"/>
        <v>Fairly Active</v>
      </c>
    </row>
    <row r="213" spans="1:17">
      <c r="A213">
        <v>2026352035</v>
      </c>
      <c r="B213" s="1">
        <v>42501</v>
      </c>
      <c r="C213" s="3">
        <v>8580</v>
      </c>
      <c r="D213" s="2">
        <v>5.3200001716613796</v>
      </c>
      <c r="E213" s="2">
        <v>5.3200001716613796</v>
      </c>
      <c r="F213" s="2">
        <v>0</v>
      </c>
      <c r="G213" s="2">
        <v>0</v>
      </c>
      <c r="H213" s="2">
        <v>0</v>
      </c>
      <c r="I213" s="2">
        <v>5.3200001716613796</v>
      </c>
      <c r="J213" s="2">
        <v>0</v>
      </c>
      <c r="K213" s="3">
        <v>0</v>
      </c>
      <c r="L213" s="3">
        <v>0</v>
      </c>
      <c r="M213" s="3">
        <v>330</v>
      </c>
      <c r="N213" s="3">
        <v>569</v>
      </c>
      <c r="O213" s="3">
        <v>1698</v>
      </c>
      <c r="P213" t="str">
        <f t="shared" si="6"/>
        <v>Wed</v>
      </c>
      <c r="Q213" t="str">
        <f t="shared" si="7"/>
        <v>Fairly Active</v>
      </c>
    </row>
    <row r="214" spans="1:17">
      <c r="A214">
        <v>2026352035</v>
      </c>
      <c r="B214" s="1">
        <v>42502</v>
      </c>
      <c r="C214" s="3">
        <v>8891</v>
      </c>
      <c r="D214" s="2">
        <v>5.5100002288818404</v>
      </c>
      <c r="E214" s="2">
        <v>5.5100002288818404</v>
      </c>
      <c r="F214" s="2">
        <v>0</v>
      </c>
      <c r="G214" s="2">
        <v>0</v>
      </c>
      <c r="H214" s="2">
        <v>0</v>
      </c>
      <c r="I214" s="2">
        <v>5.5100002288818404</v>
      </c>
      <c r="J214" s="2">
        <v>0</v>
      </c>
      <c r="K214" s="3">
        <v>0</v>
      </c>
      <c r="L214" s="3">
        <v>0</v>
      </c>
      <c r="M214" s="3">
        <v>343</v>
      </c>
      <c r="N214" s="3">
        <v>330</v>
      </c>
      <c r="O214" s="3">
        <v>1364</v>
      </c>
      <c r="P214" t="str">
        <f t="shared" si="6"/>
        <v>Thu</v>
      </c>
      <c r="Q214" t="str">
        <f t="shared" si="7"/>
        <v>Fairly Active</v>
      </c>
    </row>
    <row r="215" spans="1:17">
      <c r="A215">
        <v>2026352035</v>
      </c>
      <c r="B215" s="1">
        <v>42499</v>
      </c>
      <c r="C215" s="3">
        <v>10685</v>
      </c>
      <c r="D215" s="2">
        <v>6.6199998855590803</v>
      </c>
      <c r="E215" s="2">
        <v>6.6199998855590803</v>
      </c>
      <c r="F215" s="2">
        <v>0</v>
      </c>
      <c r="G215" s="2">
        <v>0</v>
      </c>
      <c r="H215" s="2">
        <v>0</v>
      </c>
      <c r="I215" s="2">
        <v>6.5999999046325701</v>
      </c>
      <c r="J215" s="2">
        <v>0</v>
      </c>
      <c r="K215" s="3">
        <v>0</v>
      </c>
      <c r="L215" s="3">
        <v>0</v>
      </c>
      <c r="M215" s="3">
        <v>401</v>
      </c>
      <c r="N215" s="3">
        <v>543</v>
      </c>
      <c r="O215" s="3">
        <v>1869</v>
      </c>
      <c r="P215" t="str">
        <f t="shared" si="6"/>
        <v>Mon</v>
      </c>
      <c r="Q215" t="str">
        <f t="shared" si="7"/>
        <v>Vey Active</v>
      </c>
    </row>
    <row r="216" spans="1:17">
      <c r="A216">
        <v>2026352035</v>
      </c>
      <c r="B216" s="1">
        <v>42495</v>
      </c>
      <c r="C216" s="3">
        <v>12167</v>
      </c>
      <c r="D216" s="2">
        <v>7.53999996185303</v>
      </c>
      <c r="E216" s="2">
        <v>7.53999996185303</v>
      </c>
      <c r="F216" s="2">
        <v>0</v>
      </c>
      <c r="G216" s="2">
        <v>0</v>
      </c>
      <c r="H216" s="2">
        <v>0</v>
      </c>
      <c r="I216" s="2">
        <v>7.53999996185303</v>
      </c>
      <c r="J216" s="2">
        <v>0</v>
      </c>
      <c r="K216" s="3">
        <v>0</v>
      </c>
      <c r="L216" s="3">
        <v>0</v>
      </c>
      <c r="M216" s="3">
        <v>475</v>
      </c>
      <c r="N216" s="3">
        <v>479</v>
      </c>
      <c r="O216" s="3">
        <v>1926</v>
      </c>
      <c r="P216" t="str">
        <f t="shared" si="6"/>
        <v>Thu</v>
      </c>
      <c r="Q216" t="str">
        <f t="shared" si="7"/>
        <v>Vey Active</v>
      </c>
    </row>
    <row r="217" spans="1:17">
      <c r="A217">
        <v>2026352035</v>
      </c>
      <c r="B217" s="1">
        <v>42483</v>
      </c>
      <c r="C217" s="3">
        <v>12357</v>
      </c>
      <c r="D217" s="2">
        <v>7.71000003814697</v>
      </c>
      <c r="E217" s="2">
        <v>7.71000003814697</v>
      </c>
      <c r="F217" s="2">
        <v>0</v>
      </c>
      <c r="G217" s="2">
        <v>0</v>
      </c>
      <c r="H217" s="2">
        <v>0</v>
      </c>
      <c r="I217" s="2">
        <v>7.71000003814697</v>
      </c>
      <c r="J217" s="2">
        <v>0</v>
      </c>
      <c r="K217" s="3">
        <v>0</v>
      </c>
      <c r="L217" s="3">
        <v>0</v>
      </c>
      <c r="M217" s="3">
        <v>432</v>
      </c>
      <c r="N217" s="3">
        <v>458</v>
      </c>
      <c r="O217" s="3">
        <v>1916</v>
      </c>
      <c r="P217" t="str">
        <f t="shared" si="6"/>
        <v>Sat</v>
      </c>
      <c r="Q217" t="str">
        <f t="shared" si="7"/>
        <v>Vey Active</v>
      </c>
    </row>
    <row r="218" spans="1:17">
      <c r="A218">
        <v>2320127002</v>
      </c>
      <c r="B218" s="1">
        <v>42491</v>
      </c>
      <c r="C218" s="3">
        <v>772</v>
      </c>
      <c r="D218" s="2">
        <v>0.519999980926514</v>
      </c>
      <c r="E218" s="2">
        <v>0.519999980926514</v>
      </c>
      <c r="F218" s="2">
        <v>0</v>
      </c>
      <c r="G218" s="2">
        <v>0</v>
      </c>
      <c r="H218" s="2">
        <v>0</v>
      </c>
      <c r="I218" s="2">
        <v>0.519999980926514</v>
      </c>
      <c r="J218" s="2">
        <v>0</v>
      </c>
      <c r="K218" s="3">
        <v>0</v>
      </c>
      <c r="L218" s="3">
        <v>0</v>
      </c>
      <c r="M218" s="3">
        <v>40</v>
      </c>
      <c r="N218" s="3">
        <v>1400</v>
      </c>
      <c r="O218" s="3">
        <v>1403</v>
      </c>
      <c r="P218" t="str">
        <f t="shared" si="6"/>
        <v>Sun</v>
      </c>
      <c r="Q218" t="str">
        <f t="shared" si="7"/>
        <v>Sedentary</v>
      </c>
    </row>
    <row r="219" spans="1:17">
      <c r="A219">
        <v>2320127002</v>
      </c>
      <c r="B219" s="1">
        <v>42489</v>
      </c>
      <c r="C219" s="3">
        <v>924</v>
      </c>
      <c r="D219" s="2">
        <v>0.62000000476837203</v>
      </c>
      <c r="E219" s="2">
        <v>0.62000000476837203</v>
      </c>
      <c r="F219" s="2">
        <v>0</v>
      </c>
      <c r="G219" s="2">
        <v>0</v>
      </c>
      <c r="H219" s="2">
        <v>0</v>
      </c>
      <c r="I219" s="2">
        <v>0.62000000476837203</v>
      </c>
      <c r="J219" s="2">
        <v>0</v>
      </c>
      <c r="K219" s="3">
        <v>0</v>
      </c>
      <c r="L219" s="3">
        <v>0</v>
      </c>
      <c r="M219" s="3">
        <v>45</v>
      </c>
      <c r="N219" s="3">
        <v>1395</v>
      </c>
      <c r="O219" s="3">
        <v>1410</v>
      </c>
      <c r="P219" t="str">
        <f t="shared" si="6"/>
        <v>Fri</v>
      </c>
      <c r="Q219" t="str">
        <f t="shared" si="7"/>
        <v>Sedentary</v>
      </c>
    </row>
    <row r="220" spans="1:17">
      <c r="A220">
        <v>2320127002</v>
      </c>
      <c r="B220" s="1">
        <v>42494</v>
      </c>
      <c r="C220" s="3">
        <v>1201</v>
      </c>
      <c r="D220" s="2">
        <v>0.81000000238418601</v>
      </c>
      <c r="E220" s="2">
        <v>0.81000000238418601</v>
      </c>
      <c r="F220" s="2">
        <v>0</v>
      </c>
      <c r="G220" s="2">
        <v>0</v>
      </c>
      <c r="H220" s="2">
        <v>0</v>
      </c>
      <c r="I220" s="2">
        <v>0.81000000238418601</v>
      </c>
      <c r="J220" s="2">
        <v>0</v>
      </c>
      <c r="K220" s="3">
        <v>0</v>
      </c>
      <c r="L220" s="3">
        <v>0</v>
      </c>
      <c r="M220" s="3">
        <v>52</v>
      </c>
      <c r="N220" s="3">
        <v>1388</v>
      </c>
      <c r="O220" s="3">
        <v>1426</v>
      </c>
      <c r="P220" t="str">
        <f t="shared" si="6"/>
        <v>Wed</v>
      </c>
      <c r="Q220" t="str">
        <f t="shared" si="7"/>
        <v>Sedentary</v>
      </c>
    </row>
    <row r="221" spans="1:17">
      <c r="A221">
        <v>2320127002</v>
      </c>
      <c r="B221" s="1">
        <v>42488</v>
      </c>
      <c r="C221" s="3">
        <v>1532</v>
      </c>
      <c r="D221" s="2">
        <v>1.0299999713897701</v>
      </c>
      <c r="E221" s="2">
        <v>1.0299999713897701</v>
      </c>
      <c r="F221" s="2">
        <v>0</v>
      </c>
      <c r="G221" s="2">
        <v>0</v>
      </c>
      <c r="H221" s="2">
        <v>0</v>
      </c>
      <c r="I221" s="2">
        <v>1.0299999713897701</v>
      </c>
      <c r="J221" s="2">
        <v>0</v>
      </c>
      <c r="K221" s="3">
        <v>0</v>
      </c>
      <c r="L221" s="3">
        <v>0</v>
      </c>
      <c r="M221" s="3">
        <v>76</v>
      </c>
      <c r="N221" s="3">
        <v>1364</v>
      </c>
      <c r="O221" s="3">
        <v>1473</v>
      </c>
      <c r="P221" t="str">
        <f t="shared" si="6"/>
        <v>Thu</v>
      </c>
      <c r="Q221" t="str">
        <f t="shared" si="7"/>
        <v>Sedentary</v>
      </c>
    </row>
    <row r="222" spans="1:17">
      <c r="A222">
        <v>2320127002</v>
      </c>
      <c r="B222" s="1">
        <v>42487</v>
      </c>
      <c r="C222" s="3">
        <v>1715</v>
      </c>
      <c r="D222" s="2">
        <v>1.1599999666214</v>
      </c>
      <c r="E222" s="2">
        <v>1.1599999666214</v>
      </c>
      <c r="F222" s="2">
        <v>0</v>
      </c>
      <c r="G222" s="2">
        <v>0</v>
      </c>
      <c r="H222" s="2">
        <v>0</v>
      </c>
      <c r="I222" s="2">
        <v>1.1599999666214</v>
      </c>
      <c r="J222" s="2">
        <v>0</v>
      </c>
      <c r="K222" s="3">
        <v>0</v>
      </c>
      <c r="L222" s="3">
        <v>0</v>
      </c>
      <c r="M222" s="3">
        <v>82</v>
      </c>
      <c r="N222" s="3">
        <v>1358</v>
      </c>
      <c r="O222" s="3">
        <v>1481</v>
      </c>
      <c r="P222" t="str">
        <f t="shared" si="6"/>
        <v>Wed</v>
      </c>
      <c r="Q222" t="str">
        <f t="shared" si="7"/>
        <v>Sedentary</v>
      </c>
    </row>
    <row r="223" spans="1:17">
      <c r="A223">
        <v>2320127002</v>
      </c>
      <c r="B223" s="1">
        <v>42502</v>
      </c>
      <c r="C223" s="3">
        <v>2661</v>
      </c>
      <c r="D223" s="2">
        <v>1.78999996185303</v>
      </c>
      <c r="E223" s="2">
        <v>1.78999996185303</v>
      </c>
      <c r="F223" s="2">
        <v>0</v>
      </c>
      <c r="G223" s="2">
        <v>0</v>
      </c>
      <c r="H223" s="2">
        <v>0</v>
      </c>
      <c r="I223" s="2">
        <v>1.78999996185303</v>
      </c>
      <c r="J223" s="2">
        <v>0</v>
      </c>
      <c r="K223" s="3">
        <v>0</v>
      </c>
      <c r="L223" s="3">
        <v>0</v>
      </c>
      <c r="M223" s="3">
        <v>128</v>
      </c>
      <c r="N223" s="3">
        <v>830</v>
      </c>
      <c r="O223" s="3">
        <v>1125</v>
      </c>
      <c r="P223" t="str">
        <f t="shared" si="6"/>
        <v>Thu</v>
      </c>
      <c r="Q223" t="str">
        <f t="shared" si="7"/>
        <v>Sedentary</v>
      </c>
    </row>
    <row r="224" spans="1:17">
      <c r="A224">
        <v>2320127002</v>
      </c>
      <c r="B224" s="1">
        <v>42499</v>
      </c>
      <c r="C224" s="3">
        <v>3090</v>
      </c>
      <c r="D224" s="2">
        <v>2.0799999237060498</v>
      </c>
      <c r="E224" s="2">
        <v>2.0799999237060498</v>
      </c>
      <c r="F224" s="2">
        <v>0</v>
      </c>
      <c r="G224" s="2">
        <v>0</v>
      </c>
      <c r="H224" s="2">
        <v>0</v>
      </c>
      <c r="I224" s="2">
        <v>2.0799999237060498</v>
      </c>
      <c r="J224" s="2">
        <v>0</v>
      </c>
      <c r="K224" s="3">
        <v>0</v>
      </c>
      <c r="L224" s="3">
        <v>0</v>
      </c>
      <c r="M224" s="3">
        <v>145</v>
      </c>
      <c r="N224" s="3">
        <v>1295</v>
      </c>
      <c r="O224" s="3">
        <v>1630</v>
      </c>
      <c r="P224" t="str">
        <f t="shared" si="6"/>
        <v>Mon</v>
      </c>
      <c r="Q224" t="str">
        <f t="shared" si="7"/>
        <v>Sedentary</v>
      </c>
    </row>
    <row r="225" spans="1:17">
      <c r="A225">
        <v>2320127002</v>
      </c>
      <c r="B225" s="1">
        <v>42481</v>
      </c>
      <c r="C225" s="3">
        <v>3404</v>
      </c>
      <c r="D225" s="2">
        <v>2.28999996185303</v>
      </c>
      <c r="E225" s="2">
        <v>2.28999996185303</v>
      </c>
      <c r="F225" s="2">
        <v>0</v>
      </c>
      <c r="G225" s="2">
        <v>5.9999998658895499E-2</v>
      </c>
      <c r="H225" s="2">
        <v>0.41999998688697798</v>
      </c>
      <c r="I225" s="2">
        <v>1.8099999427795399</v>
      </c>
      <c r="J225" s="2">
        <v>0</v>
      </c>
      <c r="K225" s="3">
        <v>1</v>
      </c>
      <c r="L225" s="3">
        <v>10</v>
      </c>
      <c r="M225" s="3">
        <v>127</v>
      </c>
      <c r="N225" s="3">
        <v>1302</v>
      </c>
      <c r="O225" s="3">
        <v>1610</v>
      </c>
      <c r="P225" t="str">
        <f t="shared" si="6"/>
        <v>Thu</v>
      </c>
      <c r="Q225" t="str">
        <f t="shared" si="7"/>
        <v>Sedentary</v>
      </c>
    </row>
    <row r="226" spans="1:17">
      <c r="A226">
        <v>2320127002</v>
      </c>
      <c r="B226" s="1">
        <v>42486</v>
      </c>
      <c r="C226" s="3">
        <v>3409</v>
      </c>
      <c r="D226" s="2">
        <v>2.2999999523162802</v>
      </c>
      <c r="E226" s="2">
        <v>2.2999999523162802</v>
      </c>
      <c r="F226" s="2">
        <v>0</v>
      </c>
      <c r="G226" s="2">
        <v>0</v>
      </c>
      <c r="H226" s="2">
        <v>0</v>
      </c>
      <c r="I226" s="2">
        <v>2.2999999523162802</v>
      </c>
      <c r="J226" s="2">
        <v>0</v>
      </c>
      <c r="K226" s="3">
        <v>0</v>
      </c>
      <c r="L226" s="3">
        <v>0</v>
      </c>
      <c r="M226" s="3">
        <v>147</v>
      </c>
      <c r="N226" s="3">
        <v>1293</v>
      </c>
      <c r="O226" s="3">
        <v>1632</v>
      </c>
      <c r="P226" t="str">
        <f t="shared" si="6"/>
        <v>Tue</v>
      </c>
      <c r="Q226" t="str">
        <f t="shared" si="7"/>
        <v>Sedentary</v>
      </c>
    </row>
    <row r="227" spans="1:17">
      <c r="A227">
        <v>2320127002</v>
      </c>
      <c r="B227" s="1">
        <v>42485</v>
      </c>
      <c r="C227" s="3">
        <v>3588</v>
      </c>
      <c r="D227" s="2">
        <v>2.4200000762939502</v>
      </c>
      <c r="E227" s="2">
        <v>2.4200000762939502</v>
      </c>
      <c r="F227" s="2">
        <v>0</v>
      </c>
      <c r="G227" s="2">
        <v>0.230000004172325</v>
      </c>
      <c r="H227" s="2">
        <v>0.20000000298023199</v>
      </c>
      <c r="I227" s="2">
        <v>1.9900000095367401</v>
      </c>
      <c r="J227" s="2">
        <v>0</v>
      </c>
      <c r="K227" s="3">
        <v>3</v>
      </c>
      <c r="L227" s="3">
        <v>5</v>
      </c>
      <c r="M227" s="3">
        <v>152</v>
      </c>
      <c r="N227" s="3">
        <v>1280</v>
      </c>
      <c r="O227" s="3">
        <v>1654</v>
      </c>
      <c r="P227" t="str">
        <f t="shared" si="6"/>
        <v>Mon</v>
      </c>
      <c r="Q227" t="str">
        <f t="shared" si="7"/>
        <v>Sedentary</v>
      </c>
    </row>
    <row r="228" spans="1:17">
      <c r="A228">
        <v>2320127002</v>
      </c>
      <c r="B228" s="1">
        <v>42492</v>
      </c>
      <c r="C228" s="3">
        <v>3634</v>
      </c>
      <c r="D228" s="2">
        <v>2.4500000476837198</v>
      </c>
      <c r="E228" s="2">
        <v>2.4500000476837198</v>
      </c>
      <c r="F228" s="2">
        <v>0</v>
      </c>
      <c r="G228" s="2">
        <v>0.36000001430511502</v>
      </c>
      <c r="H228" s="2">
        <v>0.20999999344348899</v>
      </c>
      <c r="I228" s="2">
        <v>1.87999999523163</v>
      </c>
      <c r="J228" s="2">
        <v>0</v>
      </c>
      <c r="K228" s="3">
        <v>5</v>
      </c>
      <c r="L228" s="3">
        <v>6</v>
      </c>
      <c r="M228" s="3">
        <v>123</v>
      </c>
      <c r="N228" s="3">
        <v>1306</v>
      </c>
      <c r="O228" s="3">
        <v>1613</v>
      </c>
      <c r="P228" t="str">
        <f t="shared" si="6"/>
        <v>Mon</v>
      </c>
      <c r="Q228" t="str">
        <f t="shared" si="7"/>
        <v>Sedentary</v>
      </c>
    </row>
    <row r="229" spans="1:17">
      <c r="A229">
        <v>2320127002</v>
      </c>
      <c r="B229" s="1">
        <v>42474</v>
      </c>
      <c r="C229" s="3">
        <v>3973</v>
      </c>
      <c r="D229" s="2">
        <v>2.6800000667571999</v>
      </c>
      <c r="E229" s="2">
        <v>2.6800000667571999</v>
      </c>
      <c r="F229" s="2">
        <v>0</v>
      </c>
      <c r="G229" s="2">
        <v>0</v>
      </c>
      <c r="H229" s="2">
        <v>0</v>
      </c>
      <c r="I229" s="2">
        <v>2.6800000667571999</v>
      </c>
      <c r="J229" s="2">
        <v>0</v>
      </c>
      <c r="K229" s="3">
        <v>0</v>
      </c>
      <c r="L229" s="3">
        <v>0</v>
      </c>
      <c r="M229" s="3">
        <v>191</v>
      </c>
      <c r="N229" s="3">
        <v>1249</v>
      </c>
      <c r="O229" s="3">
        <v>1696</v>
      </c>
      <c r="P229" t="str">
        <f t="shared" si="6"/>
        <v>Thu</v>
      </c>
      <c r="Q229" t="str">
        <f t="shared" si="7"/>
        <v>Sedentary</v>
      </c>
    </row>
    <row r="230" spans="1:17">
      <c r="A230">
        <v>2320127002</v>
      </c>
      <c r="B230" s="1">
        <v>42484</v>
      </c>
      <c r="C230" s="3">
        <v>4165</v>
      </c>
      <c r="D230" s="2">
        <v>2.8099999427795401</v>
      </c>
      <c r="E230" s="2">
        <v>2.8099999427795401</v>
      </c>
      <c r="F230" s="2">
        <v>0</v>
      </c>
      <c r="G230" s="2">
        <v>0</v>
      </c>
      <c r="H230" s="2">
        <v>0</v>
      </c>
      <c r="I230" s="2">
        <v>2.7999999523162802</v>
      </c>
      <c r="J230" s="2">
        <v>0</v>
      </c>
      <c r="K230" s="3">
        <v>0</v>
      </c>
      <c r="L230" s="3">
        <v>0</v>
      </c>
      <c r="M230" s="3">
        <v>204</v>
      </c>
      <c r="N230" s="3">
        <v>1236</v>
      </c>
      <c r="O230" s="3">
        <v>1725</v>
      </c>
      <c r="P230" t="str">
        <f t="shared" si="6"/>
        <v>Sun</v>
      </c>
      <c r="Q230" t="str">
        <f t="shared" si="7"/>
        <v>Sedentary</v>
      </c>
    </row>
    <row r="231" spans="1:17">
      <c r="A231">
        <v>2320127002</v>
      </c>
      <c r="B231" s="1">
        <v>42490</v>
      </c>
      <c r="C231" s="3">
        <v>4571</v>
      </c>
      <c r="D231" s="2">
        <v>3.0799999237060498</v>
      </c>
      <c r="E231" s="2">
        <v>3.0799999237060498</v>
      </c>
      <c r="F231" s="2">
        <v>0</v>
      </c>
      <c r="G231" s="2">
        <v>0</v>
      </c>
      <c r="H231" s="2">
        <v>0</v>
      </c>
      <c r="I231" s="2">
        <v>3.0699999332428001</v>
      </c>
      <c r="J231" s="2">
        <v>0</v>
      </c>
      <c r="K231" s="3">
        <v>0</v>
      </c>
      <c r="L231" s="3">
        <v>0</v>
      </c>
      <c r="M231" s="3">
        <v>234</v>
      </c>
      <c r="N231" s="3">
        <v>1206</v>
      </c>
      <c r="O231" s="3">
        <v>1779</v>
      </c>
      <c r="P231" t="str">
        <f t="shared" si="6"/>
        <v>Sat</v>
      </c>
      <c r="Q231" t="str">
        <f t="shared" si="7"/>
        <v>Sedentary</v>
      </c>
    </row>
    <row r="232" spans="1:17">
      <c r="A232">
        <v>2320127002</v>
      </c>
      <c r="B232" s="1">
        <v>42496</v>
      </c>
      <c r="C232" s="3">
        <v>4878</v>
      </c>
      <c r="D232" s="2">
        <v>3.28999996185303</v>
      </c>
      <c r="E232" s="2">
        <v>3.28999996185303</v>
      </c>
      <c r="F232" s="2">
        <v>0</v>
      </c>
      <c r="G232" s="2">
        <v>0</v>
      </c>
      <c r="H232" s="2">
        <v>0</v>
      </c>
      <c r="I232" s="2">
        <v>3.28999996185303</v>
      </c>
      <c r="J232" s="2">
        <v>0</v>
      </c>
      <c r="K232" s="3">
        <v>0</v>
      </c>
      <c r="L232" s="3">
        <v>0</v>
      </c>
      <c r="M232" s="3">
        <v>204</v>
      </c>
      <c r="N232" s="3">
        <v>1236</v>
      </c>
      <c r="O232" s="3">
        <v>1742</v>
      </c>
      <c r="P232" t="str">
        <f t="shared" si="6"/>
        <v>Fri</v>
      </c>
      <c r="Q232" t="str">
        <f t="shared" si="7"/>
        <v>Sedentary</v>
      </c>
    </row>
    <row r="233" spans="1:17">
      <c r="A233">
        <v>2320127002</v>
      </c>
      <c r="B233" s="1">
        <v>42476</v>
      </c>
      <c r="C233" s="3">
        <v>5057</v>
      </c>
      <c r="D233" s="2">
        <v>3.4100000858306898</v>
      </c>
      <c r="E233" s="2">
        <v>3.4100000858306898</v>
      </c>
      <c r="F233" s="2">
        <v>0</v>
      </c>
      <c r="G233" s="2">
        <v>0</v>
      </c>
      <c r="H233" s="2">
        <v>0</v>
      </c>
      <c r="I233" s="2">
        <v>3.4000000953674299</v>
      </c>
      <c r="J233" s="2">
        <v>0</v>
      </c>
      <c r="K233" s="3">
        <v>0</v>
      </c>
      <c r="L233" s="3">
        <v>0</v>
      </c>
      <c r="M233" s="3">
        <v>195</v>
      </c>
      <c r="N233" s="3">
        <v>1245</v>
      </c>
      <c r="O233" s="3">
        <v>1724</v>
      </c>
      <c r="P233" t="str">
        <f t="shared" si="6"/>
        <v>Sat</v>
      </c>
      <c r="Q233" t="str">
        <f t="shared" si="7"/>
        <v>Lightly Active</v>
      </c>
    </row>
    <row r="234" spans="1:17">
      <c r="A234">
        <v>2320127002</v>
      </c>
      <c r="B234" s="1">
        <v>42483</v>
      </c>
      <c r="C234" s="3">
        <v>5079</v>
      </c>
      <c r="D234" s="2">
        <v>3.4200000762939502</v>
      </c>
      <c r="E234" s="2">
        <v>3.4200000762939502</v>
      </c>
      <c r="F234" s="2">
        <v>0</v>
      </c>
      <c r="G234" s="2">
        <v>0</v>
      </c>
      <c r="H234" s="2">
        <v>0</v>
      </c>
      <c r="I234" s="2">
        <v>3.4200000762939502</v>
      </c>
      <c r="J234" s="2">
        <v>0</v>
      </c>
      <c r="K234" s="3">
        <v>0</v>
      </c>
      <c r="L234" s="3">
        <v>0</v>
      </c>
      <c r="M234" s="3">
        <v>242</v>
      </c>
      <c r="N234" s="3">
        <v>1129</v>
      </c>
      <c r="O234" s="3">
        <v>1804</v>
      </c>
      <c r="P234" t="str">
        <f t="shared" si="6"/>
        <v>Sat</v>
      </c>
      <c r="Q234" t="str">
        <f t="shared" si="7"/>
        <v>Lightly Active</v>
      </c>
    </row>
    <row r="235" spans="1:17">
      <c r="A235">
        <v>2320127002</v>
      </c>
      <c r="B235" s="1">
        <v>42498</v>
      </c>
      <c r="C235" s="3">
        <v>5161</v>
      </c>
      <c r="D235" s="2">
        <v>3.4800000190734899</v>
      </c>
      <c r="E235" s="2">
        <v>3.4800000190734899</v>
      </c>
      <c r="F235" s="2">
        <v>0</v>
      </c>
      <c r="G235" s="2">
        <v>0</v>
      </c>
      <c r="H235" s="2">
        <v>0</v>
      </c>
      <c r="I235" s="2">
        <v>3.4700000286102299</v>
      </c>
      <c r="J235" s="2">
        <v>0</v>
      </c>
      <c r="K235" s="3">
        <v>0</v>
      </c>
      <c r="L235" s="3">
        <v>0</v>
      </c>
      <c r="M235" s="3">
        <v>247</v>
      </c>
      <c r="N235" s="3">
        <v>1193</v>
      </c>
      <c r="O235" s="3">
        <v>1821</v>
      </c>
      <c r="P235" t="str">
        <f t="shared" si="6"/>
        <v>Sun</v>
      </c>
      <c r="Q235" t="str">
        <f t="shared" si="7"/>
        <v>Lightly Active</v>
      </c>
    </row>
    <row r="236" spans="1:17">
      <c r="A236">
        <v>2320127002</v>
      </c>
      <c r="B236" s="1">
        <v>42495</v>
      </c>
      <c r="C236" s="3">
        <v>5202</v>
      </c>
      <c r="D236" s="2">
        <v>3.5099999904632599</v>
      </c>
      <c r="E236" s="2">
        <v>3.5099999904632599</v>
      </c>
      <c r="F236" s="2">
        <v>0</v>
      </c>
      <c r="G236" s="2">
        <v>0</v>
      </c>
      <c r="H236" s="2">
        <v>0.38999998569488498</v>
      </c>
      <c r="I236" s="2">
        <v>3.1099998950958301</v>
      </c>
      <c r="J236" s="2">
        <v>0</v>
      </c>
      <c r="K236" s="3">
        <v>0</v>
      </c>
      <c r="L236" s="3">
        <v>11</v>
      </c>
      <c r="M236" s="3">
        <v>223</v>
      </c>
      <c r="N236" s="3">
        <v>1206</v>
      </c>
      <c r="O236" s="3">
        <v>1780</v>
      </c>
      <c r="P236" t="str">
        <f t="shared" si="6"/>
        <v>Thu</v>
      </c>
      <c r="Q236" t="str">
        <f t="shared" si="7"/>
        <v>Lightly Active</v>
      </c>
    </row>
    <row r="237" spans="1:17">
      <c r="A237">
        <v>2320127002</v>
      </c>
      <c r="B237" s="1">
        <v>42475</v>
      </c>
      <c r="C237" s="3">
        <v>5205</v>
      </c>
      <c r="D237" s="2">
        <v>3.5099999904632599</v>
      </c>
      <c r="E237" s="2">
        <v>3.5099999904632599</v>
      </c>
      <c r="F237" s="2">
        <v>0</v>
      </c>
      <c r="G237" s="2">
        <v>0</v>
      </c>
      <c r="H237" s="2">
        <v>0</v>
      </c>
      <c r="I237" s="2">
        <v>3.5099999904632599</v>
      </c>
      <c r="J237" s="2">
        <v>0</v>
      </c>
      <c r="K237" s="3">
        <v>0</v>
      </c>
      <c r="L237" s="3">
        <v>0</v>
      </c>
      <c r="M237" s="3">
        <v>245</v>
      </c>
      <c r="N237" s="3">
        <v>1195</v>
      </c>
      <c r="O237" s="3">
        <v>1801</v>
      </c>
      <c r="P237" t="str">
        <f t="shared" si="6"/>
        <v>Fri</v>
      </c>
      <c r="Q237" t="str">
        <f t="shared" si="7"/>
        <v>Lightly Active</v>
      </c>
    </row>
    <row r="238" spans="1:17">
      <c r="A238">
        <v>2320127002</v>
      </c>
      <c r="B238" s="1">
        <v>42482</v>
      </c>
      <c r="C238" s="3">
        <v>5583</v>
      </c>
      <c r="D238" s="2">
        <v>3.7599999904632599</v>
      </c>
      <c r="E238" s="2">
        <v>3.7599999904632599</v>
      </c>
      <c r="F238" s="2">
        <v>0</v>
      </c>
      <c r="G238" s="2">
        <v>0</v>
      </c>
      <c r="H238" s="2">
        <v>0</v>
      </c>
      <c r="I238" s="2">
        <v>3.7599999904632599</v>
      </c>
      <c r="J238" s="2">
        <v>0</v>
      </c>
      <c r="K238" s="3">
        <v>0</v>
      </c>
      <c r="L238" s="3">
        <v>0</v>
      </c>
      <c r="M238" s="3">
        <v>266</v>
      </c>
      <c r="N238" s="3">
        <v>1174</v>
      </c>
      <c r="O238" s="3">
        <v>1851</v>
      </c>
      <c r="P238" t="str">
        <f t="shared" si="6"/>
        <v>Fri</v>
      </c>
      <c r="Q238" t="str">
        <f t="shared" si="7"/>
        <v>Lightly Active</v>
      </c>
    </row>
    <row r="239" spans="1:17">
      <c r="A239">
        <v>2320127002</v>
      </c>
      <c r="B239" s="1">
        <v>42479</v>
      </c>
      <c r="C239" s="3">
        <v>5997</v>
      </c>
      <c r="D239" s="2">
        <v>4.03999996185303</v>
      </c>
      <c r="E239" s="2">
        <v>4.03999996185303</v>
      </c>
      <c r="F239" s="2">
        <v>0</v>
      </c>
      <c r="G239" s="2">
        <v>0</v>
      </c>
      <c r="H239" s="2">
        <v>0.37999999523162797</v>
      </c>
      <c r="I239" s="2">
        <v>3.6600000858306898</v>
      </c>
      <c r="J239" s="2">
        <v>0</v>
      </c>
      <c r="K239" s="3">
        <v>0</v>
      </c>
      <c r="L239" s="3">
        <v>11</v>
      </c>
      <c r="M239" s="3">
        <v>228</v>
      </c>
      <c r="N239" s="3">
        <v>1201</v>
      </c>
      <c r="O239" s="3">
        <v>1811</v>
      </c>
      <c r="P239" t="str">
        <f t="shared" si="6"/>
        <v>Tue</v>
      </c>
      <c r="Q239" t="str">
        <f t="shared" si="7"/>
        <v>Lightly Active</v>
      </c>
    </row>
    <row r="240" spans="1:17">
      <c r="A240">
        <v>2320127002</v>
      </c>
      <c r="B240" s="1">
        <v>42477</v>
      </c>
      <c r="C240" s="3">
        <v>6198</v>
      </c>
      <c r="D240" s="2">
        <v>4.1799998283386204</v>
      </c>
      <c r="E240" s="2">
        <v>4.1799998283386204</v>
      </c>
      <c r="F240" s="2">
        <v>0</v>
      </c>
      <c r="G240" s="2">
        <v>0</v>
      </c>
      <c r="H240" s="2">
        <v>0</v>
      </c>
      <c r="I240" s="2">
        <v>4.1799998283386204</v>
      </c>
      <c r="J240" s="2">
        <v>0</v>
      </c>
      <c r="K240" s="3">
        <v>0</v>
      </c>
      <c r="L240" s="3">
        <v>0</v>
      </c>
      <c r="M240" s="3">
        <v>249</v>
      </c>
      <c r="N240" s="3">
        <v>1191</v>
      </c>
      <c r="O240" s="3">
        <v>1852</v>
      </c>
      <c r="P240" t="str">
        <f t="shared" si="6"/>
        <v>Sun</v>
      </c>
      <c r="Q240" t="str">
        <f t="shared" si="7"/>
        <v>Lightly Active</v>
      </c>
    </row>
    <row r="241" spans="1:17">
      <c r="A241">
        <v>2320127002</v>
      </c>
      <c r="B241" s="1">
        <v>42500</v>
      </c>
      <c r="C241" s="3">
        <v>6227</v>
      </c>
      <c r="D241" s="2">
        <v>4.1999998092651403</v>
      </c>
      <c r="E241" s="2">
        <v>4.1999998092651403</v>
      </c>
      <c r="F241" s="2">
        <v>0</v>
      </c>
      <c r="G241" s="2">
        <v>0</v>
      </c>
      <c r="H241" s="2">
        <v>0</v>
      </c>
      <c r="I241" s="2">
        <v>4.1999998092651403</v>
      </c>
      <c r="J241" s="2">
        <v>0</v>
      </c>
      <c r="K241" s="3">
        <v>0</v>
      </c>
      <c r="L241" s="3">
        <v>0</v>
      </c>
      <c r="M241" s="3">
        <v>290</v>
      </c>
      <c r="N241" s="3">
        <v>1150</v>
      </c>
      <c r="O241" s="3">
        <v>1899</v>
      </c>
      <c r="P241" t="str">
        <f t="shared" si="6"/>
        <v>Tue</v>
      </c>
      <c r="Q241" t="str">
        <f t="shared" si="7"/>
        <v>Lightly Active</v>
      </c>
    </row>
    <row r="242" spans="1:17">
      <c r="A242">
        <v>2320127002</v>
      </c>
      <c r="B242" s="1">
        <v>42501</v>
      </c>
      <c r="C242" s="3">
        <v>6424</v>
      </c>
      <c r="D242" s="2">
        <v>4.3299999237060502</v>
      </c>
      <c r="E242" s="2">
        <v>4.3299999237060502</v>
      </c>
      <c r="F242" s="2">
        <v>0</v>
      </c>
      <c r="G242" s="2">
        <v>0</v>
      </c>
      <c r="H242" s="2">
        <v>0</v>
      </c>
      <c r="I242" s="2">
        <v>4.3299999237060502</v>
      </c>
      <c r="J242" s="2">
        <v>0</v>
      </c>
      <c r="K242" s="3">
        <v>0</v>
      </c>
      <c r="L242" s="3">
        <v>0</v>
      </c>
      <c r="M242" s="3">
        <v>300</v>
      </c>
      <c r="N242" s="3">
        <v>1140</v>
      </c>
      <c r="O242" s="3">
        <v>1903</v>
      </c>
      <c r="P242" t="str">
        <f t="shared" si="6"/>
        <v>Wed</v>
      </c>
      <c r="Q242" t="str">
        <f t="shared" si="7"/>
        <v>Lightly Active</v>
      </c>
    </row>
    <row r="243" spans="1:17">
      <c r="A243">
        <v>2320127002</v>
      </c>
      <c r="B243" s="1">
        <v>42478</v>
      </c>
      <c r="C243" s="3">
        <v>6559</v>
      </c>
      <c r="D243" s="2">
        <v>4.4200000762939498</v>
      </c>
      <c r="E243" s="2">
        <v>4.4200000762939498</v>
      </c>
      <c r="F243" s="2">
        <v>0</v>
      </c>
      <c r="G243" s="2">
        <v>0</v>
      </c>
      <c r="H243" s="2">
        <v>0.259999990463257</v>
      </c>
      <c r="I243" s="2">
        <v>4.1399998664856001</v>
      </c>
      <c r="J243" s="2">
        <v>0</v>
      </c>
      <c r="K243" s="3">
        <v>0</v>
      </c>
      <c r="L243" s="3">
        <v>7</v>
      </c>
      <c r="M243" s="3">
        <v>260</v>
      </c>
      <c r="N243" s="3">
        <v>1173</v>
      </c>
      <c r="O243" s="3">
        <v>1905</v>
      </c>
      <c r="P243" t="str">
        <f t="shared" si="6"/>
        <v>Mon</v>
      </c>
      <c r="Q243" t="str">
        <f t="shared" si="7"/>
        <v>Lightly Active</v>
      </c>
    </row>
    <row r="244" spans="1:17">
      <c r="A244">
        <v>2320127002</v>
      </c>
      <c r="B244" s="1">
        <v>42480</v>
      </c>
      <c r="C244" s="3">
        <v>7192</v>
      </c>
      <c r="D244" s="2">
        <v>4.8499999046325701</v>
      </c>
      <c r="E244" s="2">
        <v>4.8499999046325701</v>
      </c>
      <c r="F244" s="2">
        <v>0</v>
      </c>
      <c r="G244" s="2">
        <v>0</v>
      </c>
      <c r="H244" s="2">
        <v>0.490000009536743</v>
      </c>
      <c r="I244" s="2">
        <v>4.3400001525878897</v>
      </c>
      <c r="J244" s="2">
        <v>0</v>
      </c>
      <c r="K244" s="3">
        <v>0</v>
      </c>
      <c r="L244" s="3">
        <v>11</v>
      </c>
      <c r="M244" s="3">
        <v>283</v>
      </c>
      <c r="N244" s="3">
        <v>1146</v>
      </c>
      <c r="O244" s="3">
        <v>1922</v>
      </c>
      <c r="P244" t="str">
        <f t="shared" si="6"/>
        <v>Wed</v>
      </c>
      <c r="Q244" t="str">
        <f t="shared" si="7"/>
        <v>Lightly Active</v>
      </c>
    </row>
    <row r="245" spans="1:17">
      <c r="A245">
        <v>2320127002</v>
      </c>
      <c r="B245" s="1">
        <v>42473</v>
      </c>
      <c r="C245" s="3">
        <v>7275</v>
      </c>
      <c r="D245" s="2">
        <v>4.9000000953674299</v>
      </c>
      <c r="E245" s="2">
        <v>4.9000000953674299</v>
      </c>
      <c r="F245" s="2">
        <v>0</v>
      </c>
      <c r="G245" s="2">
        <v>0</v>
      </c>
      <c r="H245" s="2">
        <v>0</v>
      </c>
      <c r="I245" s="2">
        <v>4.9000000953674299</v>
      </c>
      <c r="J245" s="2">
        <v>0</v>
      </c>
      <c r="K245" s="3">
        <v>0</v>
      </c>
      <c r="L245" s="3">
        <v>0</v>
      </c>
      <c r="M245" s="3">
        <v>335</v>
      </c>
      <c r="N245" s="3">
        <v>1105</v>
      </c>
      <c r="O245" s="3">
        <v>2003</v>
      </c>
      <c r="P245" t="str">
        <f t="shared" si="6"/>
        <v>Wed</v>
      </c>
      <c r="Q245" t="str">
        <f t="shared" si="7"/>
        <v>Lightly Active</v>
      </c>
    </row>
    <row r="246" spans="1:17">
      <c r="A246">
        <v>2320127002</v>
      </c>
      <c r="B246" s="1">
        <v>42497</v>
      </c>
      <c r="C246" s="3">
        <v>7379</v>
      </c>
      <c r="D246" s="2">
        <v>4.9699997901916504</v>
      </c>
      <c r="E246" s="2">
        <v>4.9699997901916504</v>
      </c>
      <c r="F246" s="2">
        <v>0</v>
      </c>
      <c r="G246" s="2">
        <v>0</v>
      </c>
      <c r="H246" s="2">
        <v>0</v>
      </c>
      <c r="I246" s="2">
        <v>4.9699997901916504</v>
      </c>
      <c r="J246" s="2">
        <v>0</v>
      </c>
      <c r="K246" s="3">
        <v>0</v>
      </c>
      <c r="L246" s="3">
        <v>0</v>
      </c>
      <c r="M246" s="3">
        <v>319</v>
      </c>
      <c r="N246" s="3">
        <v>1121</v>
      </c>
      <c r="O246" s="3">
        <v>1972</v>
      </c>
      <c r="P246" t="str">
        <f t="shared" si="6"/>
        <v>Sat</v>
      </c>
      <c r="Q246" t="str">
        <f t="shared" si="7"/>
        <v>Lightly Active</v>
      </c>
    </row>
    <row r="247" spans="1:17">
      <c r="A247">
        <v>2320127002</v>
      </c>
      <c r="B247" s="1">
        <v>42493</v>
      </c>
      <c r="C247" s="3">
        <v>7443</v>
      </c>
      <c r="D247" s="2">
        <v>5.0199999809265101</v>
      </c>
      <c r="E247" s="2">
        <v>5.0199999809265101</v>
      </c>
      <c r="F247" s="2">
        <v>0</v>
      </c>
      <c r="G247" s="2">
        <v>1.4900000095367401</v>
      </c>
      <c r="H247" s="2">
        <v>0.37000000476837203</v>
      </c>
      <c r="I247" s="2">
        <v>3.1600000858306898</v>
      </c>
      <c r="J247" s="2">
        <v>0</v>
      </c>
      <c r="K247" s="3">
        <v>20</v>
      </c>
      <c r="L247" s="3">
        <v>10</v>
      </c>
      <c r="M247" s="3">
        <v>206</v>
      </c>
      <c r="N247" s="3">
        <v>1204</v>
      </c>
      <c r="O247" s="3">
        <v>1878</v>
      </c>
      <c r="P247" t="str">
        <f t="shared" si="6"/>
        <v>Tue</v>
      </c>
      <c r="Q247" t="str">
        <f t="shared" si="7"/>
        <v>Lightly Active</v>
      </c>
    </row>
    <row r="248" spans="1:17">
      <c r="A248">
        <v>2320127002</v>
      </c>
      <c r="B248" s="1">
        <v>42472</v>
      </c>
      <c r="C248" s="3">
        <v>10725</v>
      </c>
      <c r="D248" s="2">
        <v>7.4899997711181596</v>
      </c>
      <c r="E248" s="2">
        <v>7.4899997711181596</v>
      </c>
      <c r="F248" s="2">
        <v>0</v>
      </c>
      <c r="G248" s="2">
        <v>1.16999995708466</v>
      </c>
      <c r="H248" s="2">
        <v>0.31000000238418601</v>
      </c>
      <c r="I248" s="2">
        <v>6.0100002288818404</v>
      </c>
      <c r="J248" s="2">
        <v>0</v>
      </c>
      <c r="K248" s="3">
        <v>13</v>
      </c>
      <c r="L248" s="3">
        <v>9</v>
      </c>
      <c r="M248" s="3">
        <v>306</v>
      </c>
      <c r="N248" s="3">
        <v>1112</v>
      </c>
      <c r="O248" s="3">
        <v>2124</v>
      </c>
      <c r="P248" t="str">
        <f t="shared" si="6"/>
        <v>Tue</v>
      </c>
      <c r="Q248" t="str">
        <f t="shared" si="7"/>
        <v>Vey Active</v>
      </c>
    </row>
    <row r="249" spans="1:17">
      <c r="A249">
        <v>2347167796</v>
      </c>
      <c r="B249" s="1">
        <v>42489</v>
      </c>
      <c r="C249" s="3">
        <v>42</v>
      </c>
      <c r="D249" s="2">
        <v>2.9999999329447701E-2</v>
      </c>
      <c r="E249" s="2">
        <v>2.9999999329447701E-2</v>
      </c>
      <c r="F249" s="2">
        <v>0</v>
      </c>
      <c r="G249" s="2">
        <v>0</v>
      </c>
      <c r="H249" s="2">
        <v>0</v>
      </c>
      <c r="I249" s="2">
        <v>2.9999999329447701E-2</v>
      </c>
      <c r="J249" s="2">
        <v>0</v>
      </c>
      <c r="K249" s="3">
        <v>0</v>
      </c>
      <c r="L249" s="3">
        <v>0</v>
      </c>
      <c r="M249" s="3">
        <v>4</v>
      </c>
      <c r="N249" s="3">
        <v>2</v>
      </c>
      <c r="O249" s="3">
        <v>403</v>
      </c>
      <c r="P249" t="str">
        <f t="shared" si="6"/>
        <v>Fri</v>
      </c>
      <c r="Q249" t="str">
        <f t="shared" si="7"/>
        <v>Sedentary</v>
      </c>
    </row>
    <row r="250" spans="1:17">
      <c r="A250">
        <v>2347167796</v>
      </c>
      <c r="B250" s="1">
        <v>42488</v>
      </c>
      <c r="C250" s="3">
        <v>5439</v>
      </c>
      <c r="D250" s="2">
        <v>3.5999999046325701</v>
      </c>
      <c r="E250" s="2">
        <v>3.5999999046325701</v>
      </c>
      <c r="F250" s="2">
        <v>0</v>
      </c>
      <c r="G250" s="2">
        <v>0</v>
      </c>
      <c r="H250" s="2">
        <v>0</v>
      </c>
      <c r="I250" s="2">
        <v>3.5999999046325701</v>
      </c>
      <c r="J250" s="2">
        <v>0</v>
      </c>
      <c r="K250" s="3">
        <v>0</v>
      </c>
      <c r="L250" s="3">
        <v>0</v>
      </c>
      <c r="M250" s="3">
        <v>229</v>
      </c>
      <c r="N250" s="3">
        <v>764</v>
      </c>
      <c r="O250" s="3">
        <v>1854</v>
      </c>
      <c r="P250" t="str">
        <f t="shared" si="6"/>
        <v>Thu</v>
      </c>
      <c r="Q250" t="str">
        <f t="shared" si="7"/>
        <v>Lightly Active</v>
      </c>
    </row>
    <row r="251" spans="1:17">
      <c r="A251">
        <v>2347167796</v>
      </c>
      <c r="B251" s="1">
        <v>42477</v>
      </c>
      <c r="C251" s="3">
        <v>5472</v>
      </c>
      <c r="D251" s="2">
        <v>3.6199998855590798</v>
      </c>
      <c r="E251" s="2">
        <v>3.6199998855590798</v>
      </c>
      <c r="F251" s="2">
        <v>0</v>
      </c>
      <c r="G251" s="2">
        <v>7.9999998211860698E-2</v>
      </c>
      <c r="H251" s="2">
        <v>0.28000000119209301</v>
      </c>
      <c r="I251" s="2">
        <v>3.2599999904632599</v>
      </c>
      <c r="J251" s="2">
        <v>0</v>
      </c>
      <c r="K251" s="3">
        <v>1</v>
      </c>
      <c r="L251" s="3">
        <v>7</v>
      </c>
      <c r="M251" s="3">
        <v>249</v>
      </c>
      <c r="N251" s="3">
        <v>508</v>
      </c>
      <c r="O251" s="3">
        <v>1882</v>
      </c>
      <c r="P251" t="str">
        <f t="shared" si="6"/>
        <v>Sun</v>
      </c>
      <c r="Q251" t="str">
        <f t="shared" si="7"/>
        <v>Lightly Active</v>
      </c>
    </row>
    <row r="252" spans="1:17">
      <c r="A252">
        <v>2347167796</v>
      </c>
      <c r="B252" s="1">
        <v>42486</v>
      </c>
      <c r="C252" s="3">
        <v>5980</v>
      </c>
      <c r="D252" s="2">
        <v>3.9500000476837198</v>
      </c>
      <c r="E252" s="2">
        <v>3.9500000476837198</v>
      </c>
      <c r="F252" s="2">
        <v>0</v>
      </c>
      <c r="G252" s="2">
        <v>0</v>
      </c>
      <c r="H252" s="2">
        <v>0</v>
      </c>
      <c r="I252" s="2">
        <v>3.9500000476837198</v>
      </c>
      <c r="J252" s="2">
        <v>0</v>
      </c>
      <c r="K252" s="3">
        <v>0</v>
      </c>
      <c r="L252" s="3">
        <v>0</v>
      </c>
      <c r="M252" s="3">
        <v>227</v>
      </c>
      <c r="N252" s="3">
        <v>732</v>
      </c>
      <c r="O252" s="3">
        <v>1861</v>
      </c>
      <c r="P252" t="str">
        <f t="shared" si="6"/>
        <v>Tue</v>
      </c>
      <c r="Q252" t="str">
        <f t="shared" si="7"/>
        <v>Lightly Active</v>
      </c>
    </row>
    <row r="253" spans="1:17">
      <c r="A253">
        <v>2347167796</v>
      </c>
      <c r="B253" s="1">
        <v>42479</v>
      </c>
      <c r="C253" s="3">
        <v>6711</v>
      </c>
      <c r="D253" s="2">
        <v>4.4400000572204599</v>
      </c>
      <c r="E253" s="2">
        <v>4.4400000572204599</v>
      </c>
      <c r="F253" s="2">
        <v>0</v>
      </c>
      <c r="G253" s="2">
        <v>0</v>
      </c>
      <c r="H253" s="2">
        <v>0</v>
      </c>
      <c r="I253" s="2">
        <v>4.4400000572204599</v>
      </c>
      <c r="J253" s="2">
        <v>0</v>
      </c>
      <c r="K253" s="3">
        <v>0</v>
      </c>
      <c r="L253" s="3">
        <v>7</v>
      </c>
      <c r="M253" s="3">
        <v>382</v>
      </c>
      <c r="N253" s="3">
        <v>648</v>
      </c>
      <c r="O253" s="3">
        <v>2346</v>
      </c>
      <c r="P253" t="str">
        <f t="shared" si="6"/>
        <v>Tue</v>
      </c>
      <c r="Q253" t="str">
        <f t="shared" si="7"/>
        <v>Lightly Active</v>
      </c>
    </row>
    <row r="254" spans="1:17">
      <c r="A254">
        <v>2347167796</v>
      </c>
      <c r="B254" s="1">
        <v>42482</v>
      </c>
      <c r="C254" s="3">
        <v>7804</v>
      </c>
      <c r="D254" s="2">
        <v>5.1599998474121103</v>
      </c>
      <c r="E254" s="2">
        <v>5.1599998474121103</v>
      </c>
      <c r="F254" s="2">
        <v>0</v>
      </c>
      <c r="G254" s="2">
        <v>0.56000000238418601</v>
      </c>
      <c r="H254" s="2">
        <v>1.6799999475479099</v>
      </c>
      <c r="I254" s="2">
        <v>2.9200000762939502</v>
      </c>
      <c r="J254" s="2">
        <v>0</v>
      </c>
      <c r="K254" s="3">
        <v>9</v>
      </c>
      <c r="L254" s="3">
        <v>27</v>
      </c>
      <c r="M254" s="3">
        <v>206</v>
      </c>
      <c r="N254" s="3">
        <v>781</v>
      </c>
      <c r="O254" s="3">
        <v>1946</v>
      </c>
      <c r="P254" t="str">
        <f t="shared" si="6"/>
        <v>Fri</v>
      </c>
      <c r="Q254" t="str">
        <f t="shared" si="7"/>
        <v>Fairly Active</v>
      </c>
    </row>
    <row r="255" spans="1:17">
      <c r="A255">
        <v>2347167796</v>
      </c>
      <c r="B255" s="1">
        <v>42478</v>
      </c>
      <c r="C255" s="3">
        <v>8247</v>
      </c>
      <c r="D255" s="2">
        <v>5.4499998092651403</v>
      </c>
      <c r="E255" s="2">
        <v>5.4499998092651403</v>
      </c>
      <c r="F255" s="2">
        <v>0</v>
      </c>
      <c r="G255" s="2">
        <v>0.79000002145767201</v>
      </c>
      <c r="H255" s="2">
        <v>0.86000001430511497</v>
      </c>
      <c r="I255" s="2">
        <v>3.78999996185303</v>
      </c>
      <c r="J255" s="2">
        <v>0</v>
      </c>
      <c r="K255" s="3">
        <v>11</v>
      </c>
      <c r="L255" s="3">
        <v>16</v>
      </c>
      <c r="M255" s="3">
        <v>206</v>
      </c>
      <c r="N255" s="3">
        <v>678</v>
      </c>
      <c r="O255" s="3">
        <v>1944</v>
      </c>
      <c r="P255" t="str">
        <f t="shared" si="6"/>
        <v>Mon</v>
      </c>
      <c r="Q255" t="str">
        <f t="shared" si="7"/>
        <v>Fairly Active</v>
      </c>
    </row>
    <row r="256" spans="1:17">
      <c r="A256">
        <v>2347167796</v>
      </c>
      <c r="B256" s="1">
        <v>42484</v>
      </c>
      <c r="C256" s="3">
        <v>9471</v>
      </c>
      <c r="D256" s="2">
        <v>6.2600002288818404</v>
      </c>
      <c r="E256" s="2">
        <v>6.2600002288818404</v>
      </c>
      <c r="F256" s="2">
        <v>0</v>
      </c>
      <c r="G256" s="2">
        <v>0</v>
      </c>
      <c r="H256" s="2">
        <v>0</v>
      </c>
      <c r="I256" s="2">
        <v>6.2600002288818404</v>
      </c>
      <c r="J256" s="2">
        <v>0</v>
      </c>
      <c r="K256" s="3">
        <v>0</v>
      </c>
      <c r="L256" s="3">
        <v>0</v>
      </c>
      <c r="M256" s="3">
        <v>360</v>
      </c>
      <c r="N256" s="3">
        <v>584</v>
      </c>
      <c r="O256" s="3">
        <v>2187</v>
      </c>
      <c r="P256" t="str">
        <f t="shared" si="6"/>
        <v>Sun</v>
      </c>
      <c r="Q256" t="str">
        <f t="shared" si="7"/>
        <v>Fairly Active</v>
      </c>
    </row>
    <row r="257" spans="1:17">
      <c r="A257">
        <v>2347167796</v>
      </c>
      <c r="B257" s="1">
        <v>42485</v>
      </c>
      <c r="C257" s="3">
        <v>9482</v>
      </c>
      <c r="D257" s="2">
        <v>6.3800001144409197</v>
      </c>
      <c r="E257" s="2">
        <v>6.3800001144409197</v>
      </c>
      <c r="F257" s="2">
        <v>0</v>
      </c>
      <c r="G257" s="2">
        <v>1.2699999809265099</v>
      </c>
      <c r="H257" s="2">
        <v>0.519999980926514</v>
      </c>
      <c r="I257" s="2">
        <v>4.5999999046325701</v>
      </c>
      <c r="J257" s="2">
        <v>0</v>
      </c>
      <c r="K257" s="3">
        <v>15</v>
      </c>
      <c r="L257" s="3">
        <v>11</v>
      </c>
      <c r="M257" s="3">
        <v>277</v>
      </c>
      <c r="N257" s="3">
        <v>653</v>
      </c>
      <c r="O257" s="3">
        <v>2095</v>
      </c>
      <c r="P257" t="str">
        <f t="shared" si="6"/>
        <v>Mon</v>
      </c>
      <c r="Q257" t="str">
        <f t="shared" si="7"/>
        <v>Fairly Active</v>
      </c>
    </row>
    <row r="258" spans="1:17">
      <c r="A258">
        <v>2347167796</v>
      </c>
      <c r="B258" s="1">
        <v>42481</v>
      </c>
      <c r="C258" s="3">
        <v>10080</v>
      </c>
      <c r="D258" s="2">
        <v>6.75</v>
      </c>
      <c r="E258" s="2">
        <v>6.75</v>
      </c>
      <c r="F258" s="2">
        <v>0</v>
      </c>
      <c r="G258" s="2">
        <v>1.8500000238418599</v>
      </c>
      <c r="H258" s="2">
        <v>1.5299999713897701</v>
      </c>
      <c r="I258" s="2">
        <v>3.3800001144409202</v>
      </c>
      <c r="J258" s="2">
        <v>0</v>
      </c>
      <c r="K258" s="3">
        <v>23</v>
      </c>
      <c r="L258" s="3">
        <v>26</v>
      </c>
      <c r="M258" s="3">
        <v>208</v>
      </c>
      <c r="N258" s="3">
        <v>761</v>
      </c>
      <c r="O258" s="3">
        <v>2048</v>
      </c>
      <c r="P258" t="str">
        <f t="shared" ref="P258:P321" si="8">TEXT(B258, "ddd")</f>
        <v>Thu</v>
      </c>
      <c r="Q258" t="str">
        <f t="shared" ref="Q258:Q321" si="9">IF(C258&lt;5000, "Sedentary", IF(C258&lt;7500, "Lightly Active",IF(C258&lt;10000, "Fairly Active", "Vey Active")))</f>
        <v>Vey Active</v>
      </c>
    </row>
    <row r="259" spans="1:17">
      <c r="A259">
        <v>2347167796</v>
      </c>
      <c r="B259" s="1">
        <v>42472</v>
      </c>
      <c r="C259" s="3">
        <v>10113</v>
      </c>
      <c r="D259" s="2">
        <v>6.8299999237060502</v>
      </c>
      <c r="E259" s="2">
        <v>6.8299999237060502</v>
      </c>
      <c r="F259" s="2">
        <v>0</v>
      </c>
      <c r="G259" s="2">
        <v>2</v>
      </c>
      <c r="H259" s="2">
        <v>0.62000000476837203</v>
      </c>
      <c r="I259" s="2">
        <v>4.1999998092651403</v>
      </c>
      <c r="J259" s="2">
        <v>0</v>
      </c>
      <c r="K259" s="3">
        <v>28</v>
      </c>
      <c r="L259" s="3">
        <v>13</v>
      </c>
      <c r="M259" s="3">
        <v>320</v>
      </c>
      <c r="N259" s="3">
        <v>964</v>
      </c>
      <c r="O259" s="3">
        <v>2344</v>
      </c>
      <c r="P259" t="str">
        <f t="shared" si="8"/>
        <v>Tue</v>
      </c>
      <c r="Q259" t="str">
        <f t="shared" si="9"/>
        <v>Vey Active</v>
      </c>
    </row>
    <row r="260" spans="1:17">
      <c r="A260">
        <v>2347167796</v>
      </c>
      <c r="B260" s="1">
        <v>42474</v>
      </c>
      <c r="C260" s="3">
        <v>10129</v>
      </c>
      <c r="D260" s="2">
        <v>6.6999998092651403</v>
      </c>
      <c r="E260" s="2">
        <v>6.6999998092651403</v>
      </c>
      <c r="F260" s="2">
        <v>0</v>
      </c>
      <c r="G260" s="2">
        <v>1.9999999552965199E-2</v>
      </c>
      <c r="H260" s="2">
        <v>2.7400000095367401</v>
      </c>
      <c r="I260" s="2">
        <v>3.9400000572204599</v>
      </c>
      <c r="J260" s="2">
        <v>0</v>
      </c>
      <c r="K260" s="3">
        <v>1</v>
      </c>
      <c r="L260" s="3">
        <v>48</v>
      </c>
      <c r="M260" s="3">
        <v>206</v>
      </c>
      <c r="N260" s="3">
        <v>705</v>
      </c>
      <c r="O260" s="3">
        <v>2010</v>
      </c>
      <c r="P260" t="str">
        <f t="shared" si="8"/>
        <v>Thu</v>
      </c>
      <c r="Q260" t="str">
        <f t="shared" si="9"/>
        <v>Vey Active</v>
      </c>
    </row>
    <row r="261" spans="1:17">
      <c r="A261">
        <v>2347167796</v>
      </c>
      <c r="B261" s="1">
        <v>42473</v>
      </c>
      <c r="C261" s="3">
        <v>10352</v>
      </c>
      <c r="D261" s="2">
        <v>7.0100002288818404</v>
      </c>
      <c r="E261" s="2">
        <v>7.0100002288818404</v>
      </c>
      <c r="F261" s="2">
        <v>0</v>
      </c>
      <c r="G261" s="2">
        <v>1.6599999666214</v>
      </c>
      <c r="H261" s="2">
        <v>1.9400000572204601</v>
      </c>
      <c r="I261" s="2">
        <v>3.4100000858306898</v>
      </c>
      <c r="J261" s="2">
        <v>0</v>
      </c>
      <c r="K261" s="3">
        <v>19</v>
      </c>
      <c r="L261" s="3">
        <v>32</v>
      </c>
      <c r="M261" s="3">
        <v>195</v>
      </c>
      <c r="N261" s="3">
        <v>676</v>
      </c>
      <c r="O261" s="3">
        <v>2038</v>
      </c>
      <c r="P261" t="str">
        <f t="shared" si="8"/>
        <v>Wed</v>
      </c>
      <c r="Q261" t="str">
        <f t="shared" si="9"/>
        <v>Vey Active</v>
      </c>
    </row>
    <row r="262" spans="1:17">
      <c r="A262">
        <v>2347167796</v>
      </c>
      <c r="B262" s="1">
        <v>42475</v>
      </c>
      <c r="C262" s="3">
        <v>10465</v>
      </c>
      <c r="D262" s="2">
        <v>6.9200000762939498</v>
      </c>
      <c r="E262" s="2">
        <v>6.9200000762939498</v>
      </c>
      <c r="F262" s="2">
        <v>0</v>
      </c>
      <c r="G262" s="2">
        <v>7.0000000298023196E-2</v>
      </c>
      <c r="H262" s="2">
        <v>1.41999995708466</v>
      </c>
      <c r="I262" s="2">
        <v>5.4299998283386204</v>
      </c>
      <c r="J262" s="2">
        <v>0</v>
      </c>
      <c r="K262" s="3">
        <v>1</v>
      </c>
      <c r="L262" s="3">
        <v>24</v>
      </c>
      <c r="M262" s="3">
        <v>284</v>
      </c>
      <c r="N262" s="3">
        <v>720</v>
      </c>
      <c r="O262" s="3">
        <v>2133</v>
      </c>
      <c r="P262" t="str">
        <f t="shared" si="8"/>
        <v>Fri</v>
      </c>
      <c r="Q262" t="str">
        <f t="shared" si="9"/>
        <v>Vey Active</v>
      </c>
    </row>
    <row r="263" spans="1:17">
      <c r="A263">
        <v>2347167796</v>
      </c>
      <c r="B263" s="1">
        <v>42480</v>
      </c>
      <c r="C263" s="3">
        <v>10999</v>
      </c>
      <c r="D263" s="2">
        <v>7.2699999809265101</v>
      </c>
      <c r="E263" s="2">
        <v>7.2699999809265101</v>
      </c>
      <c r="F263" s="2">
        <v>0</v>
      </c>
      <c r="G263" s="2">
        <v>0.68000000715255704</v>
      </c>
      <c r="H263" s="2">
        <v>1.8099999427795399</v>
      </c>
      <c r="I263" s="2">
        <v>4.7800002098083496</v>
      </c>
      <c r="J263" s="2">
        <v>0</v>
      </c>
      <c r="K263" s="3">
        <v>11</v>
      </c>
      <c r="L263" s="3">
        <v>43</v>
      </c>
      <c r="M263" s="3">
        <v>269</v>
      </c>
      <c r="N263" s="3">
        <v>1011</v>
      </c>
      <c r="O263" s="3">
        <v>2198</v>
      </c>
      <c r="P263" t="str">
        <f t="shared" si="8"/>
        <v>Wed</v>
      </c>
      <c r="Q263" t="str">
        <f t="shared" si="9"/>
        <v>Vey Active</v>
      </c>
    </row>
    <row r="264" spans="1:17">
      <c r="A264">
        <v>2347167796</v>
      </c>
      <c r="B264" s="1">
        <v>42487</v>
      </c>
      <c r="C264" s="3">
        <v>11423</v>
      </c>
      <c r="D264" s="2">
        <v>7.5799999237060502</v>
      </c>
      <c r="E264" s="2">
        <v>7.5799999237060502</v>
      </c>
      <c r="F264" s="2">
        <v>0</v>
      </c>
      <c r="G264" s="2">
        <v>1.8600000143051101</v>
      </c>
      <c r="H264" s="2">
        <v>0.40000000596046398</v>
      </c>
      <c r="I264" s="2">
        <v>5.3200001716613796</v>
      </c>
      <c r="J264" s="2">
        <v>0</v>
      </c>
      <c r="K264" s="3">
        <v>26</v>
      </c>
      <c r="L264" s="3">
        <v>9</v>
      </c>
      <c r="M264" s="3">
        <v>295</v>
      </c>
      <c r="N264" s="3">
        <v>623</v>
      </c>
      <c r="O264" s="3">
        <v>2194</v>
      </c>
      <c r="P264" t="str">
        <f t="shared" si="8"/>
        <v>Wed</v>
      </c>
      <c r="Q264" t="str">
        <f t="shared" si="9"/>
        <v>Vey Active</v>
      </c>
    </row>
    <row r="265" spans="1:17">
      <c r="A265">
        <v>2347167796</v>
      </c>
      <c r="B265" s="1">
        <v>42483</v>
      </c>
      <c r="C265" s="3">
        <v>16901</v>
      </c>
      <c r="D265" s="2">
        <v>11.3699998855591</v>
      </c>
      <c r="E265" s="2">
        <v>11.3699998855591</v>
      </c>
      <c r="F265" s="2">
        <v>0</v>
      </c>
      <c r="G265" s="2">
        <v>2.7799999713897701</v>
      </c>
      <c r="H265" s="2">
        <v>1.45000004768372</v>
      </c>
      <c r="I265" s="2">
        <v>7.1500000953674299</v>
      </c>
      <c r="J265" s="2">
        <v>0</v>
      </c>
      <c r="K265" s="3">
        <v>32</v>
      </c>
      <c r="L265" s="3">
        <v>35</v>
      </c>
      <c r="M265" s="3">
        <v>360</v>
      </c>
      <c r="N265" s="3">
        <v>591</v>
      </c>
      <c r="O265" s="3">
        <v>2629</v>
      </c>
      <c r="P265" t="str">
        <f t="shared" si="8"/>
        <v>Sat</v>
      </c>
      <c r="Q265" t="str">
        <f t="shared" si="9"/>
        <v>Vey Active</v>
      </c>
    </row>
    <row r="266" spans="1:17">
      <c r="A266">
        <v>2347167796</v>
      </c>
      <c r="B266" s="1">
        <v>42476</v>
      </c>
      <c r="C266" s="3">
        <v>22244</v>
      </c>
      <c r="D266" s="2">
        <v>15.079999923706101</v>
      </c>
      <c r="E266" s="2">
        <v>15.079999923706101</v>
      </c>
      <c r="F266" s="2">
        <v>0</v>
      </c>
      <c r="G266" s="2">
        <v>5.4499998092651403</v>
      </c>
      <c r="H266" s="2">
        <v>4.0999999046325701</v>
      </c>
      <c r="I266" s="2">
        <v>5.5300002098083496</v>
      </c>
      <c r="J266" s="2">
        <v>0</v>
      </c>
      <c r="K266" s="3">
        <v>66</v>
      </c>
      <c r="L266" s="3">
        <v>72</v>
      </c>
      <c r="M266" s="3">
        <v>268</v>
      </c>
      <c r="N266" s="3">
        <v>968</v>
      </c>
      <c r="O266" s="3">
        <v>2670</v>
      </c>
      <c r="P266" t="str">
        <f t="shared" si="8"/>
        <v>Sat</v>
      </c>
      <c r="Q266" t="str">
        <f t="shared" si="9"/>
        <v>Vey Active</v>
      </c>
    </row>
    <row r="267" spans="1:17">
      <c r="A267">
        <v>2873212765</v>
      </c>
      <c r="B267" s="1">
        <v>42477</v>
      </c>
      <c r="C267" s="3">
        <v>2524</v>
      </c>
      <c r="D267" s="2">
        <v>1.70000004768372</v>
      </c>
      <c r="E267" s="2">
        <v>1.70000004768372</v>
      </c>
      <c r="F267" s="2">
        <v>0</v>
      </c>
      <c r="G267" s="2">
        <v>0</v>
      </c>
      <c r="H267" s="2">
        <v>0.34999999403953602</v>
      </c>
      <c r="I267" s="2">
        <v>1.3400000333786</v>
      </c>
      <c r="J267" s="2">
        <v>0</v>
      </c>
      <c r="K267" s="3">
        <v>0</v>
      </c>
      <c r="L267" s="3">
        <v>8</v>
      </c>
      <c r="M267" s="3">
        <v>160</v>
      </c>
      <c r="N267" s="3">
        <v>1272</v>
      </c>
      <c r="O267" s="3">
        <v>1529</v>
      </c>
      <c r="P267" t="str">
        <f t="shared" si="8"/>
        <v>Sun</v>
      </c>
      <c r="Q267" t="str">
        <f t="shared" si="9"/>
        <v>Sedentary</v>
      </c>
    </row>
    <row r="268" spans="1:17">
      <c r="A268">
        <v>2873212765</v>
      </c>
      <c r="B268" s="1">
        <v>42487</v>
      </c>
      <c r="C268" s="3">
        <v>3516</v>
      </c>
      <c r="D268" s="2">
        <v>2.3599998950958301</v>
      </c>
      <c r="E268" s="2">
        <v>2.3599998950958301</v>
      </c>
      <c r="F268" s="2">
        <v>0</v>
      </c>
      <c r="G268" s="2">
        <v>0</v>
      </c>
      <c r="H268" s="2">
        <v>0</v>
      </c>
      <c r="I268" s="2">
        <v>2.3599998950958301</v>
      </c>
      <c r="J268" s="2">
        <v>0</v>
      </c>
      <c r="K268" s="3">
        <v>46</v>
      </c>
      <c r="L268" s="3">
        <v>0</v>
      </c>
      <c r="M268" s="3">
        <v>197</v>
      </c>
      <c r="N268" s="3">
        <v>1197</v>
      </c>
      <c r="O268" s="3">
        <v>1966</v>
      </c>
      <c r="P268" t="str">
        <f t="shared" si="8"/>
        <v>Wed</v>
      </c>
      <c r="Q268" t="str">
        <f t="shared" si="9"/>
        <v>Sedentary</v>
      </c>
    </row>
    <row r="269" spans="1:17">
      <c r="A269">
        <v>2873212765</v>
      </c>
      <c r="B269" s="1">
        <v>42497</v>
      </c>
      <c r="C269" s="3">
        <v>4940</v>
      </c>
      <c r="D269" s="2">
        <v>3.3800001144409202</v>
      </c>
      <c r="E269" s="2">
        <v>3.3800001144409202</v>
      </c>
      <c r="F269" s="2">
        <v>0</v>
      </c>
      <c r="G269" s="2">
        <v>2.2799999713897701</v>
      </c>
      <c r="H269" s="2">
        <v>0.55000001192092896</v>
      </c>
      <c r="I269" s="2">
        <v>0.55000001192092896</v>
      </c>
      <c r="J269" s="2">
        <v>0</v>
      </c>
      <c r="K269" s="3">
        <v>75</v>
      </c>
      <c r="L269" s="3">
        <v>11</v>
      </c>
      <c r="M269" s="3">
        <v>52</v>
      </c>
      <c r="N269" s="3">
        <v>1302</v>
      </c>
      <c r="O269" s="3">
        <v>1897</v>
      </c>
      <c r="P269" t="str">
        <f t="shared" si="8"/>
        <v>Sat</v>
      </c>
      <c r="Q269" t="str">
        <f t="shared" si="9"/>
        <v>Sedentary</v>
      </c>
    </row>
    <row r="270" spans="1:17">
      <c r="A270">
        <v>2873212765</v>
      </c>
      <c r="B270" s="1">
        <v>42501</v>
      </c>
      <c r="C270" s="3">
        <v>6440</v>
      </c>
      <c r="D270" s="2">
        <v>4.3299999237060502</v>
      </c>
      <c r="E270" s="2">
        <v>4.3299999237060502</v>
      </c>
      <c r="F270" s="2">
        <v>0</v>
      </c>
      <c r="G270" s="2">
        <v>0</v>
      </c>
      <c r="H270" s="2">
        <v>0</v>
      </c>
      <c r="I270" s="2">
        <v>4.3200001716613796</v>
      </c>
      <c r="J270" s="2">
        <v>9.9999997764825804E-3</v>
      </c>
      <c r="K270" s="3">
        <v>0</v>
      </c>
      <c r="L270" s="3">
        <v>0</v>
      </c>
      <c r="M270" s="3">
        <v>319</v>
      </c>
      <c r="N270" s="3">
        <v>1121</v>
      </c>
      <c r="O270" s="3">
        <v>1826</v>
      </c>
      <c r="P270" t="str">
        <f t="shared" si="8"/>
        <v>Wed</v>
      </c>
      <c r="Q270" t="str">
        <f t="shared" si="9"/>
        <v>Lightly Active</v>
      </c>
    </row>
    <row r="271" spans="1:17">
      <c r="A271">
        <v>2873212765</v>
      </c>
      <c r="B271" s="1">
        <v>42484</v>
      </c>
      <c r="C271" s="3">
        <v>6873</v>
      </c>
      <c r="D271" s="2">
        <v>4.6799998283386204</v>
      </c>
      <c r="E271" s="2">
        <v>4.6799998283386204</v>
      </c>
      <c r="F271" s="2">
        <v>0</v>
      </c>
      <c r="G271" s="2">
        <v>3</v>
      </c>
      <c r="H271" s="2">
        <v>5.9999998658895499E-2</v>
      </c>
      <c r="I271" s="2">
        <v>1.62000000476837</v>
      </c>
      <c r="J271" s="2">
        <v>0</v>
      </c>
      <c r="K271" s="3">
        <v>46</v>
      </c>
      <c r="L271" s="3">
        <v>1</v>
      </c>
      <c r="M271" s="3">
        <v>190</v>
      </c>
      <c r="N271" s="3">
        <v>1203</v>
      </c>
      <c r="O271" s="3">
        <v>1898</v>
      </c>
      <c r="P271" t="str">
        <f t="shared" si="8"/>
        <v>Sun</v>
      </c>
      <c r="Q271" t="str">
        <f t="shared" si="9"/>
        <v>Lightly Active</v>
      </c>
    </row>
    <row r="272" spans="1:17">
      <c r="A272">
        <v>2873212765</v>
      </c>
      <c r="B272" s="1">
        <v>42496</v>
      </c>
      <c r="C272" s="3">
        <v>7063</v>
      </c>
      <c r="D272" s="2">
        <v>4.75</v>
      </c>
      <c r="E272" s="2">
        <v>4.75</v>
      </c>
      <c r="F272" s="2">
        <v>0</v>
      </c>
      <c r="G272" s="2">
        <v>0</v>
      </c>
      <c r="H272" s="2">
        <v>0.119999997317791</v>
      </c>
      <c r="I272" s="2">
        <v>4.6100001335143999</v>
      </c>
      <c r="J272" s="2">
        <v>9.9999997764825804E-3</v>
      </c>
      <c r="K272" s="3">
        <v>0</v>
      </c>
      <c r="L272" s="3">
        <v>5</v>
      </c>
      <c r="M272" s="3">
        <v>370</v>
      </c>
      <c r="N272" s="3">
        <v>1065</v>
      </c>
      <c r="O272" s="3">
        <v>1910</v>
      </c>
      <c r="P272" t="str">
        <f t="shared" si="8"/>
        <v>Fri</v>
      </c>
      <c r="Q272" t="str">
        <f t="shared" si="9"/>
        <v>Lightly Active</v>
      </c>
    </row>
    <row r="273" spans="1:17">
      <c r="A273">
        <v>2873212765</v>
      </c>
      <c r="B273" s="1">
        <v>42482</v>
      </c>
      <c r="C273" s="3">
        <v>7286</v>
      </c>
      <c r="D273" s="2">
        <v>4.9000000953674299</v>
      </c>
      <c r="E273" s="2">
        <v>4.9000000953674299</v>
      </c>
      <c r="F273" s="2">
        <v>0</v>
      </c>
      <c r="G273" s="2">
        <v>0.46000000834464999</v>
      </c>
      <c r="H273" s="2">
        <v>0</v>
      </c>
      <c r="I273" s="2">
        <v>4.4200000762939498</v>
      </c>
      <c r="J273" s="2">
        <v>1.9999999552965199E-2</v>
      </c>
      <c r="K273" s="3">
        <v>46</v>
      </c>
      <c r="L273" s="3">
        <v>0</v>
      </c>
      <c r="M273" s="3">
        <v>366</v>
      </c>
      <c r="N273" s="3">
        <v>1028</v>
      </c>
      <c r="O273" s="3">
        <v>2241</v>
      </c>
      <c r="P273" t="str">
        <f t="shared" si="8"/>
        <v>Fri</v>
      </c>
      <c r="Q273" t="str">
        <f t="shared" si="9"/>
        <v>Lightly Active</v>
      </c>
    </row>
    <row r="274" spans="1:17">
      <c r="A274">
        <v>2873212765</v>
      </c>
      <c r="B274" s="1">
        <v>42489</v>
      </c>
      <c r="C274" s="3">
        <v>7365</v>
      </c>
      <c r="D274" s="2">
        <v>4.9499998092651403</v>
      </c>
      <c r="E274" s="2">
        <v>4.9499998092651403</v>
      </c>
      <c r="F274" s="2">
        <v>0</v>
      </c>
      <c r="G274" s="2">
        <v>1.3600000143051101</v>
      </c>
      <c r="H274" s="2">
        <v>1.4099999666214</v>
      </c>
      <c r="I274" s="2">
        <v>2.1800000667571999</v>
      </c>
      <c r="J274" s="2">
        <v>0</v>
      </c>
      <c r="K274" s="3">
        <v>20</v>
      </c>
      <c r="L274" s="3">
        <v>23</v>
      </c>
      <c r="M274" s="3">
        <v>206</v>
      </c>
      <c r="N274" s="3">
        <v>1191</v>
      </c>
      <c r="O274" s="3">
        <v>1780</v>
      </c>
      <c r="P274" t="str">
        <f t="shared" si="8"/>
        <v>Fri</v>
      </c>
      <c r="Q274" t="str">
        <f t="shared" si="9"/>
        <v>Lightly Active</v>
      </c>
    </row>
    <row r="275" spans="1:17">
      <c r="A275">
        <v>2873212765</v>
      </c>
      <c r="B275" s="1">
        <v>42485</v>
      </c>
      <c r="C275" s="3">
        <v>7373</v>
      </c>
      <c r="D275" s="2">
        <v>4.9499998092651403</v>
      </c>
      <c r="E275" s="2">
        <v>4.9499998092651403</v>
      </c>
      <c r="F275" s="2">
        <v>0</v>
      </c>
      <c r="G275" s="2">
        <v>0</v>
      </c>
      <c r="H275" s="2">
        <v>0</v>
      </c>
      <c r="I275" s="2">
        <v>4.9499998092651403</v>
      </c>
      <c r="J275" s="2">
        <v>0</v>
      </c>
      <c r="K275" s="3">
        <v>0</v>
      </c>
      <c r="L275" s="3">
        <v>0</v>
      </c>
      <c r="M275" s="3">
        <v>359</v>
      </c>
      <c r="N275" s="3">
        <v>1081</v>
      </c>
      <c r="O275" s="3">
        <v>1907</v>
      </c>
      <c r="P275" t="str">
        <f t="shared" si="8"/>
        <v>Mon</v>
      </c>
      <c r="Q275" t="str">
        <f t="shared" si="9"/>
        <v>Lightly Active</v>
      </c>
    </row>
    <row r="276" spans="1:17">
      <c r="A276">
        <v>2873212765</v>
      </c>
      <c r="B276" s="1">
        <v>42491</v>
      </c>
      <c r="C276" s="3">
        <v>7399</v>
      </c>
      <c r="D276" s="2">
        <v>4.9699997901916504</v>
      </c>
      <c r="E276" s="2">
        <v>4.9699997901916504</v>
      </c>
      <c r="F276" s="2">
        <v>0</v>
      </c>
      <c r="G276" s="2">
        <v>0.490000009536743</v>
      </c>
      <c r="H276" s="2">
        <v>1.03999996185303</v>
      </c>
      <c r="I276" s="2">
        <v>3.4400000572204599</v>
      </c>
      <c r="J276" s="2">
        <v>0</v>
      </c>
      <c r="K276" s="3">
        <v>7</v>
      </c>
      <c r="L276" s="3">
        <v>18</v>
      </c>
      <c r="M276" s="3">
        <v>196</v>
      </c>
      <c r="N276" s="3">
        <v>1219</v>
      </c>
      <c r="O276" s="3">
        <v>1739</v>
      </c>
      <c r="P276" t="str">
        <f t="shared" si="8"/>
        <v>Sun</v>
      </c>
      <c r="Q276" t="str">
        <f t="shared" si="9"/>
        <v>Lightly Active</v>
      </c>
    </row>
    <row r="277" spans="1:17">
      <c r="A277">
        <v>2873212765</v>
      </c>
      <c r="B277" s="1">
        <v>42493</v>
      </c>
      <c r="C277" s="3">
        <v>7412</v>
      </c>
      <c r="D277" s="2">
        <v>4.9800000190734899</v>
      </c>
      <c r="E277" s="2">
        <v>4.9800000190734899</v>
      </c>
      <c r="F277" s="2">
        <v>0</v>
      </c>
      <c r="G277" s="2">
        <v>5.9999998658895499E-2</v>
      </c>
      <c r="H277" s="2">
        <v>0.25</v>
      </c>
      <c r="I277" s="2">
        <v>4.6599998474121103</v>
      </c>
      <c r="J277" s="2">
        <v>9.9999997764825804E-3</v>
      </c>
      <c r="K277" s="3">
        <v>1</v>
      </c>
      <c r="L277" s="3">
        <v>6</v>
      </c>
      <c r="M277" s="3">
        <v>363</v>
      </c>
      <c r="N277" s="3">
        <v>1070</v>
      </c>
      <c r="O277" s="3">
        <v>1906</v>
      </c>
      <c r="P277" t="str">
        <f t="shared" si="8"/>
        <v>Tue</v>
      </c>
      <c r="Q277" t="str">
        <f t="shared" si="9"/>
        <v>Lightly Active</v>
      </c>
    </row>
    <row r="278" spans="1:17">
      <c r="A278">
        <v>2873212765</v>
      </c>
      <c r="B278" s="1">
        <v>42492</v>
      </c>
      <c r="C278" s="3">
        <v>7525</v>
      </c>
      <c r="D278" s="2">
        <v>5.0599999427795401</v>
      </c>
      <c r="E278" s="2">
        <v>5.0599999427795401</v>
      </c>
      <c r="F278" s="2">
        <v>0</v>
      </c>
      <c r="G278" s="2">
        <v>0</v>
      </c>
      <c r="H278" s="2">
        <v>0.20999999344348899</v>
      </c>
      <c r="I278" s="2">
        <v>4.8299999237060502</v>
      </c>
      <c r="J278" s="2">
        <v>1.9999999552965199E-2</v>
      </c>
      <c r="K278" s="3">
        <v>0</v>
      </c>
      <c r="L278" s="3">
        <v>7</v>
      </c>
      <c r="M278" s="3">
        <v>334</v>
      </c>
      <c r="N278" s="3">
        <v>1099</v>
      </c>
      <c r="O278" s="3">
        <v>1878</v>
      </c>
      <c r="P278" t="str">
        <f t="shared" si="8"/>
        <v>Mon</v>
      </c>
      <c r="Q278" t="str">
        <f t="shared" si="9"/>
        <v>Fairly Active</v>
      </c>
    </row>
    <row r="279" spans="1:17">
      <c r="A279">
        <v>2873212765</v>
      </c>
      <c r="B279" s="1">
        <v>42502</v>
      </c>
      <c r="C279" s="3">
        <v>7566</v>
      </c>
      <c r="D279" s="2">
        <v>5.1100001335143999</v>
      </c>
      <c r="E279" s="2">
        <v>5.1100001335143999</v>
      </c>
      <c r="F279" s="2">
        <v>0</v>
      </c>
      <c r="G279" s="2">
        <v>0</v>
      </c>
      <c r="H279" s="2">
        <v>0</v>
      </c>
      <c r="I279" s="2">
        <v>5.1100001335143999</v>
      </c>
      <c r="J279" s="2">
        <v>0</v>
      </c>
      <c r="K279" s="3">
        <v>0</v>
      </c>
      <c r="L279" s="3">
        <v>0</v>
      </c>
      <c r="M279" s="3">
        <v>268</v>
      </c>
      <c r="N279" s="3">
        <v>720</v>
      </c>
      <c r="O279" s="3">
        <v>1431</v>
      </c>
      <c r="P279" t="str">
        <f t="shared" si="8"/>
        <v>Thu</v>
      </c>
      <c r="Q279" t="str">
        <f t="shared" si="9"/>
        <v>Fairly Active</v>
      </c>
    </row>
    <row r="280" spans="1:17">
      <c r="A280">
        <v>2873212765</v>
      </c>
      <c r="B280" s="1">
        <v>42473</v>
      </c>
      <c r="C280" s="3">
        <v>7618</v>
      </c>
      <c r="D280" s="2">
        <v>5.1199998855590803</v>
      </c>
      <c r="E280" s="2">
        <v>5.1199998855590803</v>
      </c>
      <c r="F280" s="2">
        <v>0</v>
      </c>
      <c r="G280" s="2">
        <v>0</v>
      </c>
      <c r="H280" s="2">
        <v>0.21999999880790699</v>
      </c>
      <c r="I280" s="2">
        <v>4.8800001144409197</v>
      </c>
      <c r="J280" s="2">
        <v>1.9999999552965199E-2</v>
      </c>
      <c r="K280" s="3">
        <v>0</v>
      </c>
      <c r="L280" s="3">
        <v>8</v>
      </c>
      <c r="M280" s="3">
        <v>404</v>
      </c>
      <c r="N280" s="3">
        <v>1028</v>
      </c>
      <c r="O280" s="3">
        <v>2004</v>
      </c>
      <c r="P280" t="str">
        <f t="shared" si="8"/>
        <v>Wed</v>
      </c>
      <c r="Q280" t="str">
        <f t="shared" si="9"/>
        <v>Fairly Active</v>
      </c>
    </row>
    <row r="281" spans="1:17">
      <c r="A281">
        <v>2873212765</v>
      </c>
      <c r="B281" s="1">
        <v>42499</v>
      </c>
      <c r="C281" s="3">
        <v>7726</v>
      </c>
      <c r="D281" s="2">
        <v>5.1900000572204599</v>
      </c>
      <c r="E281" s="2">
        <v>5.1900000572204599</v>
      </c>
      <c r="F281" s="2">
        <v>0</v>
      </c>
      <c r="G281" s="2">
        <v>0</v>
      </c>
      <c r="H281" s="2">
        <v>0</v>
      </c>
      <c r="I281" s="2">
        <v>5.1900000572204599</v>
      </c>
      <c r="J281" s="2">
        <v>0</v>
      </c>
      <c r="K281" s="3">
        <v>0</v>
      </c>
      <c r="L281" s="3">
        <v>0</v>
      </c>
      <c r="M281" s="3">
        <v>345</v>
      </c>
      <c r="N281" s="3">
        <v>1095</v>
      </c>
      <c r="O281" s="3">
        <v>1906</v>
      </c>
      <c r="P281" t="str">
        <f t="shared" si="8"/>
        <v>Mon</v>
      </c>
      <c r="Q281" t="str">
        <f t="shared" si="9"/>
        <v>Fairly Active</v>
      </c>
    </row>
    <row r="282" spans="1:17">
      <c r="A282">
        <v>2873212765</v>
      </c>
      <c r="B282" s="1">
        <v>42478</v>
      </c>
      <c r="C282" s="3">
        <v>7762</v>
      </c>
      <c r="D282" s="2">
        <v>5.2399997711181596</v>
      </c>
      <c r="E282" s="2">
        <v>5.2399997711181596</v>
      </c>
      <c r="F282" s="2">
        <v>0</v>
      </c>
      <c r="G282" s="2">
        <v>7.0000000298023196E-2</v>
      </c>
      <c r="H282" s="2">
        <v>0.28000000119209301</v>
      </c>
      <c r="I282" s="2">
        <v>4.8899998664856001</v>
      </c>
      <c r="J282" s="2">
        <v>0</v>
      </c>
      <c r="K282" s="3">
        <v>1</v>
      </c>
      <c r="L282" s="3">
        <v>6</v>
      </c>
      <c r="M282" s="3">
        <v>311</v>
      </c>
      <c r="N282" s="3">
        <v>1122</v>
      </c>
      <c r="O282" s="3">
        <v>1890</v>
      </c>
      <c r="P282" t="str">
        <f t="shared" si="8"/>
        <v>Mon</v>
      </c>
      <c r="Q282" t="str">
        <f t="shared" si="9"/>
        <v>Fairly Active</v>
      </c>
    </row>
    <row r="283" spans="1:17">
      <c r="A283">
        <v>2873212765</v>
      </c>
      <c r="B283" s="1">
        <v>42474</v>
      </c>
      <c r="C283" s="3">
        <v>7910</v>
      </c>
      <c r="D283" s="2">
        <v>5.3200001716613796</v>
      </c>
      <c r="E283" s="2">
        <v>5.3200001716613796</v>
      </c>
      <c r="F283" s="2">
        <v>0</v>
      </c>
      <c r="G283" s="2">
        <v>0</v>
      </c>
      <c r="H283" s="2">
        <v>0</v>
      </c>
      <c r="I283" s="2">
        <v>5.3200001716613796</v>
      </c>
      <c r="J283" s="2">
        <v>0</v>
      </c>
      <c r="K283" s="3">
        <v>0</v>
      </c>
      <c r="L283" s="3">
        <v>0</v>
      </c>
      <c r="M283" s="3">
        <v>331</v>
      </c>
      <c r="N283" s="3">
        <v>1109</v>
      </c>
      <c r="O283" s="3">
        <v>1893</v>
      </c>
      <c r="P283" t="str">
        <f t="shared" si="8"/>
        <v>Thu</v>
      </c>
      <c r="Q283" t="str">
        <f t="shared" si="9"/>
        <v>Fairly Active</v>
      </c>
    </row>
    <row r="284" spans="1:17">
      <c r="A284">
        <v>2873212765</v>
      </c>
      <c r="B284" s="1">
        <v>42488</v>
      </c>
      <c r="C284" s="3">
        <v>7913</v>
      </c>
      <c r="D284" s="2">
        <v>5.4099998474121103</v>
      </c>
      <c r="E284" s="2">
        <v>5.4099998474121103</v>
      </c>
      <c r="F284" s="2">
        <v>0</v>
      </c>
      <c r="G284" s="2">
        <v>2.1600000858306898</v>
      </c>
      <c r="H284" s="2">
        <v>0.34000000357627902</v>
      </c>
      <c r="I284" s="2">
        <v>2.9100000858306898</v>
      </c>
      <c r="J284" s="2">
        <v>0</v>
      </c>
      <c r="K284" s="3">
        <v>28</v>
      </c>
      <c r="L284" s="3">
        <v>7</v>
      </c>
      <c r="M284" s="3">
        <v>213</v>
      </c>
      <c r="N284" s="3">
        <v>1192</v>
      </c>
      <c r="O284" s="3">
        <v>1835</v>
      </c>
      <c r="P284" t="str">
        <f t="shared" si="8"/>
        <v>Thu</v>
      </c>
      <c r="Q284" t="str">
        <f t="shared" si="9"/>
        <v>Fairly Active</v>
      </c>
    </row>
    <row r="285" spans="1:17">
      <c r="A285">
        <v>2873212765</v>
      </c>
      <c r="B285" s="1">
        <v>42479</v>
      </c>
      <c r="C285" s="3">
        <v>7948</v>
      </c>
      <c r="D285" s="2">
        <v>5.3699998855590803</v>
      </c>
      <c r="E285" s="2">
        <v>5.3699998855590803</v>
      </c>
      <c r="F285" s="2">
        <v>0</v>
      </c>
      <c r="G285" s="2">
        <v>0</v>
      </c>
      <c r="H285" s="2">
        <v>0</v>
      </c>
      <c r="I285" s="2">
        <v>5.3600001335143999</v>
      </c>
      <c r="J285" s="2">
        <v>0</v>
      </c>
      <c r="K285" s="3">
        <v>0</v>
      </c>
      <c r="L285" s="3">
        <v>0</v>
      </c>
      <c r="M285" s="3">
        <v>389</v>
      </c>
      <c r="N285" s="3">
        <v>1051</v>
      </c>
      <c r="O285" s="3">
        <v>1956</v>
      </c>
      <c r="P285" t="str">
        <f t="shared" si="8"/>
        <v>Tue</v>
      </c>
      <c r="Q285" t="str">
        <f t="shared" si="9"/>
        <v>Fairly Active</v>
      </c>
    </row>
    <row r="286" spans="1:17">
      <c r="A286">
        <v>2873212765</v>
      </c>
      <c r="B286" s="1">
        <v>42498</v>
      </c>
      <c r="C286" s="3">
        <v>8168</v>
      </c>
      <c r="D286" s="2">
        <v>5.53999996185303</v>
      </c>
      <c r="E286" s="2">
        <v>5.53999996185303</v>
      </c>
      <c r="F286" s="2">
        <v>0</v>
      </c>
      <c r="G286" s="2">
        <v>2.9000000953674299</v>
      </c>
      <c r="H286" s="2">
        <v>0</v>
      </c>
      <c r="I286" s="2">
        <v>2.6400001049041699</v>
      </c>
      <c r="J286" s="2">
        <v>0</v>
      </c>
      <c r="K286" s="3">
        <v>46</v>
      </c>
      <c r="L286" s="3">
        <v>0</v>
      </c>
      <c r="M286" s="3">
        <v>326</v>
      </c>
      <c r="N286" s="3">
        <v>1068</v>
      </c>
      <c r="O286" s="3">
        <v>2096</v>
      </c>
      <c r="P286" t="str">
        <f t="shared" si="8"/>
        <v>Sun</v>
      </c>
      <c r="Q286" t="str">
        <f t="shared" si="9"/>
        <v>Fairly Active</v>
      </c>
    </row>
    <row r="287" spans="1:17">
      <c r="A287">
        <v>2873212765</v>
      </c>
      <c r="B287" s="1">
        <v>42486</v>
      </c>
      <c r="C287" s="3">
        <v>8242</v>
      </c>
      <c r="D287" s="2">
        <v>5.53999996185303</v>
      </c>
      <c r="E287" s="2">
        <v>5.53999996185303</v>
      </c>
      <c r="F287" s="2">
        <v>0</v>
      </c>
      <c r="G287" s="2">
        <v>0.119999997317791</v>
      </c>
      <c r="H287" s="2">
        <v>0.18000000715255701</v>
      </c>
      <c r="I287" s="2">
        <v>5.2399997711181596</v>
      </c>
      <c r="J287" s="2">
        <v>0</v>
      </c>
      <c r="K287" s="3">
        <v>2</v>
      </c>
      <c r="L287" s="3">
        <v>5</v>
      </c>
      <c r="M287" s="3">
        <v>309</v>
      </c>
      <c r="N287" s="3">
        <v>1124</v>
      </c>
      <c r="O287" s="3">
        <v>1882</v>
      </c>
      <c r="P287" t="str">
        <f t="shared" si="8"/>
        <v>Tue</v>
      </c>
      <c r="Q287" t="str">
        <f t="shared" si="9"/>
        <v>Fairly Active</v>
      </c>
    </row>
    <row r="288" spans="1:17">
      <c r="A288">
        <v>2873212765</v>
      </c>
      <c r="B288" s="1">
        <v>42500</v>
      </c>
      <c r="C288" s="3">
        <v>8275</v>
      </c>
      <c r="D288" s="2">
        <v>5.5599999427795401</v>
      </c>
      <c r="E288" s="2">
        <v>5.5599999427795401</v>
      </c>
      <c r="F288" s="2">
        <v>0</v>
      </c>
      <c r="G288" s="2">
        <v>0</v>
      </c>
      <c r="H288" s="2">
        <v>0</v>
      </c>
      <c r="I288" s="2">
        <v>5.5500001907348597</v>
      </c>
      <c r="J288" s="2">
        <v>9.9999997764825804E-3</v>
      </c>
      <c r="K288" s="3">
        <v>0</v>
      </c>
      <c r="L288" s="3">
        <v>0</v>
      </c>
      <c r="M288" s="3">
        <v>373</v>
      </c>
      <c r="N288" s="3">
        <v>1067</v>
      </c>
      <c r="O288" s="3">
        <v>1962</v>
      </c>
      <c r="P288" t="str">
        <f t="shared" si="8"/>
        <v>Tue</v>
      </c>
      <c r="Q288" t="str">
        <f t="shared" si="9"/>
        <v>Fairly Active</v>
      </c>
    </row>
    <row r="289" spans="1:17">
      <c r="A289">
        <v>2873212765</v>
      </c>
      <c r="B289" s="1">
        <v>42494</v>
      </c>
      <c r="C289" s="3">
        <v>8278</v>
      </c>
      <c r="D289" s="2">
        <v>5.5599999427795401</v>
      </c>
      <c r="E289" s="2">
        <v>5.5599999427795401</v>
      </c>
      <c r="F289" s="2">
        <v>0</v>
      </c>
      <c r="G289" s="2">
        <v>0</v>
      </c>
      <c r="H289" s="2">
        <v>0</v>
      </c>
      <c r="I289" s="2">
        <v>5.5599999427795401</v>
      </c>
      <c r="J289" s="2">
        <v>0</v>
      </c>
      <c r="K289" s="3">
        <v>0</v>
      </c>
      <c r="L289" s="3">
        <v>0</v>
      </c>
      <c r="M289" s="3">
        <v>420</v>
      </c>
      <c r="N289" s="3">
        <v>1020</v>
      </c>
      <c r="O289" s="3">
        <v>2015</v>
      </c>
      <c r="P289" t="str">
        <f t="shared" si="8"/>
        <v>Wed</v>
      </c>
      <c r="Q289" t="str">
        <f t="shared" si="9"/>
        <v>Fairly Active</v>
      </c>
    </row>
    <row r="290" spans="1:17">
      <c r="A290">
        <v>2873212765</v>
      </c>
      <c r="B290" s="1">
        <v>42495</v>
      </c>
      <c r="C290" s="3">
        <v>8314</v>
      </c>
      <c r="D290" s="2">
        <v>5.6100001335143999</v>
      </c>
      <c r="E290" s="2">
        <v>5.6100001335143999</v>
      </c>
      <c r="F290" s="2">
        <v>0</v>
      </c>
      <c r="G290" s="2">
        <v>0.77999997138977095</v>
      </c>
      <c r="H290" s="2">
        <v>0.80000001192092896</v>
      </c>
      <c r="I290" s="2">
        <v>4.0300002098083496</v>
      </c>
      <c r="J290" s="2">
        <v>0</v>
      </c>
      <c r="K290" s="3">
        <v>13</v>
      </c>
      <c r="L290" s="3">
        <v>23</v>
      </c>
      <c r="M290" s="3">
        <v>311</v>
      </c>
      <c r="N290" s="3">
        <v>1093</v>
      </c>
      <c r="O290" s="3">
        <v>1971</v>
      </c>
      <c r="P290" t="str">
        <f t="shared" si="8"/>
        <v>Thu</v>
      </c>
      <c r="Q290" t="str">
        <f t="shared" si="9"/>
        <v>Fairly Active</v>
      </c>
    </row>
    <row r="291" spans="1:17">
      <c r="A291">
        <v>2873212765</v>
      </c>
      <c r="B291" s="1">
        <v>42490</v>
      </c>
      <c r="C291" s="3">
        <v>8452</v>
      </c>
      <c r="D291" s="2">
        <v>5.6799998283386204</v>
      </c>
      <c r="E291" s="2">
        <v>5.6799998283386204</v>
      </c>
      <c r="F291" s="2">
        <v>0</v>
      </c>
      <c r="G291" s="2">
        <v>0.33000001311302202</v>
      </c>
      <c r="H291" s="2">
        <v>1.08000004291534</v>
      </c>
      <c r="I291" s="2">
        <v>4.2600002288818404</v>
      </c>
      <c r="J291" s="2">
        <v>9.9999997764825804E-3</v>
      </c>
      <c r="K291" s="3">
        <v>5</v>
      </c>
      <c r="L291" s="3">
        <v>20</v>
      </c>
      <c r="M291" s="3">
        <v>248</v>
      </c>
      <c r="N291" s="3">
        <v>1167</v>
      </c>
      <c r="O291" s="3">
        <v>1830</v>
      </c>
      <c r="P291" t="str">
        <f t="shared" si="8"/>
        <v>Sat</v>
      </c>
      <c r="Q291" t="str">
        <f t="shared" si="9"/>
        <v>Fairly Active</v>
      </c>
    </row>
    <row r="292" spans="1:17">
      <c r="A292">
        <v>2873212765</v>
      </c>
      <c r="B292" s="1">
        <v>42475</v>
      </c>
      <c r="C292" s="3">
        <v>8482</v>
      </c>
      <c r="D292" s="2">
        <v>5.6999998092651403</v>
      </c>
      <c r="E292" s="2">
        <v>5.6999998092651403</v>
      </c>
      <c r="F292" s="2">
        <v>0</v>
      </c>
      <c r="G292" s="2">
        <v>0</v>
      </c>
      <c r="H292" s="2">
        <v>0</v>
      </c>
      <c r="I292" s="2">
        <v>5.6900000572204599</v>
      </c>
      <c r="J292" s="2">
        <v>9.9999997764825804E-3</v>
      </c>
      <c r="K292" s="3">
        <v>0</v>
      </c>
      <c r="L292" s="3">
        <v>0</v>
      </c>
      <c r="M292" s="3">
        <v>448</v>
      </c>
      <c r="N292" s="3">
        <v>992</v>
      </c>
      <c r="O292" s="3">
        <v>2063</v>
      </c>
      <c r="P292" t="str">
        <f t="shared" si="8"/>
        <v>Fri</v>
      </c>
      <c r="Q292" t="str">
        <f t="shared" si="9"/>
        <v>Fairly Active</v>
      </c>
    </row>
    <row r="293" spans="1:17">
      <c r="A293">
        <v>2873212765</v>
      </c>
      <c r="B293" s="1">
        <v>42472</v>
      </c>
      <c r="C293" s="3">
        <v>8796</v>
      </c>
      <c r="D293" s="2">
        <v>5.9099998474121103</v>
      </c>
      <c r="E293" s="2">
        <v>5.9099998474121103</v>
      </c>
      <c r="F293" s="2">
        <v>0</v>
      </c>
      <c r="G293" s="2">
        <v>0.109999999403954</v>
      </c>
      <c r="H293" s="2">
        <v>0.93000000715255704</v>
      </c>
      <c r="I293" s="2">
        <v>4.8800001144409197</v>
      </c>
      <c r="J293" s="2">
        <v>0</v>
      </c>
      <c r="K293" s="3">
        <v>2</v>
      </c>
      <c r="L293" s="3">
        <v>21</v>
      </c>
      <c r="M293" s="3">
        <v>356</v>
      </c>
      <c r="N293" s="3">
        <v>1061</v>
      </c>
      <c r="O293" s="3">
        <v>1982</v>
      </c>
      <c r="P293" t="str">
        <f t="shared" si="8"/>
        <v>Tue</v>
      </c>
      <c r="Q293" t="str">
        <f t="shared" si="9"/>
        <v>Fairly Active</v>
      </c>
    </row>
    <row r="294" spans="1:17">
      <c r="A294">
        <v>2873212765</v>
      </c>
      <c r="B294" s="1">
        <v>42481</v>
      </c>
      <c r="C294" s="3">
        <v>8859</v>
      </c>
      <c r="D294" s="2">
        <v>5.9800000190734899</v>
      </c>
      <c r="E294" s="2">
        <v>5.9800000190734899</v>
      </c>
      <c r="F294" s="2">
        <v>0</v>
      </c>
      <c r="G294" s="2">
        <v>0.129999995231628</v>
      </c>
      <c r="H294" s="2">
        <v>0.37000000476837203</v>
      </c>
      <c r="I294" s="2">
        <v>5.4699997901916504</v>
      </c>
      <c r="J294" s="2">
        <v>9.9999997764825804E-3</v>
      </c>
      <c r="K294" s="3">
        <v>2</v>
      </c>
      <c r="L294" s="3">
        <v>10</v>
      </c>
      <c r="M294" s="3">
        <v>371</v>
      </c>
      <c r="N294" s="3">
        <v>1057</v>
      </c>
      <c r="O294" s="3">
        <v>1970</v>
      </c>
      <c r="P294" t="str">
        <f t="shared" si="8"/>
        <v>Thu</v>
      </c>
      <c r="Q294" t="str">
        <f t="shared" si="9"/>
        <v>Fairly Active</v>
      </c>
    </row>
    <row r="295" spans="1:17">
      <c r="A295">
        <v>2873212765</v>
      </c>
      <c r="B295" s="1">
        <v>42480</v>
      </c>
      <c r="C295" s="3">
        <v>9202</v>
      </c>
      <c r="D295" s="2">
        <v>6.3000001907348597</v>
      </c>
      <c r="E295" s="2">
        <v>6.3000001907348597</v>
      </c>
      <c r="F295" s="2">
        <v>0</v>
      </c>
      <c r="G295" s="2">
        <v>1.5099999904632599</v>
      </c>
      <c r="H295" s="2">
        <v>0.119999997317791</v>
      </c>
      <c r="I295" s="2">
        <v>4.6599998474121103</v>
      </c>
      <c r="J295" s="2">
        <v>9.9999997764825804E-3</v>
      </c>
      <c r="K295" s="3">
        <v>22</v>
      </c>
      <c r="L295" s="3">
        <v>5</v>
      </c>
      <c r="M295" s="3">
        <v>378</v>
      </c>
      <c r="N295" s="3">
        <v>1035</v>
      </c>
      <c r="O295" s="3">
        <v>2094</v>
      </c>
      <c r="P295" t="str">
        <f t="shared" si="8"/>
        <v>Wed</v>
      </c>
      <c r="Q295" t="str">
        <f t="shared" si="9"/>
        <v>Fairly Active</v>
      </c>
    </row>
    <row r="296" spans="1:17">
      <c r="A296">
        <v>2873212765</v>
      </c>
      <c r="B296" s="1">
        <v>42483</v>
      </c>
      <c r="C296" s="3">
        <v>9317</v>
      </c>
      <c r="D296" s="2">
        <v>6.3499999046325701</v>
      </c>
      <c r="E296" s="2">
        <v>6.3499999046325701</v>
      </c>
      <c r="F296" s="2">
        <v>0</v>
      </c>
      <c r="G296" s="2">
        <v>2.0899999141693102</v>
      </c>
      <c r="H296" s="2">
        <v>0.230000004172325</v>
      </c>
      <c r="I296" s="2">
        <v>4.0199999809265101</v>
      </c>
      <c r="J296" s="2">
        <v>9.9999997764825804E-3</v>
      </c>
      <c r="K296" s="3">
        <v>28</v>
      </c>
      <c r="L296" s="3">
        <v>5</v>
      </c>
      <c r="M296" s="3">
        <v>330</v>
      </c>
      <c r="N296" s="3">
        <v>1077</v>
      </c>
      <c r="O296" s="3">
        <v>2021</v>
      </c>
      <c r="P296" t="str">
        <f t="shared" si="8"/>
        <v>Sat</v>
      </c>
      <c r="Q296" t="str">
        <f t="shared" si="9"/>
        <v>Fairly Active</v>
      </c>
    </row>
    <row r="297" spans="1:17">
      <c r="A297">
        <v>2873212765</v>
      </c>
      <c r="B297" s="1">
        <v>42476</v>
      </c>
      <c r="C297" s="3">
        <v>9685</v>
      </c>
      <c r="D297" s="2">
        <v>6.6500000953674299</v>
      </c>
      <c r="E297" s="2">
        <v>6.6500000953674299</v>
      </c>
      <c r="F297" s="2">
        <v>0</v>
      </c>
      <c r="G297" s="2">
        <v>3.1099998950958301</v>
      </c>
      <c r="H297" s="2">
        <v>1.9999999552965199E-2</v>
      </c>
      <c r="I297" s="2">
        <v>3.5099999904632599</v>
      </c>
      <c r="J297" s="2">
        <v>9.9999997764825804E-3</v>
      </c>
      <c r="K297" s="3">
        <v>47</v>
      </c>
      <c r="L297" s="3">
        <v>1</v>
      </c>
      <c r="M297" s="3">
        <v>305</v>
      </c>
      <c r="N297" s="3">
        <v>1087</v>
      </c>
      <c r="O297" s="3">
        <v>2148</v>
      </c>
      <c r="P297" t="str">
        <f t="shared" si="8"/>
        <v>Sat</v>
      </c>
      <c r="Q297" t="str">
        <f t="shared" si="9"/>
        <v>Fairly Active</v>
      </c>
    </row>
    <row r="298" spans="1:17">
      <c r="A298">
        <v>3372868164</v>
      </c>
      <c r="B298" s="1">
        <v>42491</v>
      </c>
      <c r="C298" s="3">
        <v>3077</v>
      </c>
      <c r="D298" s="2">
        <v>2.0999999046325701</v>
      </c>
      <c r="E298" s="2">
        <v>2.0999999046325701</v>
      </c>
      <c r="F298" s="2">
        <v>0</v>
      </c>
      <c r="G298" s="2">
        <v>0</v>
      </c>
      <c r="H298" s="2">
        <v>0</v>
      </c>
      <c r="I298" s="2">
        <v>2.0899999141693102</v>
      </c>
      <c r="J298" s="2">
        <v>0</v>
      </c>
      <c r="K298" s="3">
        <v>0</v>
      </c>
      <c r="L298" s="3">
        <v>0</v>
      </c>
      <c r="M298" s="3">
        <v>172</v>
      </c>
      <c r="N298" s="3">
        <v>842</v>
      </c>
      <c r="O298" s="3">
        <v>1237</v>
      </c>
      <c r="P298" t="str">
        <f t="shared" si="8"/>
        <v>Sun</v>
      </c>
      <c r="Q298" t="str">
        <f t="shared" si="9"/>
        <v>Sedentary</v>
      </c>
    </row>
    <row r="299" spans="1:17">
      <c r="A299">
        <v>3372868164</v>
      </c>
      <c r="B299" s="1">
        <v>42482</v>
      </c>
      <c r="C299" s="3">
        <v>3843</v>
      </c>
      <c r="D299" s="2">
        <v>2.6199998855590798</v>
      </c>
      <c r="E299" s="2">
        <v>2.6199998855590798</v>
      </c>
      <c r="F299" s="2">
        <v>0</v>
      </c>
      <c r="G299" s="2">
        <v>0</v>
      </c>
      <c r="H299" s="2">
        <v>0</v>
      </c>
      <c r="I299" s="2">
        <v>2.6099998950958301</v>
      </c>
      <c r="J299" s="2">
        <v>9.9999997764825804E-3</v>
      </c>
      <c r="K299" s="3">
        <v>0</v>
      </c>
      <c r="L299" s="3">
        <v>0</v>
      </c>
      <c r="M299" s="3">
        <v>206</v>
      </c>
      <c r="N299" s="3">
        <v>1234</v>
      </c>
      <c r="O299" s="3">
        <v>1669</v>
      </c>
      <c r="P299" t="str">
        <f t="shared" si="8"/>
        <v>Fri</v>
      </c>
      <c r="Q299" t="str">
        <f t="shared" si="9"/>
        <v>Sedentary</v>
      </c>
    </row>
    <row r="300" spans="1:17">
      <c r="A300">
        <v>3372868164</v>
      </c>
      <c r="B300" s="1">
        <v>42472</v>
      </c>
      <c r="C300" s="3">
        <v>4747</v>
      </c>
      <c r="D300" s="2">
        <v>3.2400000095367401</v>
      </c>
      <c r="E300" s="2">
        <v>3.2400000095367401</v>
      </c>
      <c r="F300" s="2">
        <v>0</v>
      </c>
      <c r="G300" s="2">
        <v>0</v>
      </c>
      <c r="H300" s="2">
        <v>0</v>
      </c>
      <c r="I300" s="2">
        <v>3.2300000190734899</v>
      </c>
      <c r="J300" s="2">
        <v>9.9999997764825804E-3</v>
      </c>
      <c r="K300" s="3">
        <v>0</v>
      </c>
      <c r="L300" s="3">
        <v>0</v>
      </c>
      <c r="M300" s="3">
        <v>280</v>
      </c>
      <c r="N300" s="3">
        <v>1160</v>
      </c>
      <c r="O300" s="3">
        <v>1788</v>
      </c>
      <c r="P300" t="str">
        <f t="shared" si="8"/>
        <v>Tue</v>
      </c>
      <c r="Q300" t="str">
        <f t="shared" si="9"/>
        <v>Sedentary</v>
      </c>
    </row>
    <row r="301" spans="1:17">
      <c r="A301">
        <v>3372868164</v>
      </c>
      <c r="B301" s="1">
        <v>42480</v>
      </c>
      <c r="C301" s="3">
        <v>4880</v>
      </c>
      <c r="D301" s="2">
        <v>3.3299999237060498</v>
      </c>
      <c r="E301" s="2">
        <v>3.3299999237060498</v>
      </c>
      <c r="F301" s="2">
        <v>0</v>
      </c>
      <c r="G301" s="2">
        <v>0.83999997377395597</v>
      </c>
      <c r="H301" s="2">
        <v>9.00000035762787E-2</v>
      </c>
      <c r="I301" s="2">
        <v>2.3800001144409202</v>
      </c>
      <c r="J301" s="2">
        <v>1.9999999552965199E-2</v>
      </c>
      <c r="K301" s="3">
        <v>15</v>
      </c>
      <c r="L301" s="3">
        <v>3</v>
      </c>
      <c r="M301" s="3">
        <v>274</v>
      </c>
      <c r="N301" s="3">
        <v>1148</v>
      </c>
      <c r="O301" s="3">
        <v>1867</v>
      </c>
      <c r="P301" t="str">
        <f t="shared" si="8"/>
        <v>Wed</v>
      </c>
      <c r="Q301" t="str">
        <f t="shared" si="9"/>
        <v>Sedentary</v>
      </c>
    </row>
    <row r="302" spans="1:17">
      <c r="A302">
        <v>3372868164</v>
      </c>
      <c r="B302" s="1">
        <v>42490</v>
      </c>
      <c r="C302" s="3">
        <v>5250</v>
      </c>
      <c r="D302" s="2">
        <v>3.5799999237060498</v>
      </c>
      <c r="E302" s="2">
        <v>3.5799999237060498</v>
      </c>
      <c r="F302" s="2">
        <v>0</v>
      </c>
      <c r="G302" s="2">
        <v>1.0599999427795399</v>
      </c>
      <c r="H302" s="2">
        <v>9.00000035762787E-2</v>
      </c>
      <c r="I302" s="2">
        <v>2.4200000762939502</v>
      </c>
      <c r="J302" s="2">
        <v>9.9999997764825804E-3</v>
      </c>
      <c r="K302" s="3">
        <v>17</v>
      </c>
      <c r="L302" s="3">
        <v>4</v>
      </c>
      <c r="M302" s="3">
        <v>300</v>
      </c>
      <c r="N302" s="3">
        <v>1119</v>
      </c>
      <c r="O302" s="3">
        <v>1946</v>
      </c>
      <c r="P302" t="str">
        <f t="shared" si="8"/>
        <v>Sat</v>
      </c>
      <c r="Q302" t="str">
        <f t="shared" si="9"/>
        <v>Lightly Active</v>
      </c>
    </row>
    <row r="303" spans="1:17">
      <c r="A303">
        <v>3372868164</v>
      </c>
      <c r="B303" s="1">
        <v>42488</v>
      </c>
      <c r="C303" s="3">
        <v>5512</v>
      </c>
      <c r="D303" s="2">
        <v>3.7599999904632599</v>
      </c>
      <c r="E303" s="2">
        <v>3.7599999904632599</v>
      </c>
      <c r="F303" s="2">
        <v>0</v>
      </c>
      <c r="G303" s="2">
        <v>0</v>
      </c>
      <c r="H303" s="2">
        <v>0</v>
      </c>
      <c r="I303" s="2">
        <v>3.7599999904632599</v>
      </c>
      <c r="J303" s="2">
        <v>0</v>
      </c>
      <c r="K303" s="3">
        <v>0</v>
      </c>
      <c r="L303" s="3">
        <v>0</v>
      </c>
      <c r="M303" s="3">
        <v>385</v>
      </c>
      <c r="N303" s="3">
        <v>1055</v>
      </c>
      <c r="O303" s="3">
        <v>1972</v>
      </c>
      <c r="P303" t="str">
        <f t="shared" si="8"/>
        <v>Thu</v>
      </c>
      <c r="Q303" t="str">
        <f t="shared" si="9"/>
        <v>Lightly Active</v>
      </c>
    </row>
    <row r="304" spans="1:17">
      <c r="A304">
        <v>3372868164</v>
      </c>
      <c r="B304" s="1">
        <v>42485</v>
      </c>
      <c r="C304" s="3">
        <v>5995</v>
      </c>
      <c r="D304" s="2">
        <v>4.0900001525878897</v>
      </c>
      <c r="E304" s="2">
        <v>4.0900001525878897</v>
      </c>
      <c r="F304" s="2">
        <v>0</v>
      </c>
      <c r="G304" s="2">
        <v>0</v>
      </c>
      <c r="H304" s="2">
        <v>0</v>
      </c>
      <c r="I304" s="2">
        <v>4.0900001525878897</v>
      </c>
      <c r="J304" s="2">
        <v>0</v>
      </c>
      <c r="K304" s="3">
        <v>0</v>
      </c>
      <c r="L304" s="3">
        <v>0</v>
      </c>
      <c r="M304" s="3">
        <v>416</v>
      </c>
      <c r="N304" s="3">
        <v>1024</v>
      </c>
      <c r="O304" s="3">
        <v>2010</v>
      </c>
      <c r="P304" t="str">
        <f t="shared" si="8"/>
        <v>Mon</v>
      </c>
      <c r="Q304" t="str">
        <f t="shared" si="9"/>
        <v>Lightly Active</v>
      </c>
    </row>
    <row r="305" spans="1:17">
      <c r="A305">
        <v>3372868164</v>
      </c>
      <c r="B305" s="1">
        <v>42484</v>
      </c>
      <c r="C305" s="3">
        <v>6731</v>
      </c>
      <c r="D305" s="2">
        <v>4.5900001525878897</v>
      </c>
      <c r="E305" s="2">
        <v>4.5900001525878897</v>
      </c>
      <c r="F305" s="2">
        <v>0</v>
      </c>
      <c r="G305" s="2">
        <v>0.88999998569488503</v>
      </c>
      <c r="H305" s="2">
        <v>0.18999999761581399</v>
      </c>
      <c r="I305" s="2">
        <v>3.4900000095367401</v>
      </c>
      <c r="J305" s="2">
        <v>1.9999999552965199E-2</v>
      </c>
      <c r="K305" s="3">
        <v>14</v>
      </c>
      <c r="L305" s="3">
        <v>7</v>
      </c>
      <c r="M305" s="3">
        <v>292</v>
      </c>
      <c r="N305" s="3">
        <v>1127</v>
      </c>
      <c r="O305" s="3">
        <v>1921</v>
      </c>
      <c r="P305" t="str">
        <f t="shared" si="8"/>
        <v>Sun</v>
      </c>
      <c r="Q305" t="str">
        <f t="shared" si="9"/>
        <v>Lightly Active</v>
      </c>
    </row>
    <row r="306" spans="1:17">
      <c r="A306">
        <v>3372868164</v>
      </c>
      <c r="B306" s="1">
        <v>42478</v>
      </c>
      <c r="C306" s="3">
        <v>6798</v>
      </c>
      <c r="D306" s="2">
        <v>4.6399998664856001</v>
      </c>
      <c r="E306" s="2">
        <v>4.6399998664856001</v>
      </c>
      <c r="F306" s="2">
        <v>0</v>
      </c>
      <c r="G306" s="2">
        <v>1.08000004291534</v>
      </c>
      <c r="H306" s="2">
        <v>0.20000000298023199</v>
      </c>
      <c r="I306" s="2">
        <v>3.3499999046325701</v>
      </c>
      <c r="J306" s="2">
        <v>0</v>
      </c>
      <c r="K306" s="3">
        <v>20</v>
      </c>
      <c r="L306" s="3">
        <v>7</v>
      </c>
      <c r="M306" s="3">
        <v>343</v>
      </c>
      <c r="N306" s="3">
        <v>1070</v>
      </c>
      <c r="O306" s="3">
        <v>2014</v>
      </c>
      <c r="P306" t="str">
        <f t="shared" si="8"/>
        <v>Mon</v>
      </c>
      <c r="Q306" t="str">
        <f t="shared" si="9"/>
        <v>Lightly Active</v>
      </c>
    </row>
    <row r="307" spans="1:17">
      <c r="A307">
        <v>3372868164</v>
      </c>
      <c r="B307" s="1">
        <v>42476</v>
      </c>
      <c r="C307" s="3">
        <v>6905</v>
      </c>
      <c r="D307" s="2">
        <v>4.7300000190734899</v>
      </c>
      <c r="E307" s="2">
        <v>4.7300000190734899</v>
      </c>
      <c r="F307" s="2">
        <v>0</v>
      </c>
      <c r="G307" s="2">
        <v>0</v>
      </c>
      <c r="H307" s="2">
        <v>0</v>
      </c>
      <c r="I307" s="2">
        <v>4.6999998092651403</v>
      </c>
      <c r="J307" s="2">
        <v>2.9999999329447701E-2</v>
      </c>
      <c r="K307" s="3">
        <v>0</v>
      </c>
      <c r="L307" s="3">
        <v>0</v>
      </c>
      <c r="M307" s="3">
        <v>356</v>
      </c>
      <c r="N307" s="3">
        <v>1084</v>
      </c>
      <c r="O307" s="3">
        <v>1908</v>
      </c>
      <c r="P307" t="str">
        <f t="shared" si="8"/>
        <v>Sat</v>
      </c>
      <c r="Q307" t="str">
        <f t="shared" si="9"/>
        <v>Lightly Active</v>
      </c>
    </row>
    <row r="308" spans="1:17">
      <c r="A308">
        <v>3372868164</v>
      </c>
      <c r="B308" s="1">
        <v>42483</v>
      </c>
      <c r="C308" s="3">
        <v>7396</v>
      </c>
      <c r="D308" s="2">
        <v>5.0700001716613796</v>
      </c>
      <c r="E308" s="2">
        <v>5.0700001716613796</v>
      </c>
      <c r="F308" s="2">
        <v>0</v>
      </c>
      <c r="G308" s="2">
        <v>1.3999999761581401</v>
      </c>
      <c r="H308" s="2">
        <v>7.9999998211860698E-2</v>
      </c>
      <c r="I308" s="2">
        <v>3.5799999237060498</v>
      </c>
      <c r="J308" s="2">
        <v>0</v>
      </c>
      <c r="K308" s="3">
        <v>20</v>
      </c>
      <c r="L308" s="3">
        <v>2</v>
      </c>
      <c r="M308" s="3">
        <v>303</v>
      </c>
      <c r="N308" s="3">
        <v>1115</v>
      </c>
      <c r="O308" s="3">
        <v>1995</v>
      </c>
      <c r="P308" t="str">
        <f t="shared" si="8"/>
        <v>Sat</v>
      </c>
      <c r="Q308" t="str">
        <f t="shared" si="9"/>
        <v>Lightly Active</v>
      </c>
    </row>
    <row r="309" spans="1:17">
      <c r="A309">
        <v>3372868164</v>
      </c>
      <c r="B309" s="1">
        <v>42475</v>
      </c>
      <c r="C309" s="3">
        <v>7451</v>
      </c>
      <c r="D309" s="2">
        <v>5.0799999237060502</v>
      </c>
      <c r="E309" s="2">
        <v>5.0799999237060502</v>
      </c>
      <c r="F309" s="2">
        <v>0</v>
      </c>
      <c r="G309" s="2">
        <v>0</v>
      </c>
      <c r="H309" s="2">
        <v>0</v>
      </c>
      <c r="I309" s="2">
        <v>5.0599999427795401</v>
      </c>
      <c r="J309" s="2">
        <v>1.9999999552965199E-2</v>
      </c>
      <c r="K309" s="3">
        <v>0</v>
      </c>
      <c r="L309" s="3">
        <v>0</v>
      </c>
      <c r="M309" s="3">
        <v>335</v>
      </c>
      <c r="N309" s="3">
        <v>1105</v>
      </c>
      <c r="O309" s="3">
        <v>1908</v>
      </c>
      <c r="P309" t="str">
        <f t="shared" si="8"/>
        <v>Fri</v>
      </c>
      <c r="Q309" t="str">
        <f t="shared" si="9"/>
        <v>Lightly Active</v>
      </c>
    </row>
    <row r="310" spans="1:17">
      <c r="A310">
        <v>3372868164</v>
      </c>
      <c r="B310" s="1">
        <v>42479</v>
      </c>
      <c r="C310" s="3">
        <v>7711</v>
      </c>
      <c r="D310" s="2">
        <v>5.2600002288818404</v>
      </c>
      <c r="E310" s="2">
        <v>5.2600002288818404</v>
      </c>
      <c r="F310" s="2">
        <v>0</v>
      </c>
      <c r="G310" s="2">
        <v>0</v>
      </c>
      <c r="H310" s="2">
        <v>0</v>
      </c>
      <c r="I310" s="2">
        <v>5.2399997711181596</v>
      </c>
      <c r="J310" s="2">
        <v>1.9999999552965199E-2</v>
      </c>
      <c r="K310" s="3">
        <v>0</v>
      </c>
      <c r="L310" s="3">
        <v>0</v>
      </c>
      <c r="M310" s="3">
        <v>376</v>
      </c>
      <c r="N310" s="3">
        <v>1064</v>
      </c>
      <c r="O310" s="3">
        <v>1985</v>
      </c>
      <c r="P310" t="str">
        <f t="shared" si="8"/>
        <v>Tue</v>
      </c>
      <c r="Q310" t="str">
        <f t="shared" si="9"/>
        <v>Fairly Active</v>
      </c>
    </row>
    <row r="311" spans="1:17">
      <c r="A311">
        <v>3372868164</v>
      </c>
      <c r="B311" s="1">
        <v>42487</v>
      </c>
      <c r="C311" s="3">
        <v>7904</v>
      </c>
      <c r="D311" s="2">
        <v>5.4200000762939498</v>
      </c>
      <c r="E311" s="2">
        <v>5.4200000762939498</v>
      </c>
      <c r="F311" s="2">
        <v>0</v>
      </c>
      <c r="G311" s="2">
        <v>1.58000004291534</v>
      </c>
      <c r="H311" s="2">
        <v>0.62999999523162797</v>
      </c>
      <c r="I311" s="2">
        <v>3.1900000572204599</v>
      </c>
      <c r="J311" s="2">
        <v>9.9999997764825804E-3</v>
      </c>
      <c r="K311" s="3">
        <v>24</v>
      </c>
      <c r="L311" s="3">
        <v>13</v>
      </c>
      <c r="M311" s="3">
        <v>346</v>
      </c>
      <c r="N311" s="3">
        <v>1057</v>
      </c>
      <c r="O311" s="3">
        <v>2095</v>
      </c>
      <c r="P311" t="str">
        <f t="shared" si="8"/>
        <v>Wed</v>
      </c>
      <c r="Q311" t="str">
        <f t="shared" si="9"/>
        <v>Fairly Active</v>
      </c>
    </row>
    <row r="312" spans="1:17">
      <c r="A312">
        <v>3372868164</v>
      </c>
      <c r="B312" s="1">
        <v>42477</v>
      </c>
      <c r="C312" s="3">
        <v>8199</v>
      </c>
      <c r="D312" s="2">
        <v>5.8800001144409197</v>
      </c>
      <c r="E312" s="2">
        <v>5.8800001144409197</v>
      </c>
      <c r="F312" s="2">
        <v>0</v>
      </c>
      <c r="G312" s="2">
        <v>1.4099999666214</v>
      </c>
      <c r="H312" s="2">
        <v>0.10000000149011599</v>
      </c>
      <c r="I312" s="2">
        <v>4.3600001335143999</v>
      </c>
      <c r="J312" s="2">
        <v>9.9999997764825804E-3</v>
      </c>
      <c r="K312" s="3">
        <v>11</v>
      </c>
      <c r="L312" s="3">
        <v>2</v>
      </c>
      <c r="M312" s="3">
        <v>322</v>
      </c>
      <c r="N312" s="3">
        <v>1105</v>
      </c>
      <c r="O312" s="3">
        <v>1964</v>
      </c>
      <c r="P312" t="str">
        <f t="shared" si="8"/>
        <v>Sun</v>
      </c>
      <c r="Q312" t="str">
        <f t="shared" si="9"/>
        <v>Fairly Active</v>
      </c>
    </row>
    <row r="313" spans="1:17">
      <c r="A313">
        <v>3372868164</v>
      </c>
      <c r="B313" s="1">
        <v>42486</v>
      </c>
      <c r="C313" s="3">
        <v>8283</v>
      </c>
      <c r="D313" s="2">
        <v>5.78999996185303</v>
      </c>
      <c r="E313" s="2">
        <v>5.78999996185303</v>
      </c>
      <c r="F313" s="2">
        <v>0</v>
      </c>
      <c r="G313" s="2">
        <v>1.8500000238418599</v>
      </c>
      <c r="H313" s="2">
        <v>5.0000000745058101E-2</v>
      </c>
      <c r="I313" s="2">
        <v>3.8699998855590798</v>
      </c>
      <c r="J313" s="2">
        <v>9.9999997764825804E-3</v>
      </c>
      <c r="K313" s="3">
        <v>22</v>
      </c>
      <c r="L313" s="3">
        <v>2</v>
      </c>
      <c r="M313" s="3">
        <v>333</v>
      </c>
      <c r="N313" s="3">
        <v>1083</v>
      </c>
      <c r="O313" s="3">
        <v>2057</v>
      </c>
      <c r="P313" t="str">
        <f t="shared" si="8"/>
        <v>Tue</v>
      </c>
      <c r="Q313" t="str">
        <f t="shared" si="9"/>
        <v>Fairly Active</v>
      </c>
    </row>
    <row r="314" spans="1:17">
      <c r="A314">
        <v>3372868164</v>
      </c>
      <c r="B314" s="1">
        <v>42474</v>
      </c>
      <c r="C314" s="3">
        <v>8844</v>
      </c>
      <c r="D314" s="2">
        <v>6.0300002098083496</v>
      </c>
      <c r="E314" s="2">
        <v>6.0300002098083496</v>
      </c>
      <c r="F314" s="2">
        <v>0</v>
      </c>
      <c r="G314" s="2">
        <v>0.34000000357627902</v>
      </c>
      <c r="H314" s="2">
        <v>1.0299999713897701</v>
      </c>
      <c r="I314" s="2">
        <v>4.6500000953674299</v>
      </c>
      <c r="J314" s="2">
        <v>9.9999997764825804E-3</v>
      </c>
      <c r="K314" s="3">
        <v>6</v>
      </c>
      <c r="L314" s="3">
        <v>25</v>
      </c>
      <c r="M314" s="3">
        <v>370</v>
      </c>
      <c r="N314" s="3">
        <v>1039</v>
      </c>
      <c r="O314" s="3">
        <v>2065</v>
      </c>
      <c r="P314" t="str">
        <f t="shared" si="8"/>
        <v>Thu</v>
      </c>
      <c r="Q314" t="str">
        <f t="shared" si="9"/>
        <v>Fairly Active</v>
      </c>
    </row>
    <row r="315" spans="1:17">
      <c r="A315">
        <v>3372868164</v>
      </c>
      <c r="B315" s="1">
        <v>42481</v>
      </c>
      <c r="C315" s="3">
        <v>8857</v>
      </c>
      <c r="D315" s="2">
        <v>6.0700001716613796</v>
      </c>
      <c r="E315" s="2">
        <v>6.0700001716613796</v>
      </c>
      <c r="F315" s="2">
        <v>0</v>
      </c>
      <c r="G315" s="2">
        <v>1.1499999761581401</v>
      </c>
      <c r="H315" s="2">
        <v>0.259999990463257</v>
      </c>
      <c r="I315" s="2">
        <v>4.6399998664856001</v>
      </c>
      <c r="J315" s="2">
        <v>9.9999997764825804E-3</v>
      </c>
      <c r="K315" s="3">
        <v>18</v>
      </c>
      <c r="L315" s="3">
        <v>9</v>
      </c>
      <c r="M315" s="3">
        <v>376</v>
      </c>
      <c r="N315" s="3">
        <v>1037</v>
      </c>
      <c r="O315" s="3">
        <v>2124</v>
      </c>
      <c r="P315" t="str">
        <f t="shared" si="8"/>
        <v>Thu</v>
      </c>
      <c r="Q315" t="str">
        <f t="shared" si="9"/>
        <v>Fairly Active</v>
      </c>
    </row>
    <row r="316" spans="1:17">
      <c r="A316">
        <v>3372868164</v>
      </c>
      <c r="B316" s="1">
        <v>42489</v>
      </c>
      <c r="C316" s="3">
        <v>9135</v>
      </c>
      <c r="D316" s="2">
        <v>6.2300000190734899</v>
      </c>
      <c r="E316" s="2">
        <v>6.2300000190734899</v>
      </c>
      <c r="F316" s="2">
        <v>0</v>
      </c>
      <c r="G316" s="2">
        <v>0</v>
      </c>
      <c r="H316" s="2">
        <v>0</v>
      </c>
      <c r="I316" s="2">
        <v>6.2199997901916504</v>
      </c>
      <c r="J316" s="2">
        <v>9.9999997764825804E-3</v>
      </c>
      <c r="K316" s="3">
        <v>0</v>
      </c>
      <c r="L316" s="3">
        <v>0</v>
      </c>
      <c r="M316" s="3">
        <v>402</v>
      </c>
      <c r="N316" s="3">
        <v>1038</v>
      </c>
      <c r="O316" s="3">
        <v>2044</v>
      </c>
      <c r="P316" t="str">
        <f t="shared" si="8"/>
        <v>Fri</v>
      </c>
      <c r="Q316" t="str">
        <f t="shared" si="9"/>
        <v>Fairly Active</v>
      </c>
    </row>
    <row r="317" spans="1:17">
      <c r="A317">
        <v>3372868164</v>
      </c>
      <c r="B317" s="1">
        <v>42473</v>
      </c>
      <c r="C317" s="3">
        <v>9715</v>
      </c>
      <c r="D317" s="2">
        <v>6.6300001144409197</v>
      </c>
      <c r="E317" s="2">
        <v>6.6300001144409197</v>
      </c>
      <c r="F317" s="2">
        <v>0</v>
      </c>
      <c r="G317" s="2">
        <v>0.99000000953674305</v>
      </c>
      <c r="H317" s="2">
        <v>0.34000000357627902</v>
      </c>
      <c r="I317" s="2">
        <v>5.2699999809265101</v>
      </c>
      <c r="J317" s="2">
        <v>1.9999999552965199E-2</v>
      </c>
      <c r="K317" s="3">
        <v>16</v>
      </c>
      <c r="L317" s="3">
        <v>8</v>
      </c>
      <c r="M317" s="3">
        <v>371</v>
      </c>
      <c r="N317" s="3">
        <v>1045</v>
      </c>
      <c r="O317" s="3">
        <v>2093</v>
      </c>
      <c r="P317" t="str">
        <f t="shared" si="8"/>
        <v>Wed</v>
      </c>
      <c r="Q317" t="str">
        <f t="shared" si="9"/>
        <v>Fairly Active</v>
      </c>
    </row>
    <row r="318" spans="1:17">
      <c r="A318">
        <v>3977333714</v>
      </c>
      <c r="B318" s="1">
        <v>42501</v>
      </c>
      <c r="C318" s="3">
        <v>746</v>
      </c>
      <c r="D318" s="2">
        <v>0.5</v>
      </c>
      <c r="E318" s="2">
        <v>0.5</v>
      </c>
      <c r="F318" s="2">
        <v>0</v>
      </c>
      <c r="G318" s="2">
        <v>0.37000000476837203</v>
      </c>
      <c r="H318" s="2">
        <v>0</v>
      </c>
      <c r="I318" s="2">
        <v>0.129999995231628</v>
      </c>
      <c r="J318" s="2">
        <v>0</v>
      </c>
      <c r="K318" s="3">
        <v>4</v>
      </c>
      <c r="L318" s="3">
        <v>0</v>
      </c>
      <c r="M318" s="3">
        <v>9</v>
      </c>
      <c r="N318" s="3">
        <v>13</v>
      </c>
      <c r="O318" s="3">
        <v>52</v>
      </c>
      <c r="P318" t="str">
        <f t="shared" si="8"/>
        <v>Wed</v>
      </c>
      <c r="Q318" t="str">
        <f t="shared" si="9"/>
        <v>Sedentary</v>
      </c>
    </row>
    <row r="319" spans="1:17">
      <c r="A319">
        <v>3977333714</v>
      </c>
      <c r="B319" s="1">
        <v>42481</v>
      </c>
      <c r="C319" s="3">
        <v>6093</v>
      </c>
      <c r="D319" s="2">
        <v>4.0799999237060502</v>
      </c>
      <c r="E319" s="2">
        <v>4.0799999237060502</v>
      </c>
      <c r="F319" s="2">
        <v>0</v>
      </c>
      <c r="G319" s="2">
        <v>0</v>
      </c>
      <c r="H319" s="2">
        <v>0</v>
      </c>
      <c r="I319" s="2">
        <v>4.0599999427795401</v>
      </c>
      <c r="J319" s="2">
        <v>0</v>
      </c>
      <c r="K319" s="3">
        <v>0</v>
      </c>
      <c r="L319" s="3">
        <v>0</v>
      </c>
      <c r="M319" s="3">
        <v>242</v>
      </c>
      <c r="N319" s="3">
        <v>712</v>
      </c>
      <c r="O319" s="3">
        <v>1397</v>
      </c>
      <c r="P319" t="str">
        <f t="shared" si="8"/>
        <v>Thu</v>
      </c>
      <c r="Q319" t="str">
        <f t="shared" si="9"/>
        <v>Lightly Active</v>
      </c>
    </row>
    <row r="320" spans="1:17">
      <c r="A320">
        <v>3977333714</v>
      </c>
      <c r="B320" s="1">
        <v>42488</v>
      </c>
      <c r="C320" s="3">
        <v>7114</v>
      </c>
      <c r="D320" s="2">
        <v>4.8800001144409197</v>
      </c>
      <c r="E320" s="2">
        <v>4.8800001144409197</v>
      </c>
      <c r="F320" s="2">
        <v>0</v>
      </c>
      <c r="G320" s="2">
        <v>1.37000000476837</v>
      </c>
      <c r="H320" s="2">
        <v>0.28999999165535001</v>
      </c>
      <c r="I320" s="2">
        <v>3.2200000286102299</v>
      </c>
      <c r="J320" s="2">
        <v>0</v>
      </c>
      <c r="K320" s="3">
        <v>15</v>
      </c>
      <c r="L320" s="3">
        <v>8</v>
      </c>
      <c r="M320" s="3">
        <v>190</v>
      </c>
      <c r="N320" s="3">
        <v>804</v>
      </c>
      <c r="O320" s="3">
        <v>1407</v>
      </c>
      <c r="P320" t="str">
        <f t="shared" si="8"/>
        <v>Thu</v>
      </c>
      <c r="Q320" t="str">
        <f t="shared" si="9"/>
        <v>Lightly Active</v>
      </c>
    </row>
    <row r="321" spans="1:17">
      <c r="A321">
        <v>3977333714</v>
      </c>
      <c r="B321" s="1">
        <v>42487</v>
      </c>
      <c r="C321" s="3">
        <v>7193</v>
      </c>
      <c r="D321" s="2">
        <v>5.03999996185303</v>
      </c>
      <c r="E321" s="2">
        <v>5.03999996185303</v>
      </c>
      <c r="F321" s="2">
        <v>0</v>
      </c>
      <c r="G321" s="2">
        <v>0</v>
      </c>
      <c r="H321" s="2">
        <v>0.41999998688697798</v>
      </c>
      <c r="I321" s="2">
        <v>4.6199998855590803</v>
      </c>
      <c r="J321" s="2">
        <v>0</v>
      </c>
      <c r="K321" s="3">
        <v>0</v>
      </c>
      <c r="L321" s="3">
        <v>10</v>
      </c>
      <c r="M321" s="3">
        <v>176</v>
      </c>
      <c r="N321" s="3">
        <v>714</v>
      </c>
      <c r="O321" s="3">
        <v>1377</v>
      </c>
      <c r="P321" t="str">
        <f t="shared" si="8"/>
        <v>Wed</v>
      </c>
      <c r="Q321" t="str">
        <f t="shared" si="9"/>
        <v>Lightly Active</v>
      </c>
    </row>
    <row r="322" spans="1:17">
      <c r="A322">
        <v>3977333714</v>
      </c>
      <c r="B322" s="1">
        <v>42474</v>
      </c>
      <c r="C322" s="3">
        <v>7641</v>
      </c>
      <c r="D322" s="2">
        <v>5.1100001335143999</v>
      </c>
      <c r="E322" s="2">
        <v>5.1100001335143999</v>
      </c>
      <c r="F322" s="2">
        <v>0</v>
      </c>
      <c r="G322" s="2">
        <v>0.31999999284744302</v>
      </c>
      <c r="H322" s="2">
        <v>0.97000002861022905</v>
      </c>
      <c r="I322" s="2">
        <v>3.8199999332428001</v>
      </c>
      <c r="J322" s="2">
        <v>0</v>
      </c>
      <c r="K322" s="3">
        <v>5</v>
      </c>
      <c r="L322" s="3">
        <v>23</v>
      </c>
      <c r="M322" s="3">
        <v>214</v>
      </c>
      <c r="N322" s="3">
        <v>801</v>
      </c>
      <c r="O322" s="3">
        <v>1433</v>
      </c>
      <c r="P322" t="str">
        <f t="shared" ref="P322:P385" si="10">TEXT(B322, "ddd")</f>
        <v>Thu</v>
      </c>
      <c r="Q322" t="str">
        <f t="shared" ref="Q322:Q385" si="11">IF(C322&lt;5000, "Sedentary", IF(C322&lt;7500, "Lightly Active",IF(C322&lt;10000, "Fairly Active", "Vey Active")))</f>
        <v>Fairly Active</v>
      </c>
    </row>
    <row r="323" spans="1:17">
      <c r="A323">
        <v>3977333714</v>
      </c>
      <c r="B323" s="1">
        <v>42472</v>
      </c>
      <c r="C323" s="3">
        <v>8856</v>
      </c>
      <c r="D323" s="2">
        <v>5.9800000190734899</v>
      </c>
      <c r="E323" s="2">
        <v>5.9800000190734899</v>
      </c>
      <c r="F323" s="2">
        <v>0</v>
      </c>
      <c r="G323" s="2">
        <v>3.0599999427795401</v>
      </c>
      <c r="H323" s="2">
        <v>0.91000002622604403</v>
      </c>
      <c r="I323" s="2">
        <v>2.0099999904632599</v>
      </c>
      <c r="J323" s="2">
        <v>0</v>
      </c>
      <c r="K323" s="3">
        <v>44</v>
      </c>
      <c r="L323" s="3">
        <v>19</v>
      </c>
      <c r="M323" s="3">
        <v>131</v>
      </c>
      <c r="N323" s="3">
        <v>777</v>
      </c>
      <c r="O323" s="3">
        <v>1450</v>
      </c>
      <c r="P323" t="str">
        <f t="shared" si="10"/>
        <v>Tue</v>
      </c>
      <c r="Q323" t="str">
        <f t="shared" si="11"/>
        <v>Fairly Active</v>
      </c>
    </row>
    <row r="324" spans="1:17">
      <c r="A324">
        <v>3977333714</v>
      </c>
      <c r="B324" s="1">
        <v>42482</v>
      </c>
      <c r="C324" s="3">
        <v>8911</v>
      </c>
      <c r="D324" s="2">
        <v>5.96000003814697</v>
      </c>
      <c r="E324" s="2">
        <v>5.96000003814697</v>
      </c>
      <c r="F324" s="2">
        <v>0</v>
      </c>
      <c r="G324" s="2">
        <v>2.3299999237060498</v>
      </c>
      <c r="H324" s="2">
        <v>0.57999998331069902</v>
      </c>
      <c r="I324" s="2">
        <v>3.0599999427795401</v>
      </c>
      <c r="J324" s="2">
        <v>0</v>
      </c>
      <c r="K324" s="3">
        <v>33</v>
      </c>
      <c r="L324" s="3">
        <v>12</v>
      </c>
      <c r="M324" s="3">
        <v>188</v>
      </c>
      <c r="N324" s="3">
        <v>731</v>
      </c>
      <c r="O324" s="3">
        <v>1481</v>
      </c>
      <c r="P324" t="str">
        <f t="shared" si="10"/>
        <v>Fri</v>
      </c>
      <c r="Q324" t="str">
        <f t="shared" si="11"/>
        <v>Fairly Active</v>
      </c>
    </row>
    <row r="325" spans="1:17">
      <c r="A325">
        <v>3977333714</v>
      </c>
      <c r="B325" s="1">
        <v>42475</v>
      </c>
      <c r="C325" s="3">
        <v>9010</v>
      </c>
      <c r="D325" s="2">
        <v>6.0599999427795401</v>
      </c>
      <c r="E325" s="2">
        <v>6.0599999427795401</v>
      </c>
      <c r="F325" s="2">
        <v>0</v>
      </c>
      <c r="G325" s="2">
        <v>1.04999995231628</v>
      </c>
      <c r="H325" s="2">
        <v>1.75</v>
      </c>
      <c r="I325" s="2">
        <v>3.2599999904632599</v>
      </c>
      <c r="J325" s="2">
        <v>0</v>
      </c>
      <c r="K325" s="3">
        <v>15</v>
      </c>
      <c r="L325" s="3">
        <v>42</v>
      </c>
      <c r="M325" s="3">
        <v>183</v>
      </c>
      <c r="N325" s="3">
        <v>644</v>
      </c>
      <c r="O325" s="3">
        <v>1468</v>
      </c>
      <c r="P325" t="str">
        <f t="shared" si="10"/>
        <v>Fri</v>
      </c>
      <c r="Q325" t="str">
        <f t="shared" si="11"/>
        <v>Fairly Active</v>
      </c>
    </row>
    <row r="326" spans="1:17">
      <c r="A326">
        <v>3977333714</v>
      </c>
      <c r="B326" s="1">
        <v>42473</v>
      </c>
      <c r="C326" s="3">
        <v>10035</v>
      </c>
      <c r="D326" s="2">
        <v>6.71000003814697</v>
      </c>
      <c r="E326" s="2">
        <v>6.71000003814697</v>
      </c>
      <c r="F326" s="2">
        <v>0</v>
      </c>
      <c r="G326" s="2">
        <v>2.0299999713897701</v>
      </c>
      <c r="H326" s="2">
        <v>2.1300001144409202</v>
      </c>
      <c r="I326" s="2">
        <v>2.5499999523162802</v>
      </c>
      <c r="J326" s="2">
        <v>0</v>
      </c>
      <c r="K326" s="3">
        <v>31</v>
      </c>
      <c r="L326" s="3">
        <v>46</v>
      </c>
      <c r="M326" s="3">
        <v>153</v>
      </c>
      <c r="N326" s="3">
        <v>754</v>
      </c>
      <c r="O326" s="3">
        <v>1495</v>
      </c>
      <c r="P326" t="str">
        <f t="shared" si="10"/>
        <v>Wed</v>
      </c>
      <c r="Q326" t="str">
        <f t="shared" si="11"/>
        <v>Vey Active</v>
      </c>
    </row>
    <row r="327" spans="1:17">
      <c r="A327">
        <v>3977333714</v>
      </c>
      <c r="B327" s="1">
        <v>42491</v>
      </c>
      <c r="C327" s="3">
        <v>10414</v>
      </c>
      <c r="D327" s="2">
        <v>7.0700001716613796</v>
      </c>
      <c r="E327" s="2">
        <v>7.0700001716613796</v>
      </c>
      <c r="F327" s="2">
        <v>0</v>
      </c>
      <c r="G327" s="2">
        <v>2.6700000762939502</v>
      </c>
      <c r="H327" s="2">
        <v>1.9800000190734901</v>
      </c>
      <c r="I327" s="2">
        <v>2.4100000858306898</v>
      </c>
      <c r="J327" s="2">
        <v>0</v>
      </c>
      <c r="K327" s="3">
        <v>41</v>
      </c>
      <c r="L327" s="3">
        <v>40</v>
      </c>
      <c r="M327" s="3">
        <v>124</v>
      </c>
      <c r="N327" s="3">
        <v>691</v>
      </c>
      <c r="O327" s="3">
        <v>1501</v>
      </c>
      <c r="P327" t="str">
        <f t="shared" si="10"/>
        <v>Sun</v>
      </c>
      <c r="Q327" t="str">
        <f t="shared" si="11"/>
        <v>Vey Active</v>
      </c>
    </row>
    <row r="328" spans="1:17">
      <c r="A328">
        <v>3977333714</v>
      </c>
      <c r="B328" s="1">
        <v>42477</v>
      </c>
      <c r="C328" s="3">
        <v>10415</v>
      </c>
      <c r="D328" s="2">
        <v>6.9699997901916504</v>
      </c>
      <c r="E328" s="2">
        <v>6.9699997901916504</v>
      </c>
      <c r="F328" s="2">
        <v>0</v>
      </c>
      <c r="G328" s="2">
        <v>0.69999998807907104</v>
      </c>
      <c r="H328" s="2">
        <v>2.3499999046325701</v>
      </c>
      <c r="I328" s="2">
        <v>3.9200000762939502</v>
      </c>
      <c r="J328" s="2">
        <v>0</v>
      </c>
      <c r="K328" s="3">
        <v>11</v>
      </c>
      <c r="L328" s="3">
        <v>58</v>
      </c>
      <c r="M328" s="3">
        <v>205</v>
      </c>
      <c r="N328" s="3">
        <v>600</v>
      </c>
      <c r="O328" s="3">
        <v>1529</v>
      </c>
      <c r="P328" t="str">
        <f t="shared" si="10"/>
        <v>Sun</v>
      </c>
      <c r="Q328" t="str">
        <f t="shared" si="11"/>
        <v>Vey Active</v>
      </c>
    </row>
    <row r="329" spans="1:17">
      <c r="A329">
        <v>3977333714</v>
      </c>
      <c r="B329" s="1">
        <v>42489</v>
      </c>
      <c r="C329" s="3">
        <v>10645</v>
      </c>
      <c r="D329" s="2">
        <v>7.75</v>
      </c>
      <c r="E329" s="2">
        <v>7.75</v>
      </c>
      <c r="F329" s="2">
        <v>0</v>
      </c>
      <c r="G329" s="2">
        <v>3.7400000095367401</v>
      </c>
      <c r="H329" s="2">
        <v>1.29999995231628</v>
      </c>
      <c r="I329" s="2">
        <v>2.71000003814697</v>
      </c>
      <c r="J329" s="2">
        <v>0</v>
      </c>
      <c r="K329" s="3">
        <v>36</v>
      </c>
      <c r="L329" s="3">
        <v>32</v>
      </c>
      <c r="M329" s="3">
        <v>150</v>
      </c>
      <c r="N329" s="3">
        <v>744</v>
      </c>
      <c r="O329" s="3">
        <v>1545</v>
      </c>
      <c r="P329" t="str">
        <f t="shared" si="10"/>
        <v>Fri</v>
      </c>
      <c r="Q329" t="str">
        <f t="shared" si="11"/>
        <v>Vey Active</v>
      </c>
    </row>
    <row r="330" spans="1:17">
      <c r="A330">
        <v>3977333714</v>
      </c>
      <c r="B330" s="1">
        <v>42485</v>
      </c>
      <c r="C330" s="3">
        <v>11177</v>
      </c>
      <c r="D330" s="2">
        <v>8.4799995422363299</v>
      </c>
      <c r="E330" s="2">
        <v>8.4799995422363299</v>
      </c>
      <c r="F330" s="2">
        <v>0</v>
      </c>
      <c r="G330" s="2">
        <v>5.6199998855590803</v>
      </c>
      <c r="H330" s="2">
        <v>0.43000000715255698</v>
      </c>
      <c r="I330" s="2">
        <v>2.4100000858306898</v>
      </c>
      <c r="J330" s="2">
        <v>0</v>
      </c>
      <c r="K330" s="3">
        <v>50</v>
      </c>
      <c r="L330" s="3">
        <v>9</v>
      </c>
      <c r="M330" s="3">
        <v>133</v>
      </c>
      <c r="N330" s="3">
        <v>781</v>
      </c>
      <c r="O330" s="3">
        <v>1570</v>
      </c>
      <c r="P330" t="str">
        <f t="shared" si="10"/>
        <v>Mon</v>
      </c>
      <c r="Q330" t="str">
        <f t="shared" si="11"/>
        <v>Vey Active</v>
      </c>
    </row>
    <row r="331" spans="1:17">
      <c r="A331">
        <v>3977333714</v>
      </c>
      <c r="B331" s="1">
        <v>42486</v>
      </c>
      <c r="C331" s="3">
        <v>11388</v>
      </c>
      <c r="D331" s="2">
        <v>7.6199998855590803</v>
      </c>
      <c r="E331" s="2">
        <v>7.6199998855590803</v>
      </c>
      <c r="F331" s="2">
        <v>0</v>
      </c>
      <c r="G331" s="2">
        <v>0.44999998807907099</v>
      </c>
      <c r="H331" s="2">
        <v>4.2199997901916504</v>
      </c>
      <c r="I331" s="2">
        <v>2.9500000476837198</v>
      </c>
      <c r="J331" s="2">
        <v>0</v>
      </c>
      <c r="K331" s="3">
        <v>7</v>
      </c>
      <c r="L331" s="3">
        <v>95</v>
      </c>
      <c r="M331" s="3">
        <v>170</v>
      </c>
      <c r="N331" s="3">
        <v>797</v>
      </c>
      <c r="O331" s="3">
        <v>1551</v>
      </c>
      <c r="P331" t="str">
        <f t="shared" si="10"/>
        <v>Tue</v>
      </c>
      <c r="Q331" t="str">
        <f t="shared" si="11"/>
        <v>Vey Active</v>
      </c>
    </row>
    <row r="332" spans="1:17">
      <c r="A332">
        <v>3977333714</v>
      </c>
      <c r="B332" s="1">
        <v>42497</v>
      </c>
      <c r="C332" s="3">
        <v>11550</v>
      </c>
      <c r="D332" s="2">
        <v>7.7300000190734899</v>
      </c>
      <c r="E332" s="2">
        <v>7.7300000190734899</v>
      </c>
      <c r="F332" s="2">
        <v>0</v>
      </c>
      <c r="G332" s="2">
        <v>0</v>
      </c>
      <c r="H332" s="2">
        <v>4.1300001144409197</v>
      </c>
      <c r="I332" s="2">
        <v>3.5899999141693102</v>
      </c>
      <c r="J332" s="2">
        <v>0</v>
      </c>
      <c r="K332" s="3">
        <v>0</v>
      </c>
      <c r="L332" s="3">
        <v>86</v>
      </c>
      <c r="M332" s="3">
        <v>208</v>
      </c>
      <c r="N332" s="3">
        <v>703</v>
      </c>
      <c r="O332" s="3">
        <v>1574</v>
      </c>
      <c r="P332" t="str">
        <f t="shared" si="10"/>
        <v>Sat</v>
      </c>
      <c r="Q332" t="str">
        <f t="shared" si="11"/>
        <v>Vey Active</v>
      </c>
    </row>
    <row r="333" spans="1:17">
      <c r="A333">
        <v>3977333714</v>
      </c>
      <c r="B333" s="1">
        <v>42480</v>
      </c>
      <c r="C333" s="3">
        <v>11658</v>
      </c>
      <c r="D333" s="2">
        <v>7.8299999237060502</v>
      </c>
      <c r="E333" s="2">
        <v>7.8299999237060502</v>
      </c>
      <c r="F333" s="2">
        <v>0</v>
      </c>
      <c r="G333" s="2">
        <v>0.20000000298023199</v>
      </c>
      <c r="H333" s="2">
        <v>4.3499999046325701</v>
      </c>
      <c r="I333" s="2">
        <v>3.2799999713897701</v>
      </c>
      <c r="J333" s="2">
        <v>0</v>
      </c>
      <c r="K333" s="3">
        <v>2</v>
      </c>
      <c r="L333" s="3">
        <v>98</v>
      </c>
      <c r="M333" s="3">
        <v>164</v>
      </c>
      <c r="N333" s="3">
        <v>845</v>
      </c>
      <c r="O333" s="3">
        <v>1554</v>
      </c>
      <c r="P333" t="str">
        <f t="shared" si="10"/>
        <v>Wed</v>
      </c>
      <c r="Q333" t="str">
        <f t="shared" si="11"/>
        <v>Vey Active</v>
      </c>
    </row>
    <row r="334" spans="1:17">
      <c r="A334">
        <v>3977333714</v>
      </c>
      <c r="B334" s="1">
        <v>42478</v>
      </c>
      <c r="C334" s="3">
        <v>11663</v>
      </c>
      <c r="D334" s="2">
        <v>7.8000001907348597</v>
      </c>
      <c r="E334" s="2">
        <v>7.8000001907348597</v>
      </c>
      <c r="F334" s="2">
        <v>0</v>
      </c>
      <c r="G334" s="2">
        <v>0.25</v>
      </c>
      <c r="H334" s="2">
        <v>3.7300000190734899</v>
      </c>
      <c r="I334" s="2">
        <v>3.8199999332428001</v>
      </c>
      <c r="J334" s="2">
        <v>0</v>
      </c>
      <c r="K334" s="3">
        <v>4</v>
      </c>
      <c r="L334" s="3">
        <v>95</v>
      </c>
      <c r="M334" s="3">
        <v>214</v>
      </c>
      <c r="N334" s="3">
        <v>605</v>
      </c>
      <c r="O334" s="3">
        <v>1584</v>
      </c>
      <c r="P334" t="str">
        <f t="shared" si="10"/>
        <v>Mon</v>
      </c>
      <c r="Q334" t="str">
        <f t="shared" si="11"/>
        <v>Vey Active</v>
      </c>
    </row>
    <row r="335" spans="1:17">
      <c r="A335">
        <v>3977333714</v>
      </c>
      <c r="B335" s="1">
        <v>42496</v>
      </c>
      <c r="C335" s="3">
        <v>11677</v>
      </c>
      <c r="D335" s="2">
        <v>8.2799997329711896</v>
      </c>
      <c r="E335" s="2">
        <v>8.2799997329711896</v>
      </c>
      <c r="F335" s="2">
        <v>0</v>
      </c>
      <c r="G335" s="2">
        <v>3.1099998950958301</v>
      </c>
      <c r="H335" s="2">
        <v>2.5099999904632599</v>
      </c>
      <c r="I335" s="2">
        <v>2.6700000762939502</v>
      </c>
      <c r="J335" s="2">
        <v>0</v>
      </c>
      <c r="K335" s="3">
        <v>29</v>
      </c>
      <c r="L335" s="3">
        <v>55</v>
      </c>
      <c r="M335" s="3">
        <v>168</v>
      </c>
      <c r="N335" s="3">
        <v>676</v>
      </c>
      <c r="O335" s="3">
        <v>1590</v>
      </c>
      <c r="P335" t="str">
        <f t="shared" si="10"/>
        <v>Fri</v>
      </c>
      <c r="Q335" t="str">
        <f t="shared" si="11"/>
        <v>Vey Active</v>
      </c>
    </row>
    <row r="336" spans="1:17">
      <c r="A336">
        <v>3977333714</v>
      </c>
      <c r="B336" s="1">
        <v>42483</v>
      </c>
      <c r="C336" s="3">
        <v>12058</v>
      </c>
      <c r="D336" s="2">
        <v>8.0699996948242205</v>
      </c>
      <c r="E336" s="2">
        <v>8.0699996948242205</v>
      </c>
      <c r="F336" s="2">
        <v>0</v>
      </c>
      <c r="G336" s="2">
        <v>0</v>
      </c>
      <c r="H336" s="2">
        <v>4.2199997901916504</v>
      </c>
      <c r="I336" s="2">
        <v>3.8499999046325701</v>
      </c>
      <c r="J336" s="2">
        <v>0</v>
      </c>
      <c r="K336" s="3">
        <v>0</v>
      </c>
      <c r="L336" s="3">
        <v>92</v>
      </c>
      <c r="M336" s="3">
        <v>252</v>
      </c>
      <c r="N336" s="3">
        <v>724</v>
      </c>
      <c r="O336" s="3">
        <v>1638</v>
      </c>
      <c r="P336" t="str">
        <f t="shared" si="10"/>
        <v>Sat</v>
      </c>
      <c r="Q336" t="str">
        <f t="shared" si="11"/>
        <v>Vey Active</v>
      </c>
    </row>
    <row r="337" spans="1:17">
      <c r="A337">
        <v>3977333714</v>
      </c>
      <c r="B337" s="1">
        <v>42495</v>
      </c>
      <c r="C337" s="3">
        <v>12312</v>
      </c>
      <c r="D337" s="2">
        <v>8.5799999237060494</v>
      </c>
      <c r="E337" s="2">
        <v>8.5799999237060494</v>
      </c>
      <c r="F337" s="2">
        <v>0</v>
      </c>
      <c r="G337" s="2">
        <v>1.7599999904632599</v>
      </c>
      <c r="H337" s="2">
        <v>4.1100001335143999</v>
      </c>
      <c r="I337" s="2">
        <v>2.71000003814697</v>
      </c>
      <c r="J337" s="2">
        <v>0</v>
      </c>
      <c r="K337" s="3">
        <v>14</v>
      </c>
      <c r="L337" s="3">
        <v>88</v>
      </c>
      <c r="M337" s="3">
        <v>178</v>
      </c>
      <c r="N337" s="3">
        <v>680</v>
      </c>
      <c r="O337" s="3">
        <v>1618</v>
      </c>
      <c r="P337" t="str">
        <f t="shared" si="10"/>
        <v>Thu</v>
      </c>
      <c r="Q337" t="str">
        <f t="shared" si="11"/>
        <v>Vey Active</v>
      </c>
    </row>
    <row r="338" spans="1:17">
      <c r="A338">
        <v>3977333714</v>
      </c>
      <c r="B338" s="1">
        <v>42479</v>
      </c>
      <c r="C338" s="3">
        <v>12414</v>
      </c>
      <c r="D338" s="2">
        <v>8.7799997329711896</v>
      </c>
      <c r="E338" s="2">
        <v>8.7799997329711896</v>
      </c>
      <c r="F338" s="2">
        <v>0</v>
      </c>
      <c r="G338" s="2">
        <v>2.2400000095367401</v>
      </c>
      <c r="H338" s="2">
        <v>2.4500000476837198</v>
      </c>
      <c r="I338" s="2">
        <v>3.96000003814697</v>
      </c>
      <c r="J338" s="2">
        <v>0</v>
      </c>
      <c r="K338" s="3">
        <v>19</v>
      </c>
      <c r="L338" s="3">
        <v>67</v>
      </c>
      <c r="M338" s="3">
        <v>221</v>
      </c>
      <c r="N338" s="3">
        <v>738</v>
      </c>
      <c r="O338" s="3">
        <v>1638</v>
      </c>
      <c r="P338" t="str">
        <f t="shared" si="10"/>
        <v>Tue</v>
      </c>
      <c r="Q338" t="str">
        <f t="shared" si="11"/>
        <v>Vey Active</v>
      </c>
    </row>
    <row r="339" spans="1:17">
      <c r="A339">
        <v>3977333714</v>
      </c>
      <c r="B339" s="1">
        <v>42500</v>
      </c>
      <c r="C339" s="3">
        <v>13072</v>
      </c>
      <c r="D339" s="2">
        <v>8.7799997329711896</v>
      </c>
      <c r="E339" s="2">
        <v>8.7799997329711896</v>
      </c>
      <c r="F339" s="2">
        <v>0</v>
      </c>
      <c r="G339" s="2">
        <v>7.0000000298023196E-2</v>
      </c>
      <c r="H339" s="2">
        <v>5.4000000953674299</v>
      </c>
      <c r="I339" s="2">
        <v>3.3099999427795401</v>
      </c>
      <c r="J339" s="2">
        <v>0</v>
      </c>
      <c r="K339" s="3">
        <v>1</v>
      </c>
      <c r="L339" s="3">
        <v>115</v>
      </c>
      <c r="M339" s="3">
        <v>196</v>
      </c>
      <c r="N339" s="3">
        <v>676</v>
      </c>
      <c r="O339" s="3">
        <v>1630</v>
      </c>
      <c r="P339" t="str">
        <f t="shared" si="10"/>
        <v>Tue</v>
      </c>
      <c r="Q339" t="str">
        <f t="shared" si="11"/>
        <v>Vey Active</v>
      </c>
    </row>
    <row r="340" spans="1:17">
      <c r="A340">
        <v>3977333714</v>
      </c>
      <c r="B340" s="1">
        <v>42490</v>
      </c>
      <c r="C340" s="3">
        <v>13238</v>
      </c>
      <c r="D340" s="2">
        <v>9.1999998092651403</v>
      </c>
      <c r="E340" s="2">
        <v>9.1999998092651403</v>
      </c>
      <c r="F340" s="2">
        <v>0</v>
      </c>
      <c r="G340" s="2">
        <v>3.6900000572204599</v>
      </c>
      <c r="H340" s="2">
        <v>2.0999999046325701</v>
      </c>
      <c r="I340" s="2">
        <v>3.4100000858306898</v>
      </c>
      <c r="J340" s="2">
        <v>0</v>
      </c>
      <c r="K340" s="3">
        <v>43</v>
      </c>
      <c r="L340" s="3">
        <v>52</v>
      </c>
      <c r="M340" s="3">
        <v>194</v>
      </c>
      <c r="N340" s="3">
        <v>687</v>
      </c>
      <c r="O340" s="3">
        <v>1650</v>
      </c>
      <c r="P340" t="str">
        <f t="shared" si="10"/>
        <v>Sat</v>
      </c>
      <c r="Q340" t="str">
        <f t="shared" si="11"/>
        <v>Vey Active</v>
      </c>
    </row>
    <row r="341" spans="1:17">
      <c r="A341">
        <v>3977333714</v>
      </c>
      <c r="B341" s="1">
        <v>42476</v>
      </c>
      <c r="C341" s="3">
        <v>13459</v>
      </c>
      <c r="D341" s="2">
        <v>9</v>
      </c>
      <c r="E341" s="2">
        <v>9</v>
      </c>
      <c r="F341" s="2">
        <v>0</v>
      </c>
      <c r="G341" s="2">
        <v>2.0299999713897701</v>
      </c>
      <c r="H341" s="2">
        <v>4</v>
      </c>
      <c r="I341" s="2">
        <v>2.9700000286102299</v>
      </c>
      <c r="J341" s="2">
        <v>0</v>
      </c>
      <c r="K341" s="3">
        <v>31</v>
      </c>
      <c r="L341" s="3">
        <v>83</v>
      </c>
      <c r="M341" s="3">
        <v>153</v>
      </c>
      <c r="N341" s="3">
        <v>663</v>
      </c>
      <c r="O341" s="3">
        <v>1625</v>
      </c>
      <c r="P341" t="str">
        <f t="shared" si="10"/>
        <v>Sat</v>
      </c>
      <c r="Q341" t="str">
        <f t="shared" si="11"/>
        <v>Vey Active</v>
      </c>
    </row>
    <row r="342" spans="1:17">
      <c r="A342">
        <v>3977333714</v>
      </c>
      <c r="B342" s="1">
        <v>42494</v>
      </c>
      <c r="C342" s="3">
        <v>13559</v>
      </c>
      <c r="D342" s="2">
        <v>9.4399995803833008</v>
      </c>
      <c r="E342" s="2">
        <v>9.4399995803833008</v>
      </c>
      <c r="F342" s="2">
        <v>0</v>
      </c>
      <c r="G342" s="2">
        <v>1.8099999427795399</v>
      </c>
      <c r="H342" s="2">
        <v>4.5799999237060502</v>
      </c>
      <c r="I342" s="2">
        <v>2.8900001049041699</v>
      </c>
      <c r="J342" s="2">
        <v>0</v>
      </c>
      <c r="K342" s="3">
        <v>14</v>
      </c>
      <c r="L342" s="3">
        <v>96</v>
      </c>
      <c r="M342" s="3">
        <v>142</v>
      </c>
      <c r="N342" s="3">
        <v>852</v>
      </c>
      <c r="O342" s="3">
        <v>1628</v>
      </c>
      <c r="P342" t="str">
        <f t="shared" si="10"/>
        <v>Wed</v>
      </c>
      <c r="Q342" t="str">
        <f t="shared" si="11"/>
        <v>Vey Active</v>
      </c>
    </row>
    <row r="343" spans="1:17">
      <c r="A343">
        <v>3977333714</v>
      </c>
      <c r="B343" s="1">
        <v>42498</v>
      </c>
      <c r="C343" s="3">
        <v>13585</v>
      </c>
      <c r="D343" s="2">
        <v>9.0900001525878906</v>
      </c>
      <c r="E343" s="2">
        <v>9.0900001525878906</v>
      </c>
      <c r="F343" s="2">
        <v>0</v>
      </c>
      <c r="G343" s="2">
        <v>0.68000000715255704</v>
      </c>
      <c r="H343" s="2">
        <v>5.2399997711181596</v>
      </c>
      <c r="I343" s="2">
        <v>3.1700000762939502</v>
      </c>
      <c r="J343" s="2">
        <v>0</v>
      </c>
      <c r="K343" s="3">
        <v>9</v>
      </c>
      <c r="L343" s="3">
        <v>116</v>
      </c>
      <c r="M343" s="3">
        <v>171</v>
      </c>
      <c r="N343" s="3">
        <v>688</v>
      </c>
      <c r="O343" s="3">
        <v>1633</v>
      </c>
      <c r="P343" t="str">
        <f t="shared" si="10"/>
        <v>Sun</v>
      </c>
      <c r="Q343" t="str">
        <f t="shared" si="11"/>
        <v>Vey Active</v>
      </c>
    </row>
    <row r="344" spans="1:17">
      <c r="A344">
        <v>3977333714</v>
      </c>
      <c r="B344" s="1">
        <v>42484</v>
      </c>
      <c r="C344" s="3">
        <v>14112</v>
      </c>
      <c r="D344" s="2">
        <v>10</v>
      </c>
      <c r="E344" s="2">
        <v>10</v>
      </c>
      <c r="F344" s="2">
        <v>0</v>
      </c>
      <c r="G344" s="2">
        <v>3.2699999809265101</v>
      </c>
      <c r="H344" s="2">
        <v>4.5599999427795401</v>
      </c>
      <c r="I344" s="2">
        <v>2.1700000762939502</v>
      </c>
      <c r="J344" s="2">
        <v>0</v>
      </c>
      <c r="K344" s="3">
        <v>30</v>
      </c>
      <c r="L344" s="3">
        <v>95</v>
      </c>
      <c r="M344" s="3">
        <v>129</v>
      </c>
      <c r="N344" s="3">
        <v>660</v>
      </c>
      <c r="O344" s="3">
        <v>1655</v>
      </c>
      <c r="P344" t="str">
        <f t="shared" si="10"/>
        <v>Sun</v>
      </c>
      <c r="Q344" t="str">
        <f t="shared" si="11"/>
        <v>Vey Active</v>
      </c>
    </row>
    <row r="345" spans="1:17">
      <c r="A345">
        <v>3977333714</v>
      </c>
      <c r="B345" s="1">
        <v>42493</v>
      </c>
      <c r="C345" s="3">
        <v>14335</v>
      </c>
      <c r="D345" s="2">
        <v>9.5900001525878906</v>
      </c>
      <c r="E345" s="2">
        <v>9.5900001525878906</v>
      </c>
      <c r="F345" s="2">
        <v>0</v>
      </c>
      <c r="G345" s="2">
        <v>3.3199999332428001</v>
      </c>
      <c r="H345" s="2">
        <v>1.7400000095367401</v>
      </c>
      <c r="I345" s="2">
        <v>4.5300002098083496</v>
      </c>
      <c r="J345" s="2">
        <v>0</v>
      </c>
      <c r="K345" s="3">
        <v>47</v>
      </c>
      <c r="L345" s="3">
        <v>41</v>
      </c>
      <c r="M345" s="3">
        <v>258</v>
      </c>
      <c r="N345" s="3">
        <v>594</v>
      </c>
      <c r="O345" s="3">
        <v>1710</v>
      </c>
      <c r="P345" t="str">
        <f t="shared" si="10"/>
        <v>Tue</v>
      </c>
      <c r="Q345" t="str">
        <f t="shared" si="11"/>
        <v>Vey Active</v>
      </c>
    </row>
    <row r="346" spans="1:17">
      <c r="A346">
        <v>3977333714</v>
      </c>
      <c r="B346" s="1">
        <v>42499</v>
      </c>
      <c r="C346" s="3">
        <v>14687</v>
      </c>
      <c r="D346" s="2">
        <v>10.079999923706101</v>
      </c>
      <c r="E346" s="2">
        <v>10.079999923706101</v>
      </c>
      <c r="F346" s="2">
        <v>0</v>
      </c>
      <c r="G346" s="2">
        <v>0.769999980926514</v>
      </c>
      <c r="H346" s="2">
        <v>5.5999999046325701</v>
      </c>
      <c r="I346" s="2">
        <v>3.5499999523162802</v>
      </c>
      <c r="J346" s="2">
        <v>0</v>
      </c>
      <c r="K346" s="3">
        <v>8</v>
      </c>
      <c r="L346" s="3">
        <v>122</v>
      </c>
      <c r="M346" s="3">
        <v>151</v>
      </c>
      <c r="N346" s="3">
        <v>1159</v>
      </c>
      <c r="O346" s="3">
        <v>1667</v>
      </c>
      <c r="P346" t="str">
        <f t="shared" si="10"/>
        <v>Mon</v>
      </c>
      <c r="Q346" t="str">
        <f t="shared" si="11"/>
        <v>Vey Active</v>
      </c>
    </row>
    <row r="347" spans="1:17">
      <c r="A347">
        <v>3977333714</v>
      </c>
      <c r="B347" s="1">
        <v>42492</v>
      </c>
      <c r="C347" s="3">
        <v>16520</v>
      </c>
      <c r="D347" s="2">
        <v>11.050000190734901</v>
      </c>
      <c r="E347" s="2">
        <v>11.050000190734901</v>
      </c>
      <c r="F347" s="2">
        <v>0</v>
      </c>
      <c r="G347" s="2">
        <v>1.53999996185303</v>
      </c>
      <c r="H347" s="2">
        <v>6.4800000190734899</v>
      </c>
      <c r="I347" s="2">
        <v>3.0199999809265101</v>
      </c>
      <c r="J347" s="2">
        <v>0</v>
      </c>
      <c r="K347" s="3">
        <v>24</v>
      </c>
      <c r="L347" s="3">
        <v>143</v>
      </c>
      <c r="M347" s="3">
        <v>176</v>
      </c>
      <c r="N347" s="3">
        <v>713</v>
      </c>
      <c r="O347" s="3">
        <v>1760</v>
      </c>
      <c r="P347" t="str">
        <f t="shared" si="10"/>
        <v>Mon</v>
      </c>
      <c r="Q347" t="str">
        <f t="shared" si="11"/>
        <v>Vey Active</v>
      </c>
    </row>
    <row r="348" spans="1:17">
      <c r="A348">
        <v>4020332650</v>
      </c>
      <c r="B348" s="1">
        <v>42473</v>
      </c>
      <c r="C348" s="3">
        <v>0</v>
      </c>
      <c r="D348" s="2">
        <v>0</v>
      </c>
      <c r="E348" s="2">
        <v>0</v>
      </c>
      <c r="F348" s="2">
        <v>0</v>
      </c>
      <c r="G348" s="2">
        <v>0</v>
      </c>
      <c r="H348" s="2">
        <v>0</v>
      </c>
      <c r="I348" s="2">
        <v>0</v>
      </c>
      <c r="J348" s="2">
        <v>0</v>
      </c>
      <c r="K348" s="3">
        <v>0</v>
      </c>
      <c r="L348" s="3">
        <v>0</v>
      </c>
      <c r="M348" s="3">
        <v>0</v>
      </c>
      <c r="N348" s="3">
        <v>1440</v>
      </c>
      <c r="O348" s="3">
        <v>1981</v>
      </c>
      <c r="P348" t="str">
        <f t="shared" si="10"/>
        <v>Wed</v>
      </c>
      <c r="Q348" t="str">
        <f t="shared" si="11"/>
        <v>Sedentary</v>
      </c>
    </row>
    <row r="349" spans="1:17">
      <c r="A349">
        <v>4020332650</v>
      </c>
      <c r="B349" s="1">
        <v>42479</v>
      </c>
      <c r="C349" s="3">
        <v>0</v>
      </c>
      <c r="D349" s="2">
        <v>0</v>
      </c>
      <c r="E349" s="2">
        <v>0</v>
      </c>
      <c r="F349" s="2">
        <v>0</v>
      </c>
      <c r="G349" s="2">
        <v>0</v>
      </c>
      <c r="H349" s="2">
        <v>0</v>
      </c>
      <c r="I349" s="2">
        <v>0</v>
      </c>
      <c r="J349" s="2">
        <v>0</v>
      </c>
      <c r="K349" s="3">
        <v>0</v>
      </c>
      <c r="L349" s="3">
        <v>0</v>
      </c>
      <c r="M349" s="3">
        <v>0</v>
      </c>
      <c r="N349" s="3">
        <v>1440</v>
      </c>
      <c r="O349" s="3">
        <v>1980</v>
      </c>
      <c r="P349" t="str">
        <f t="shared" si="10"/>
        <v>Tue</v>
      </c>
      <c r="Q349" t="str">
        <f t="shared" si="11"/>
        <v>Sedentary</v>
      </c>
    </row>
    <row r="350" spans="1:17">
      <c r="A350">
        <v>4020332650</v>
      </c>
      <c r="B350" s="1">
        <v>42480</v>
      </c>
      <c r="C350" s="3">
        <v>0</v>
      </c>
      <c r="D350" s="2">
        <v>0</v>
      </c>
      <c r="E350" s="2">
        <v>0</v>
      </c>
      <c r="F350" s="2">
        <v>0</v>
      </c>
      <c r="G350" s="2">
        <v>0</v>
      </c>
      <c r="H350" s="2">
        <v>0</v>
      </c>
      <c r="I350" s="2">
        <v>0</v>
      </c>
      <c r="J350" s="2">
        <v>0</v>
      </c>
      <c r="K350" s="3">
        <v>0</v>
      </c>
      <c r="L350" s="3">
        <v>0</v>
      </c>
      <c r="M350" s="3">
        <v>0</v>
      </c>
      <c r="N350" s="3">
        <v>1440</v>
      </c>
      <c r="O350" s="3">
        <v>1980</v>
      </c>
      <c r="P350" t="str">
        <f t="shared" si="10"/>
        <v>Wed</v>
      </c>
      <c r="Q350" t="str">
        <f t="shared" si="11"/>
        <v>Sedentary</v>
      </c>
    </row>
    <row r="351" spans="1:17">
      <c r="A351">
        <v>4020332650</v>
      </c>
      <c r="B351" s="1">
        <v>42481</v>
      </c>
      <c r="C351" s="3">
        <v>0</v>
      </c>
      <c r="D351" s="2">
        <v>0</v>
      </c>
      <c r="E351" s="2">
        <v>0</v>
      </c>
      <c r="F351" s="2">
        <v>0</v>
      </c>
      <c r="G351" s="2">
        <v>0</v>
      </c>
      <c r="H351" s="2">
        <v>0</v>
      </c>
      <c r="I351" s="2">
        <v>0</v>
      </c>
      <c r="J351" s="2">
        <v>0</v>
      </c>
      <c r="K351" s="3">
        <v>0</v>
      </c>
      <c r="L351" s="3">
        <v>0</v>
      </c>
      <c r="M351" s="3">
        <v>0</v>
      </c>
      <c r="N351" s="3">
        <v>1440</v>
      </c>
      <c r="O351" s="3">
        <v>1980</v>
      </c>
      <c r="P351" t="str">
        <f t="shared" si="10"/>
        <v>Thu</v>
      </c>
      <c r="Q351" t="str">
        <f t="shared" si="11"/>
        <v>Sedentary</v>
      </c>
    </row>
    <row r="352" spans="1:17">
      <c r="A352">
        <v>4020332650</v>
      </c>
      <c r="B352" s="1">
        <v>42482</v>
      </c>
      <c r="C352" s="3">
        <v>0</v>
      </c>
      <c r="D352" s="2">
        <v>0</v>
      </c>
      <c r="E352" s="2">
        <v>0</v>
      </c>
      <c r="F352" s="2">
        <v>0</v>
      </c>
      <c r="G352" s="2">
        <v>0</v>
      </c>
      <c r="H352" s="2">
        <v>0</v>
      </c>
      <c r="I352" s="2">
        <v>0</v>
      </c>
      <c r="J352" s="2">
        <v>0</v>
      </c>
      <c r="K352" s="3">
        <v>0</v>
      </c>
      <c r="L352" s="3">
        <v>0</v>
      </c>
      <c r="M352" s="3">
        <v>0</v>
      </c>
      <c r="N352" s="3">
        <v>1440</v>
      </c>
      <c r="O352" s="3">
        <v>1980</v>
      </c>
      <c r="P352" t="str">
        <f t="shared" si="10"/>
        <v>Fri</v>
      </c>
      <c r="Q352" t="str">
        <f t="shared" si="11"/>
        <v>Sedentary</v>
      </c>
    </row>
    <row r="353" spans="1:17">
      <c r="A353">
        <v>4020332650</v>
      </c>
      <c r="B353" s="1">
        <v>42483</v>
      </c>
      <c r="C353" s="3">
        <v>0</v>
      </c>
      <c r="D353" s="2">
        <v>0</v>
      </c>
      <c r="E353" s="2">
        <v>0</v>
      </c>
      <c r="F353" s="2">
        <v>0</v>
      </c>
      <c r="G353" s="2">
        <v>0</v>
      </c>
      <c r="H353" s="2">
        <v>0</v>
      </c>
      <c r="I353" s="2">
        <v>0</v>
      </c>
      <c r="J353" s="2">
        <v>0</v>
      </c>
      <c r="K353" s="3">
        <v>0</v>
      </c>
      <c r="L353" s="3">
        <v>0</v>
      </c>
      <c r="M353" s="3">
        <v>0</v>
      </c>
      <c r="N353" s="3">
        <v>1440</v>
      </c>
      <c r="O353" s="3">
        <v>1980</v>
      </c>
      <c r="P353" t="str">
        <f t="shared" si="10"/>
        <v>Sat</v>
      </c>
      <c r="Q353" t="str">
        <f t="shared" si="11"/>
        <v>Sedentary</v>
      </c>
    </row>
    <row r="354" spans="1:17">
      <c r="A354">
        <v>4020332650</v>
      </c>
      <c r="B354" s="1">
        <v>42484</v>
      </c>
      <c r="C354" s="3">
        <v>0</v>
      </c>
      <c r="D354" s="2">
        <v>0</v>
      </c>
      <c r="E354" s="2">
        <v>0</v>
      </c>
      <c r="F354" s="2">
        <v>0</v>
      </c>
      <c r="G354" s="2">
        <v>0</v>
      </c>
      <c r="H354" s="2">
        <v>0</v>
      </c>
      <c r="I354" s="2">
        <v>0</v>
      </c>
      <c r="J354" s="2">
        <v>0</v>
      </c>
      <c r="K354" s="3">
        <v>0</v>
      </c>
      <c r="L354" s="3">
        <v>0</v>
      </c>
      <c r="M354" s="3">
        <v>0</v>
      </c>
      <c r="N354" s="3">
        <v>1440</v>
      </c>
      <c r="O354" s="3">
        <v>1980</v>
      </c>
      <c r="P354" t="str">
        <f t="shared" si="10"/>
        <v>Sun</v>
      </c>
      <c r="Q354" t="str">
        <f t="shared" si="11"/>
        <v>Sedentary</v>
      </c>
    </row>
    <row r="355" spans="1:17">
      <c r="A355">
        <v>4020332650</v>
      </c>
      <c r="B355" s="1">
        <v>42485</v>
      </c>
      <c r="C355" s="3">
        <v>0</v>
      </c>
      <c r="D355" s="2">
        <v>0</v>
      </c>
      <c r="E355" s="2">
        <v>0</v>
      </c>
      <c r="F355" s="2">
        <v>0</v>
      </c>
      <c r="G355" s="2">
        <v>0</v>
      </c>
      <c r="H355" s="2">
        <v>0</v>
      </c>
      <c r="I355" s="2">
        <v>0</v>
      </c>
      <c r="J355" s="2">
        <v>0</v>
      </c>
      <c r="K355" s="3">
        <v>0</v>
      </c>
      <c r="L355" s="3">
        <v>0</v>
      </c>
      <c r="M355" s="3">
        <v>0</v>
      </c>
      <c r="N355" s="3">
        <v>1440</v>
      </c>
      <c r="O355" s="3">
        <v>1980</v>
      </c>
      <c r="P355" t="str">
        <f t="shared" si="10"/>
        <v>Mon</v>
      </c>
      <c r="Q355" t="str">
        <f t="shared" si="11"/>
        <v>Sedentary</v>
      </c>
    </row>
    <row r="356" spans="1:17">
      <c r="A356">
        <v>4020332650</v>
      </c>
      <c r="B356" s="1">
        <v>42486</v>
      </c>
      <c r="C356" s="3">
        <v>0</v>
      </c>
      <c r="D356" s="2">
        <v>0</v>
      </c>
      <c r="E356" s="2">
        <v>0</v>
      </c>
      <c r="F356" s="2">
        <v>0</v>
      </c>
      <c r="G356" s="2">
        <v>0</v>
      </c>
      <c r="H356" s="2">
        <v>0</v>
      </c>
      <c r="I356" s="2">
        <v>0</v>
      </c>
      <c r="J356" s="2">
        <v>0</v>
      </c>
      <c r="K356" s="3">
        <v>0</v>
      </c>
      <c r="L356" s="3">
        <v>0</v>
      </c>
      <c r="M356" s="3">
        <v>0</v>
      </c>
      <c r="N356" s="3">
        <v>1440</v>
      </c>
      <c r="O356" s="3">
        <v>1980</v>
      </c>
      <c r="P356" t="str">
        <f t="shared" si="10"/>
        <v>Tue</v>
      </c>
      <c r="Q356" t="str">
        <f t="shared" si="11"/>
        <v>Sedentary</v>
      </c>
    </row>
    <row r="357" spans="1:17">
      <c r="A357">
        <v>4020332650</v>
      </c>
      <c r="B357" s="1">
        <v>42487</v>
      </c>
      <c r="C357" s="3">
        <v>0</v>
      </c>
      <c r="D357" s="2">
        <v>0</v>
      </c>
      <c r="E357" s="2">
        <v>0</v>
      </c>
      <c r="F357" s="2">
        <v>0</v>
      </c>
      <c r="G357" s="2">
        <v>0</v>
      </c>
      <c r="H357" s="2">
        <v>0</v>
      </c>
      <c r="I357" s="2">
        <v>0</v>
      </c>
      <c r="J357" s="2">
        <v>0</v>
      </c>
      <c r="K357" s="3">
        <v>0</v>
      </c>
      <c r="L357" s="3">
        <v>0</v>
      </c>
      <c r="M357" s="3">
        <v>0</v>
      </c>
      <c r="N357" s="3">
        <v>1440</v>
      </c>
      <c r="O357" s="3">
        <v>1980</v>
      </c>
      <c r="P357" t="str">
        <f t="shared" si="10"/>
        <v>Wed</v>
      </c>
      <c r="Q357" t="str">
        <f t="shared" si="11"/>
        <v>Sedentary</v>
      </c>
    </row>
    <row r="358" spans="1:17">
      <c r="A358">
        <v>4020332650</v>
      </c>
      <c r="B358" s="1">
        <v>42488</v>
      </c>
      <c r="C358" s="3">
        <v>0</v>
      </c>
      <c r="D358" s="2">
        <v>0</v>
      </c>
      <c r="E358" s="2">
        <v>0</v>
      </c>
      <c r="F358" s="2">
        <v>0</v>
      </c>
      <c r="G358" s="2">
        <v>0</v>
      </c>
      <c r="H358" s="2">
        <v>0</v>
      </c>
      <c r="I358" s="2">
        <v>0</v>
      </c>
      <c r="J358" s="2">
        <v>0</v>
      </c>
      <c r="K358" s="3">
        <v>0</v>
      </c>
      <c r="L358" s="3">
        <v>0</v>
      </c>
      <c r="M358" s="3">
        <v>0</v>
      </c>
      <c r="N358" s="3">
        <v>1440</v>
      </c>
      <c r="O358" s="3">
        <v>1980</v>
      </c>
      <c r="P358" t="str">
        <f t="shared" si="10"/>
        <v>Thu</v>
      </c>
      <c r="Q358" t="str">
        <f t="shared" si="11"/>
        <v>Sedentary</v>
      </c>
    </row>
    <row r="359" spans="1:17">
      <c r="A359">
        <v>4020332650</v>
      </c>
      <c r="B359" s="1">
        <v>42489</v>
      </c>
      <c r="C359" s="3">
        <v>0</v>
      </c>
      <c r="D359" s="2">
        <v>0</v>
      </c>
      <c r="E359" s="2">
        <v>0</v>
      </c>
      <c r="F359" s="2">
        <v>0</v>
      </c>
      <c r="G359" s="2">
        <v>0</v>
      </c>
      <c r="H359" s="2">
        <v>0</v>
      </c>
      <c r="I359" s="2">
        <v>0</v>
      </c>
      <c r="J359" s="2">
        <v>0</v>
      </c>
      <c r="K359" s="3">
        <v>0</v>
      </c>
      <c r="L359" s="3">
        <v>0</v>
      </c>
      <c r="M359" s="3">
        <v>0</v>
      </c>
      <c r="N359" s="3">
        <v>1440</v>
      </c>
      <c r="O359" s="3">
        <v>1980</v>
      </c>
      <c r="P359" t="str">
        <f t="shared" si="10"/>
        <v>Fri</v>
      </c>
      <c r="Q359" t="str">
        <f t="shared" si="11"/>
        <v>Sedentary</v>
      </c>
    </row>
    <row r="360" spans="1:17">
      <c r="A360">
        <v>4020332650</v>
      </c>
      <c r="B360" s="1">
        <v>42490</v>
      </c>
      <c r="C360" s="3">
        <v>0</v>
      </c>
      <c r="D360" s="2">
        <v>0</v>
      </c>
      <c r="E360" s="2">
        <v>0</v>
      </c>
      <c r="F360" s="2">
        <v>0</v>
      </c>
      <c r="G360" s="2">
        <v>0</v>
      </c>
      <c r="H360" s="2">
        <v>0</v>
      </c>
      <c r="I360" s="2">
        <v>0</v>
      </c>
      <c r="J360" s="2">
        <v>0</v>
      </c>
      <c r="K360" s="3">
        <v>0</v>
      </c>
      <c r="L360" s="3">
        <v>0</v>
      </c>
      <c r="M360" s="3">
        <v>0</v>
      </c>
      <c r="N360" s="3">
        <v>1440</v>
      </c>
      <c r="O360" s="3">
        <v>1980</v>
      </c>
      <c r="P360" t="str">
        <f t="shared" si="10"/>
        <v>Sat</v>
      </c>
      <c r="Q360" t="str">
        <f t="shared" si="11"/>
        <v>Sedentary</v>
      </c>
    </row>
    <row r="361" spans="1:17">
      <c r="A361">
        <v>4020332650</v>
      </c>
      <c r="B361" s="1">
        <v>42491</v>
      </c>
      <c r="C361" s="3">
        <v>0</v>
      </c>
      <c r="D361" s="2">
        <v>0</v>
      </c>
      <c r="E361" s="2">
        <v>0</v>
      </c>
      <c r="F361" s="2">
        <v>0</v>
      </c>
      <c r="G361" s="2">
        <v>0</v>
      </c>
      <c r="H361" s="2">
        <v>0</v>
      </c>
      <c r="I361" s="2">
        <v>0</v>
      </c>
      <c r="J361" s="2">
        <v>0</v>
      </c>
      <c r="K361" s="3">
        <v>0</v>
      </c>
      <c r="L361" s="3">
        <v>0</v>
      </c>
      <c r="M361" s="3">
        <v>0</v>
      </c>
      <c r="N361" s="3">
        <v>1440</v>
      </c>
      <c r="O361" s="3">
        <v>1980</v>
      </c>
      <c r="P361" t="str">
        <f t="shared" si="10"/>
        <v>Sun</v>
      </c>
      <c r="Q361" t="str">
        <f t="shared" si="11"/>
        <v>Sedentary</v>
      </c>
    </row>
    <row r="362" spans="1:17">
      <c r="A362">
        <v>4020332650</v>
      </c>
      <c r="B362" s="1">
        <v>42477</v>
      </c>
      <c r="C362" s="3">
        <v>16</v>
      </c>
      <c r="D362" s="2">
        <v>9.9999997764825804E-3</v>
      </c>
      <c r="E362" s="2">
        <v>9.9999997764825804E-3</v>
      </c>
      <c r="F362" s="2">
        <v>0</v>
      </c>
      <c r="G362" s="2">
        <v>0</v>
      </c>
      <c r="H362" s="2">
        <v>0</v>
      </c>
      <c r="I362" s="2">
        <v>9.9999997764825804E-3</v>
      </c>
      <c r="J362" s="2">
        <v>0</v>
      </c>
      <c r="K362" s="3">
        <v>0</v>
      </c>
      <c r="L362" s="3">
        <v>0</v>
      </c>
      <c r="M362" s="3">
        <v>2</v>
      </c>
      <c r="N362" s="3">
        <v>1438</v>
      </c>
      <c r="O362" s="3">
        <v>1990</v>
      </c>
      <c r="P362" t="str">
        <f t="shared" si="10"/>
        <v>Sun</v>
      </c>
      <c r="Q362" t="str">
        <f t="shared" si="11"/>
        <v>Sedentary</v>
      </c>
    </row>
    <row r="363" spans="1:17">
      <c r="A363">
        <v>4020332650</v>
      </c>
      <c r="B363" s="1">
        <v>42478</v>
      </c>
      <c r="C363" s="3">
        <v>62</v>
      </c>
      <c r="D363" s="2">
        <v>3.9999999105930301E-2</v>
      </c>
      <c r="E363" s="2">
        <v>3.9999999105930301E-2</v>
      </c>
      <c r="F363" s="2">
        <v>0</v>
      </c>
      <c r="G363" s="2">
        <v>0</v>
      </c>
      <c r="H363" s="2">
        <v>0</v>
      </c>
      <c r="I363" s="2">
        <v>3.9999999105930301E-2</v>
      </c>
      <c r="J363" s="2">
        <v>0</v>
      </c>
      <c r="K363" s="3">
        <v>0</v>
      </c>
      <c r="L363" s="3">
        <v>0</v>
      </c>
      <c r="M363" s="3">
        <v>2</v>
      </c>
      <c r="N363" s="3">
        <v>1438</v>
      </c>
      <c r="O363" s="3">
        <v>1995</v>
      </c>
      <c r="P363" t="str">
        <f t="shared" si="10"/>
        <v>Mon</v>
      </c>
      <c r="Q363" t="str">
        <f t="shared" si="11"/>
        <v>Sedentary</v>
      </c>
    </row>
    <row r="364" spans="1:17">
      <c r="A364">
        <v>4020332650</v>
      </c>
      <c r="B364" s="1">
        <v>42474</v>
      </c>
      <c r="C364" s="3">
        <v>108</v>
      </c>
      <c r="D364" s="2">
        <v>7.9999998211860698E-2</v>
      </c>
      <c r="E364" s="2">
        <v>7.9999998211860698E-2</v>
      </c>
      <c r="F364" s="2">
        <v>0</v>
      </c>
      <c r="G364" s="2">
        <v>0</v>
      </c>
      <c r="H364" s="2">
        <v>0</v>
      </c>
      <c r="I364" s="2">
        <v>2.9999999329447701E-2</v>
      </c>
      <c r="J364" s="2">
        <v>0</v>
      </c>
      <c r="K364" s="3">
        <v>0</v>
      </c>
      <c r="L364" s="3">
        <v>0</v>
      </c>
      <c r="M364" s="3">
        <v>3</v>
      </c>
      <c r="N364" s="3">
        <v>1437</v>
      </c>
      <c r="O364" s="3">
        <v>2011</v>
      </c>
      <c r="P364" t="str">
        <f t="shared" si="10"/>
        <v>Thu</v>
      </c>
      <c r="Q364" t="str">
        <f t="shared" si="11"/>
        <v>Sedentary</v>
      </c>
    </row>
    <row r="365" spans="1:17">
      <c r="A365">
        <v>4020332650</v>
      </c>
      <c r="B365" s="1">
        <v>42492</v>
      </c>
      <c r="C365" s="3">
        <v>475</v>
      </c>
      <c r="D365" s="2">
        <v>0.34000000357627902</v>
      </c>
      <c r="E365" s="2">
        <v>0.34000000357627902</v>
      </c>
      <c r="F365" s="2">
        <v>0</v>
      </c>
      <c r="G365" s="2">
        <v>0</v>
      </c>
      <c r="H365" s="2">
        <v>3.9999999105930301E-2</v>
      </c>
      <c r="I365" s="2">
        <v>0.28999999165535001</v>
      </c>
      <c r="J365" s="2">
        <v>0</v>
      </c>
      <c r="K365" s="3">
        <v>0</v>
      </c>
      <c r="L365" s="3">
        <v>11</v>
      </c>
      <c r="M365" s="3">
        <v>31</v>
      </c>
      <c r="N365" s="3">
        <v>1350</v>
      </c>
      <c r="O365" s="3">
        <v>2207</v>
      </c>
      <c r="P365" t="str">
        <f t="shared" si="10"/>
        <v>Mon</v>
      </c>
      <c r="Q365" t="str">
        <f t="shared" si="11"/>
        <v>Sedentary</v>
      </c>
    </row>
    <row r="366" spans="1:17">
      <c r="A366">
        <v>4020332650</v>
      </c>
      <c r="B366" s="1">
        <v>42502</v>
      </c>
      <c r="C366" s="3">
        <v>590</v>
      </c>
      <c r="D366" s="2">
        <v>0.41999998688697798</v>
      </c>
      <c r="E366" s="2">
        <v>0.41999998688697798</v>
      </c>
      <c r="F366" s="2">
        <v>0</v>
      </c>
      <c r="G366" s="2">
        <v>0</v>
      </c>
      <c r="H366" s="2">
        <v>0</v>
      </c>
      <c r="I366" s="2">
        <v>0.40999999642372098</v>
      </c>
      <c r="J366" s="2">
        <v>0</v>
      </c>
      <c r="K366" s="3">
        <v>0</v>
      </c>
      <c r="L366" s="3">
        <v>0</v>
      </c>
      <c r="M366" s="3">
        <v>21</v>
      </c>
      <c r="N366" s="3">
        <v>721</v>
      </c>
      <c r="O366" s="3">
        <v>1120</v>
      </c>
      <c r="P366" t="str">
        <f t="shared" si="10"/>
        <v>Thu</v>
      </c>
      <c r="Q366" t="str">
        <f t="shared" si="11"/>
        <v>Sedentary</v>
      </c>
    </row>
    <row r="367" spans="1:17">
      <c r="A367">
        <v>4020332650</v>
      </c>
      <c r="B367" s="1">
        <v>42475</v>
      </c>
      <c r="C367" s="3">
        <v>1882</v>
      </c>
      <c r="D367" s="2">
        <v>1.3500000238418599</v>
      </c>
      <c r="E367" s="2">
        <v>1.3500000238418599</v>
      </c>
      <c r="F367" s="2">
        <v>0</v>
      </c>
      <c r="G367" s="2">
        <v>0.20999999344348899</v>
      </c>
      <c r="H367" s="2">
        <v>0.36000001430511502</v>
      </c>
      <c r="I367" s="2">
        <v>0.769999980926514</v>
      </c>
      <c r="J367" s="2">
        <v>0</v>
      </c>
      <c r="K367" s="3">
        <v>36</v>
      </c>
      <c r="L367" s="3">
        <v>18</v>
      </c>
      <c r="M367" s="3">
        <v>87</v>
      </c>
      <c r="N367" s="3">
        <v>1299</v>
      </c>
      <c r="O367" s="3">
        <v>2951</v>
      </c>
      <c r="P367" t="str">
        <f t="shared" si="10"/>
        <v>Fri</v>
      </c>
      <c r="Q367" t="str">
        <f t="shared" si="11"/>
        <v>Sedentary</v>
      </c>
    </row>
    <row r="368" spans="1:17">
      <c r="A368">
        <v>4020332650</v>
      </c>
      <c r="B368" s="1">
        <v>42476</v>
      </c>
      <c r="C368" s="3">
        <v>1982</v>
      </c>
      <c r="D368" s="2">
        <v>1.41999995708466</v>
      </c>
      <c r="E368" s="2">
        <v>1.41999995708466</v>
      </c>
      <c r="F368" s="2">
        <v>0</v>
      </c>
      <c r="G368" s="2">
        <v>0.44999998807907099</v>
      </c>
      <c r="H368" s="2">
        <v>0.37000000476837203</v>
      </c>
      <c r="I368" s="2">
        <v>0.58999997377395597</v>
      </c>
      <c r="J368" s="2">
        <v>0</v>
      </c>
      <c r="K368" s="3">
        <v>65</v>
      </c>
      <c r="L368" s="3">
        <v>21</v>
      </c>
      <c r="M368" s="3">
        <v>55</v>
      </c>
      <c r="N368" s="3">
        <v>1222</v>
      </c>
      <c r="O368" s="3">
        <v>3051</v>
      </c>
      <c r="P368" t="str">
        <f t="shared" si="10"/>
        <v>Sat</v>
      </c>
      <c r="Q368" t="str">
        <f t="shared" si="11"/>
        <v>Sedentary</v>
      </c>
    </row>
    <row r="369" spans="1:17">
      <c r="A369">
        <v>4020332650</v>
      </c>
      <c r="B369" s="1">
        <v>42501</v>
      </c>
      <c r="C369" s="3">
        <v>3689</v>
      </c>
      <c r="D369" s="2">
        <v>2.6500000953674299</v>
      </c>
      <c r="E369" s="2">
        <v>2.6500000953674299</v>
      </c>
      <c r="F369" s="2">
        <v>0</v>
      </c>
      <c r="G369" s="2">
        <v>0.109999999403954</v>
      </c>
      <c r="H369" s="2">
        <v>0.17000000178813901</v>
      </c>
      <c r="I369" s="2">
        <v>2.3299999237060498</v>
      </c>
      <c r="J369" s="2">
        <v>0</v>
      </c>
      <c r="K369" s="3">
        <v>2</v>
      </c>
      <c r="L369" s="3">
        <v>8</v>
      </c>
      <c r="M369" s="3">
        <v>134</v>
      </c>
      <c r="N369" s="3">
        <v>1296</v>
      </c>
      <c r="O369" s="3">
        <v>2645</v>
      </c>
      <c r="P369" t="str">
        <f t="shared" si="10"/>
        <v>Wed</v>
      </c>
      <c r="Q369" t="str">
        <f t="shared" si="11"/>
        <v>Sedentary</v>
      </c>
    </row>
    <row r="370" spans="1:17">
      <c r="A370">
        <v>4020332650</v>
      </c>
      <c r="B370" s="1">
        <v>42496</v>
      </c>
      <c r="C370" s="3">
        <v>4369</v>
      </c>
      <c r="D370" s="2">
        <v>3.1300001144409202</v>
      </c>
      <c r="E370" s="2">
        <v>3.1300001144409202</v>
      </c>
      <c r="F370" s="2">
        <v>0</v>
      </c>
      <c r="G370" s="2">
        <v>0</v>
      </c>
      <c r="H370" s="2">
        <v>0</v>
      </c>
      <c r="I370" s="2">
        <v>3.0999999046325701</v>
      </c>
      <c r="J370" s="2">
        <v>9.9999997764825804E-3</v>
      </c>
      <c r="K370" s="3">
        <v>0</v>
      </c>
      <c r="L370" s="3">
        <v>0</v>
      </c>
      <c r="M370" s="3">
        <v>177</v>
      </c>
      <c r="N370" s="3">
        <v>855</v>
      </c>
      <c r="O370" s="3">
        <v>2704</v>
      </c>
      <c r="P370" t="str">
        <f t="shared" si="10"/>
        <v>Fri</v>
      </c>
      <c r="Q370" t="str">
        <f t="shared" si="11"/>
        <v>Sedentary</v>
      </c>
    </row>
    <row r="371" spans="1:17">
      <c r="A371">
        <v>4020332650</v>
      </c>
      <c r="B371" s="1">
        <v>42493</v>
      </c>
      <c r="C371" s="3">
        <v>4496</v>
      </c>
      <c r="D371" s="2">
        <v>3.2200000286102299</v>
      </c>
      <c r="E371" s="2">
        <v>3.2200000286102299</v>
      </c>
      <c r="F371" s="2">
        <v>0</v>
      </c>
      <c r="G371" s="2">
        <v>0</v>
      </c>
      <c r="H371" s="2">
        <v>0</v>
      </c>
      <c r="I371" s="2">
        <v>3.1500000953674299</v>
      </c>
      <c r="J371" s="2">
        <v>5.0000000745058101E-2</v>
      </c>
      <c r="K371" s="3">
        <v>0</v>
      </c>
      <c r="L371" s="3">
        <v>0</v>
      </c>
      <c r="M371" s="3">
        <v>174</v>
      </c>
      <c r="N371" s="3">
        <v>950</v>
      </c>
      <c r="O371" s="3">
        <v>2828</v>
      </c>
      <c r="P371" t="str">
        <f t="shared" si="10"/>
        <v>Tue</v>
      </c>
      <c r="Q371" t="str">
        <f t="shared" si="11"/>
        <v>Sedentary</v>
      </c>
    </row>
    <row r="372" spans="1:17">
      <c r="A372">
        <v>4020332650</v>
      </c>
      <c r="B372" s="1">
        <v>42499</v>
      </c>
      <c r="C372" s="3">
        <v>4556</v>
      </c>
      <c r="D372" s="2">
        <v>3.2699999809265101</v>
      </c>
      <c r="E372" s="2">
        <v>3.2699999809265101</v>
      </c>
      <c r="F372" s="2">
        <v>0</v>
      </c>
      <c r="G372" s="2">
        <v>0.20000000298023199</v>
      </c>
      <c r="H372" s="2">
        <v>0.119999997317791</v>
      </c>
      <c r="I372" s="2">
        <v>2.9400000572204599</v>
      </c>
      <c r="J372" s="2">
        <v>0</v>
      </c>
      <c r="K372" s="3">
        <v>3</v>
      </c>
      <c r="L372" s="3">
        <v>5</v>
      </c>
      <c r="M372" s="3">
        <v>173</v>
      </c>
      <c r="N372" s="3">
        <v>1225</v>
      </c>
      <c r="O372" s="3">
        <v>2785</v>
      </c>
      <c r="P372" t="str">
        <f t="shared" si="10"/>
        <v>Mon</v>
      </c>
      <c r="Q372" t="str">
        <f t="shared" si="11"/>
        <v>Sedentary</v>
      </c>
    </row>
    <row r="373" spans="1:17">
      <c r="A373">
        <v>4020332650</v>
      </c>
      <c r="B373" s="1">
        <v>42500</v>
      </c>
      <c r="C373" s="3">
        <v>5546</v>
      </c>
      <c r="D373" s="2">
        <v>3.9800000190734899</v>
      </c>
      <c r="E373" s="2">
        <v>3.9800000190734899</v>
      </c>
      <c r="F373" s="2">
        <v>0</v>
      </c>
      <c r="G373" s="2">
        <v>0</v>
      </c>
      <c r="H373" s="2">
        <v>0</v>
      </c>
      <c r="I373" s="2">
        <v>3.8699998855590798</v>
      </c>
      <c r="J373" s="2">
        <v>3.9999999105930301E-2</v>
      </c>
      <c r="K373" s="3">
        <v>0</v>
      </c>
      <c r="L373" s="3">
        <v>0</v>
      </c>
      <c r="M373" s="3">
        <v>206</v>
      </c>
      <c r="N373" s="3">
        <v>774</v>
      </c>
      <c r="O373" s="3">
        <v>2926</v>
      </c>
      <c r="P373" t="str">
        <f t="shared" si="10"/>
        <v>Tue</v>
      </c>
      <c r="Q373" t="str">
        <f t="shared" si="11"/>
        <v>Lightly Active</v>
      </c>
    </row>
    <row r="374" spans="1:17">
      <c r="A374">
        <v>4020332650</v>
      </c>
      <c r="B374" s="1">
        <v>42498</v>
      </c>
      <c r="C374" s="3">
        <v>5862</v>
      </c>
      <c r="D374" s="2">
        <v>4.1999998092651403</v>
      </c>
      <c r="E374" s="2">
        <v>4.1999998092651403</v>
      </c>
      <c r="F374" s="2">
        <v>0</v>
      </c>
      <c r="G374" s="2">
        <v>0</v>
      </c>
      <c r="H374" s="2">
        <v>0</v>
      </c>
      <c r="I374" s="2">
        <v>4.1500000953674299</v>
      </c>
      <c r="J374" s="2">
        <v>0</v>
      </c>
      <c r="K374" s="3">
        <v>0</v>
      </c>
      <c r="L374" s="3">
        <v>0</v>
      </c>
      <c r="M374" s="3">
        <v>263</v>
      </c>
      <c r="N374" s="3">
        <v>775</v>
      </c>
      <c r="O374" s="3">
        <v>3089</v>
      </c>
      <c r="P374" t="str">
        <f t="shared" si="10"/>
        <v>Sun</v>
      </c>
      <c r="Q374" t="str">
        <f t="shared" si="11"/>
        <v>Lightly Active</v>
      </c>
    </row>
    <row r="375" spans="1:17">
      <c r="A375">
        <v>4020332650</v>
      </c>
      <c r="B375" s="1">
        <v>42497</v>
      </c>
      <c r="C375" s="3">
        <v>6132</v>
      </c>
      <c r="D375" s="2">
        <v>4.4000000953674299</v>
      </c>
      <c r="E375" s="2">
        <v>4.4000000953674299</v>
      </c>
      <c r="F375" s="2">
        <v>0</v>
      </c>
      <c r="G375" s="2">
        <v>0</v>
      </c>
      <c r="H375" s="2">
        <v>0</v>
      </c>
      <c r="I375" s="2">
        <v>3.5799999237060498</v>
      </c>
      <c r="J375" s="2">
        <v>0</v>
      </c>
      <c r="K375" s="3">
        <v>0</v>
      </c>
      <c r="L375" s="3">
        <v>0</v>
      </c>
      <c r="M375" s="3">
        <v>184</v>
      </c>
      <c r="N375" s="3">
        <v>1256</v>
      </c>
      <c r="O375" s="3">
        <v>2975</v>
      </c>
      <c r="P375" t="str">
        <f t="shared" si="10"/>
        <v>Sat</v>
      </c>
      <c r="Q375" t="str">
        <f t="shared" si="11"/>
        <v>Lightly Active</v>
      </c>
    </row>
    <row r="376" spans="1:17">
      <c r="A376">
        <v>4020332650</v>
      </c>
      <c r="B376" s="1">
        <v>42472</v>
      </c>
      <c r="C376" s="3">
        <v>8539</v>
      </c>
      <c r="D376" s="2">
        <v>6.1199998855590803</v>
      </c>
      <c r="E376" s="2">
        <v>6.1199998855590803</v>
      </c>
      <c r="F376" s="2">
        <v>0</v>
      </c>
      <c r="G376" s="2">
        <v>0.15000000596046401</v>
      </c>
      <c r="H376" s="2">
        <v>0.239999994635582</v>
      </c>
      <c r="I376" s="2">
        <v>5.6799998283386204</v>
      </c>
      <c r="J376" s="2">
        <v>0</v>
      </c>
      <c r="K376" s="3">
        <v>4</v>
      </c>
      <c r="L376" s="3">
        <v>15</v>
      </c>
      <c r="M376" s="3">
        <v>331</v>
      </c>
      <c r="N376" s="3">
        <v>712</v>
      </c>
      <c r="O376" s="3">
        <v>3654</v>
      </c>
      <c r="P376" t="str">
        <f t="shared" si="10"/>
        <v>Tue</v>
      </c>
      <c r="Q376" t="str">
        <f t="shared" si="11"/>
        <v>Fairly Active</v>
      </c>
    </row>
    <row r="377" spans="1:17">
      <c r="A377">
        <v>4020332650</v>
      </c>
      <c r="B377" s="1">
        <v>42494</v>
      </c>
      <c r="C377" s="3">
        <v>10252</v>
      </c>
      <c r="D377" s="2">
        <v>7.3499999046325701</v>
      </c>
      <c r="E377" s="2">
        <v>7.3499999046325701</v>
      </c>
      <c r="F377" s="2">
        <v>0</v>
      </c>
      <c r="G377" s="2">
        <v>0.67000001668930098</v>
      </c>
      <c r="H377" s="2">
        <v>1.03999996185303</v>
      </c>
      <c r="I377" s="2">
        <v>5.5799999237060502</v>
      </c>
      <c r="J377" s="2">
        <v>0</v>
      </c>
      <c r="K377" s="3">
        <v>13</v>
      </c>
      <c r="L377" s="3">
        <v>46</v>
      </c>
      <c r="M377" s="3">
        <v>346</v>
      </c>
      <c r="N377" s="3">
        <v>531</v>
      </c>
      <c r="O377" s="3">
        <v>3879</v>
      </c>
      <c r="P377" t="str">
        <f t="shared" si="10"/>
        <v>Wed</v>
      </c>
      <c r="Q377" t="str">
        <f t="shared" si="11"/>
        <v>Vey Active</v>
      </c>
    </row>
    <row r="378" spans="1:17">
      <c r="A378">
        <v>4020332650</v>
      </c>
      <c r="B378" s="1">
        <v>42495</v>
      </c>
      <c r="C378" s="3">
        <v>11728</v>
      </c>
      <c r="D378" s="2">
        <v>8.4300003051757795</v>
      </c>
      <c r="E378" s="2">
        <v>8.4300003051757795</v>
      </c>
      <c r="F378" s="2">
        <v>0</v>
      </c>
      <c r="G378" s="2">
        <v>2.6199998855590798</v>
      </c>
      <c r="H378" s="2">
        <v>1.6799999475479099</v>
      </c>
      <c r="I378" s="2">
        <v>4.03999996185303</v>
      </c>
      <c r="J378" s="2">
        <v>7.0000000298023196E-2</v>
      </c>
      <c r="K378" s="3">
        <v>38</v>
      </c>
      <c r="L378" s="3">
        <v>42</v>
      </c>
      <c r="M378" s="3">
        <v>196</v>
      </c>
      <c r="N378" s="3">
        <v>916</v>
      </c>
      <c r="O378" s="3">
        <v>3429</v>
      </c>
      <c r="P378" t="str">
        <f t="shared" si="10"/>
        <v>Thu</v>
      </c>
      <c r="Q378" t="str">
        <f t="shared" si="11"/>
        <v>Vey Active</v>
      </c>
    </row>
    <row r="379" spans="1:17">
      <c r="A379">
        <v>4057192912</v>
      </c>
      <c r="B379" s="1">
        <v>42474</v>
      </c>
      <c r="C379" s="3">
        <v>0</v>
      </c>
      <c r="D379" s="2">
        <v>0</v>
      </c>
      <c r="E379" s="2">
        <v>0</v>
      </c>
      <c r="F379" s="2">
        <v>0</v>
      </c>
      <c r="G379" s="2">
        <v>0</v>
      </c>
      <c r="H379" s="2">
        <v>0</v>
      </c>
      <c r="I379" s="2">
        <v>0</v>
      </c>
      <c r="J379" s="2">
        <v>0</v>
      </c>
      <c r="K379" s="3">
        <v>0</v>
      </c>
      <c r="L379" s="3">
        <v>0</v>
      </c>
      <c r="M379" s="3">
        <v>0</v>
      </c>
      <c r="N379" s="3">
        <v>1440</v>
      </c>
      <c r="O379" s="3">
        <v>1776</v>
      </c>
      <c r="P379" t="str">
        <f t="shared" si="10"/>
        <v>Thu</v>
      </c>
      <c r="Q379" t="str">
        <f t="shared" si="11"/>
        <v>Sedentary</v>
      </c>
    </row>
    <row r="380" spans="1:17">
      <c r="A380">
        <v>4057192912</v>
      </c>
      <c r="B380" s="1">
        <v>42475</v>
      </c>
      <c r="C380" s="3">
        <v>3984</v>
      </c>
      <c r="D380" s="2">
        <v>2.9500000476837198</v>
      </c>
      <c r="E380" s="2">
        <v>2.9500000476837198</v>
      </c>
      <c r="F380" s="2">
        <v>0</v>
      </c>
      <c r="G380" s="2">
        <v>0.20999999344348899</v>
      </c>
      <c r="H380" s="2">
        <v>0.259999990463257</v>
      </c>
      <c r="I380" s="2">
        <v>2.4400000572204599</v>
      </c>
      <c r="J380" s="2">
        <v>0</v>
      </c>
      <c r="K380" s="3">
        <v>3</v>
      </c>
      <c r="L380" s="3">
        <v>6</v>
      </c>
      <c r="M380" s="3">
        <v>88</v>
      </c>
      <c r="N380" s="3">
        <v>873</v>
      </c>
      <c r="O380" s="3">
        <v>1527</v>
      </c>
      <c r="P380" t="str">
        <f t="shared" si="10"/>
        <v>Fri</v>
      </c>
      <c r="Q380" t="str">
        <f t="shared" si="11"/>
        <v>Sedentary</v>
      </c>
    </row>
    <row r="381" spans="1:17">
      <c r="A381">
        <v>4057192912</v>
      </c>
      <c r="B381" s="1">
        <v>42472</v>
      </c>
      <c r="C381" s="3">
        <v>5394</v>
      </c>
      <c r="D381" s="2">
        <v>4.0300002098083496</v>
      </c>
      <c r="E381" s="2">
        <v>4.0300002098083496</v>
      </c>
      <c r="F381" s="2">
        <v>0</v>
      </c>
      <c r="G381" s="2">
        <v>0</v>
      </c>
      <c r="H381" s="2">
        <v>0</v>
      </c>
      <c r="I381" s="2">
        <v>3.9400000572204599</v>
      </c>
      <c r="J381" s="2">
        <v>0</v>
      </c>
      <c r="K381" s="3">
        <v>0</v>
      </c>
      <c r="L381" s="3">
        <v>0</v>
      </c>
      <c r="M381" s="3">
        <v>164</v>
      </c>
      <c r="N381" s="3">
        <v>1276</v>
      </c>
      <c r="O381" s="3">
        <v>2286</v>
      </c>
      <c r="P381" t="str">
        <f t="shared" si="10"/>
        <v>Tue</v>
      </c>
      <c r="Q381" t="str">
        <f t="shared" si="11"/>
        <v>Lightly Active</v>
      </c>
    </row>
    <row r="382" spans="1:17">
      <c r="A382">
        <v>4057192912</v>
      </c>
      <c r="B382" s="1">
        <v>42473</v>
      </c>
      <c r="C382" s="3">
        <v>5974</v>
      </c>
      <c r="D382" s="2">
        <v>4.4699997901916504</v>
      </c>
      <c r="E382" s="2">
        <v>4.4699997901916504</v>
      </c>
      <c r="F382" s="2">
        <v>0</v>
      </c>
      <c r="G382" s="2">
        <v>0</v>
      </c>
      <c r="H382" s="2">
        <v>0</v>
      </c>
      <c r="I382" s="2">
        <v>4.3699998855590803</v>
      </c>
      <c r="J382" s="2">
        <v>0</v>
      </c>
      <c r="K382" s="3">
        <v>0</v>
      </c>
      <c r="L382" s="3">
        <v>0</v>
      </c>
      <c r="M382" s="3">
        <v>160</v>
      </c>
      <c r="N382" s="3">
        <v>1280</v>
      </c>
      <c r="O382" s="3">
        <v>2306</v>
      </c>
      <c r="P382" t="str">
        <f t="shared" si="10"/>
        <v>Wed</v>
      </c>
      <c r="Q382" t="str">
        <f t="shared" si="11"/>
        <v>Lightly Active</v>
      </c>
    </row>
    <row r="383" spans="1:17">
      <c r="A383">
        <v>4319703577</v>
      </c>
      <c r="B383" s="1">
        <v>42502</v>
      </c>
      <c r="C383" s="3">
        <v>17</v>
      </c>
      <c r="D383" s="2">
        <v>9.9999997764825804E-3</v>
      </c>
      <c r="E383" s="2">
        <v>9.9999997764825804E-3</v>
      </c>
      <c r="F383" s="2">
        <v>0</v>
      </c>
      <c r="G383" s="2">
        <v>0</v>
      </c>
      <c r="H383" s="2">
        <v>0</v>
      </c>
      <c r="I383" s="2">
        <v>9.9999997764825804E-3</v>
      </c>
      <c r="J383" s="2">
        <v>0</v>
      </c>
      <c r="K383" s="3">
        <v>0</v>
      </c>
      <c r="L383" s="3">
        <v>0</v>
      </c>
      <c r="M383" s="3">
        <v>2</v>
      </c>
      <c r="N383" s="3">
        <v>0</v>
      </c>
      <c r="O383" s="3">
        <v>257</v>
      </c>
      <c r="P383" t="str">
        <f t="shared" si="10"/>
        <v>Thu</v>
      </c>
      <c r="Q383" t="str">
        <f t="shared" si="11"/>
        <v>Sedentary</v>
      </c>
    </row>
    <row r="384" spans="1:17">
      <c r="A384">
        <v>4319703577</v>
      </c>
      <c r="B384" s="1">
        <v>42477</v>
      </c>
      <c r="C384" s="3">
        <v>29</v>
      </c>
      <c r="D384" s="2">
        <v>1.9999999552965199E-2</v>
      </c>
      <c r="E384" s="2">
        <v>1.9999999552965199E-2</v>
      </c>
      <c r="F384" s="2">
        <v>0</v>
      </c>
      <c r="G384" s="2">
        <v>0</v>
      </c>
      <c r="H384" s="2">
        <v>0</v>
      </c>
      <c r="I384" s="2">
        <v>1.9999999552965199E-2</v>
      </c>
      <c r="J384" s="2">
        <v>0</v>
      </c>
      <c r="K384" s="3">
        <v>0</v>
      </c>
      <c r="L384" s="3">
        <v>0</v>
      </c>
      <c r="M384" s="3">
        <v>3</v>
      </c>
      <c r="N384" s="3">
        <v>1363</v>
      </c>
      <c r="O384" s="3">
        <v>1464</v>
      </c>
      <c r="P384" t="str">
        <f t="shared" si="10"/>
        <v>Sun</v>
      </c>
      <c r="Q384" t="str">
        <f t="shared" si="11"/>
        <v>Sedentary</v>
      </c>
    </row>
    <row r="385" spans="1:17">
      <c r="A385">
        <v>4319703577</v>
      </c>
      <c r="B385" s="1">
        <v>42491</v>
      </c>
      <c r="C385" s="3">
        <v>1251</v>
      </c>
      <c r="D385" s="2">
        <v>0.83999997377395597</v>
      </c>
      <c r="E385" s="2">
        <v>0.83999997377395597</v>
      </c>
      <c r="F385" s="2">
        <v>0</v>
      </c>
      <c r="G385" s="2">
        <v>0</v>
      </c>
      <c r="H385" s="2">
        <v>0</v>
      </c>
      <c r="I385" s="2">
        <v>0.83999997377395597</v>
      </c>
      <c r="J385" s="2">
        <v>0</v>
      </c>
      <c r="K385" s="3">
        <v>0</v>
      </c>
      <c r="L385" s="3">
        <v>0</v>
      </c>
      <c r="M385" s="3">
        <v>67</v>
      </c>
      <c r="N385" s="3">
        <v>836</v>
      </c>
      <c r="O385" s="3">
        <v>1593</v>
      </c>
      <c r="P385" t="str">
        <f t="shared" si="10"/>
        <v>Sun</v>
      </c>
      <c r="Q385" t="str">
        <f t="shared" si="11"/>
        <v>Sedentary</v>
      </c>
    </row>
    <row r="386" spans="1:17">
      <c r="A386">
        <v>4319703577</v>
      </c>
      <c r="B386" s="1">
        <v>42478</v>
      </c>
      <c r="C386" s="3">
        <v>2276</v>
      </c>
      <c r="D386" s="2">
        <v>1.54999995231628</v>
      </c>
      <c r="E386" s="2">
        <v>1.54999995231628</v>
      </c>
      <c r="F386" s="2">
        <v>0</v>
      </c>
      <c r="G386" s="2">
        <v>7.0000000298023196E-2</v>
      </c>
      <c r="H386" s="2">
        <v>0.33000001311302202</v>
      </c>
      <c r="I386" s="2">
        <v>1.12000000476837</v>
      </c>
      <c r="J386" s="2">
        <v>0</v>
      </c>
      <c r="K386" s="3">
        <v>1</v>
      </c>
      <c r="L386" s="3">
        <v>9</v>
      </c>
      <c r="M386" s="3">
        <v>58</v>
      </c>
      <c r="N386" s="3">
        <v>824</v>
      </c>
      <c r="O386" s="3">
        <v>1632</v>
      </c>
      <c r="P386" t="str">
        <f t="shared" ref="P386:P449" si="12">TEXT(B386, "ddd")</f>
        <v>Mon</v>
      </c>
      <c r="Q386" t="str">
        <f t="shared" ref="Q386:Q449" si="13">IF(C386&lt;5000, "Sedentary", IF(C386&lt;7500, "Lightly Active",IF(C386&lt;10000, "Fairly Active", "Vey Active")))</f>
        <v>Sedentary</v>
      </c>
    </row>
    <row r="387" spans="1:17">
      <c r="A387">
        <v>4319703577</v>
      </c>
      <c r="B387" s="1">
        <v>42498</v>
      </c>
      <c r="C387" s="3">
        <v>3672</v>
      </c>
      <c r="D387" s="2">
        <v>2.46000003814697</v>
      </c>
      <c r="E387" s="2">
        <v>2.46000003814697</v>
      </c>
      <c r="F387" s="2">
        <v>0</v>
      </c>
      <c r="G387" s="2">
        <v>0</v>
      </c>
      <c r="H387" s="2">
        <v>0</v>
      </c>
      <c r="I387" s="2">
        <v>2.46000003814697</v>
      </c>
      <c r="J387" s="2">
        <v>0</v>
      </c>
      <c r="K387" s="3">
        <v>0</v>
      </c>
      <c r="L387" s="3">
        <v>0</v>
      </c>
      <c r="M387" s="3">
        <v>153</v>
      </c>
      <c r="N387" s="3">
        <v>603</v>
      </c>
      <c r="O387" s="3">
        <v>1792</v>
      </c>
      <c r="P387" t="str">
        <f t="shared" si="12"/>
        <v>Sun</v>
      </c>
      <c r="Q387" t="str">
        <f t="shared" si="13"/>
        <v>Sedentary</v>
      </c>
    </row>
    <row r="388" spans="1:17">
      <c r="A388">
        <v>4319703577</v>
      </c>
      <c r="B388" s="1">
        <v>42481</v>
      </c>
      <c r="C388" s="3">
        <v>3702</v>
      </c>
      <c r="D388" s="2">
        <v>2.4800000190734899</v>
      </c>
      <c r="E388" s="2">
        <v>2.4800000190734899</v>
      </c>
      <c r="F388" s="2">
        <v>0</v>
      </c>
      <c r="G388" s="2">
        <v>0</v>
      </c>
      <c r="H388" s="2">
        <v>0</v>
      </c>
      <c r="I388" s="2">
        <v>0.34999999403953602</v>
      </c>
      <c r="J388" s="2">
        <v>0</v>
      </c>
      <c r="K388" s="3">
        <v>0</v>
      </c>
      <c r="L388" s="3">
        <v>0</v>
      </c>
      <c r="M388" s="3">
        <v>34</v>
      </c>
      <c r="N388" s="3">
        <v>1265</v>
      </c>
      <c r="O388" s="3">
        <v>1792</v>
      </c>
      <c r="P388" t="str">
        <f t="shared" si="12"/>
        <v>Thu</v>
      </c>
      <c r="Q388" t="str">
        <f t="shared" si="13"/>
        <v>Sedentary</v>
      </c>
    </row>
    <row r="389" spans="1:17">
      <c r="A389">
        <v>4319703577</v>
      </c>
      <c r="B389" s="1">
        <v>42484</v>
      </c>
      <c r="C389" s="3">
        <v>4081</v>
      </c>
      <c r="D389" s="2">
        <v>2.7400000095367401</v>
      </c>
      <c r="E389" s="2">
        <v>2.7400000095367401</v>
      </c>
      <c r="F389" s="2">
        <v>0</v>
      </c>
      <c r="G389" s="2">
        <v>5.9999998658895499E-2</v>
      </c>
      <c r="H389" s="2">
        <v>0.20000000298023199</v>
      </c>
      <c r="I389" s="2">
        <v>2.4700000286102299</v>
      </c>
      <c r="J389" s="2">
        <v>0</v>
      </c>
      <c r="K389" s="3">
        <v>1</v>
      </c>
      <c r="L389" s="3">
        <v>5</v>
      </c>
      <c r="M389" s="3">
        <v>191</v>
      </c>
      <c r="N389" s="3">
        <v>692</v>
      </c>
      <c r="O389" s="3">
        <v>1880</v>
      </c>
      <c r="P389" t="str">
        <f t="shared" si="12"/>
        <v>Sun</v>
      </c>
      <c r="Q389" t="str">
        <f t="shared" si="13"/>
        <v>Sedentary</v>
      </c>
    </row>
    <row r="390" spans="1:17">
      <c r="A390">
        <v>4319703577</v>
      </c>
      <c r="B390" s="1">
        <v>42482</v>
      </c>
      <c r="C390" s="3">
        <v>4500</v>
      </c>
      <c r="D390" s="2">
        <v>3.0199999809265101</v>
      </c>
      <c r="E390" s="2">
        <v>3.0199999809265101</v>
      </c>
      <c r="F390" s="2">
        <v>0</v>
      </c>
      <c r="G390" s="2">
        <v>5.9999998658895499E-2</v>
      </c>
      <c r="H390" s="2">
        <v>0.81000000238418601</v>
      </c>
      <c r="I390" s="2">
        <v>2.1500000953674299</v>
      </c>
      <c r="J390" s="2">
        <v>0</v>
      </c>
      <c r="K390" s="3">
        <v>1</v>
      </c>
      <c r="L390" s="3">
        <v>19</v>
      </c>
      <c r="M390" s="3">
        <v>176</v>
      </c>
      <c r="N390" s="3">
        <v>709</v>
      </c>
      <c r="O390" s="3">
        <v>1886</v>
      </c>
      <c r="P390" t="str">
        <f t="shared" si="12"/>
        <v>Fri</v>
      </c>
      <c r="Q390" t="str">
        <f t="shared" si="13"/>
        <v>Sedentary</v>
      </c>
    </row>
    <row r="391" spans="1:17">
      <c r="A391">
        <v>4319703577</v>
      </c>
      <c r="B391" s="1">
        <v>42476</v>
      </c>
      <c r="C391" s="3">
        <v>4744</v>
      </c>
      <c r="D391" s="2">
        <v>3.1800000667571999</v>
      </c>
      <c r="E391" s="2">
        <v>3.1800000667571999</v>
      </c>
      <c r="F391" s="2">
        <v>0</v>
      </c>
      <c r="G391" s="2">
        <v>0</v>
      </c>
      <c r="H391" s="2">
        <v>0</v>
      </c>
      <c r="I391" s="2">
        <v>3.1800000667571999</v>
      </c>
      <c r="J391" s="2">
        <v>0</v>
      </c>
      <c r="K391" s="3">
        <v>0</v>
      </c>
      <c r="L391" s="3">
        <v>0</v>
      </c>
      <c r="M391" s="3">
        <v>194</v>
      </c>
      <c r="N391" s="3">
        <v>724</v>
      </c>
      <c r="O391" s="3">
        <v>1884</v>
      </c>
      <c r="P391" t="str">
        <f t="shared" si="12"/>
        <v>Sat</v>
      </c>
      <c r="Q391" t="str">
        <f t="shared" si="13"/>
        <v>Sedentary</v>
      </c>
    </row>
    <row r="392" spans="1:17">
      <c r="A392">
        <v>4319703577</v>
      </c>
      <c r="B392" s="1">
        <v>42483</v>
      </c>
      <c r="C392" s="3">
        <v>4935</v>
      </c>
      <c r="D392" s="2">
        <v>3.3099999427795401</v>
      </c>
      <c r="E392" s="2">
        <v>3.3099999427795401</v>
      </c>
      <c r="F392" s="2">
        <v>0</v>
      </c>
      <c r="G392" s="2">
        <v>0</v>
      </c>
      <c r="H392" s="2">
        <v>0</v>
      </c>
      <c r="I392" s="2">
        <v>3.3099999427795401</v>
      </c>
      <c r="J392" s="2">
        <v>0</v>
      </c>
      <c r="K392" s="3">
        <v>0</v>
      </c>
      <c r="L392" s="3">
        <v>0</v>
      </c>
      <c r="M392" s="3">
        <v>233</v>
      </c>
      <c r="N392" s="3">
        <v>546</v>
      </c>
      <c r="O392" s="3">
        <v>1945</v>
      </c>
      <c r="P392" t="str">
        <f t="shared" si="12"/>
        <v>Sat</v>
      </c>
      <c r="Q392" t="str">
        <f t="shared" si="13"/>
        <v>Sedentary</v>
      </c>
    </row>
    <row r="393" spans="1:17">
      <c r="A393">
        <v>4319703577</v>
      </c>
      <c r="B393" s="1">
        <v>42475</v>
      </c>
      <c r="C393" s="3">
        <v>5664</v>
      </c>
      <c r="D393" s="2">
        <v>3.7999999523162802</v>
      </c>
      <c r="E393" s="2">
        <v>3.7999999523162802</v>
      </c>
      <c r="F393" s="2">
        <v>0</v>
      </c>
      <c r="G393" s="2">
        <v>0</v>
      </c>
      <c r="H393" s="2">
        <v>0</v>
      </c>
      <c r="I393" s="2">
        <v>3.7999999523162802</v>
      </c>
      <c r="J393" s="2">
        <v>0</v>
      </c>
      <c r="K393" s="3">
        <v>0</v>
      </c>
      <c r="L393" s="3">
        <v>0</v>
      </c>
      <c r="M393" s="3">
        <v>228</v>
      </c>
      <c r="N393" s="3">
        <v>752</v>
      </c>
      <c r="O393" s="3">
        <v>1985</v>
      </c>
      <c r="P393" t="str">
        <f t="shared" si="12"/>
        <v>Fri</v>
      </c>
      <c r="Q393" t="str">
        <f t="shared" si="13"/>
        <v>Lightly Active</v>
      </c>
    </row>
    <row r="394" spans="1:17">
      <c r="A394">
        <v>4319703577</v>
      </c>
      <c r="B394" s="1">
        <v>42472</v>
      </c>
      <c r="C394" s="3">
        <v>7753</v>
      </c>
      <c r="D394" s="2">
        <v>5.1999998092651403</v>
      </c>
      <c r="E394" s="2">
        <v>5.1999998092651403</v>
      </c>
      <c r="F394" s="2">
        <v>0</v>
      </c>
      <c r="G394" s="2">
        <v>0</v>
      </c>
      <c r="H394" s="2">
        <v>0</v>
      </c>
      <c r="I394" s="2">
        <v>0</v>
      </c>
      <c r="J394" s="2">
        <v>0</v>
      </c>
      <c r="K394" s="3">
        <v>0</v>
      </c>
      <c r="L394" s="3">
        <v>0</v>
      </c>
      <c r="M394" s="3">
        <v>0</v>
      </c>
      <c r="N394" s="3">
        <v>1440</v>
      </c>
      <c r="O394" s="3">
        <v>2115</v>
      </c>
      <c r="P394" t="str">
        <f t="shared" si="12"/>
        <v>Tue</v>
      </c>
      <c r="Q394" t="str">
        <f t="shared" si="13"/>
        <v>Fairly Active</v>
      </c>
    </row>
    <row r="395" spans="1:17">
      <c r="A395">
        <v>4319703577</v>
      </c>
      <c r="B395" s="1">
        <v>42497</v>
      </c>
      <c r="C395" s="3">
        <v>7937</v>
      </c>
      <c r="D395" s="2">
        <v>5.3299999237060502</v>
      </c>
      <c r="E395" s="2">
        <v>5.3299999237060502</v>
      </c>
      <c r="F395" s="2">
        <v>0</v>
      </c>
      <c r="G395" s="2">
        <v>0.18999999761581399</v>
      </c>
      <c r="H395" s="2">
        <v>1.04999995231628</v>
      </c>
      <c r="I395" s="2">
        <v>4.0799999237060502</v>
      </c>
      <c r="J395" s="2">
        <v>0</v>
      </c>
      <c r="K395" s="3">
        <v>3</v>
      </c>
      <c r="L395" s="3">
        <v>28</v>
      </c>
      <c r="M395" s="3">
        <v>279</v>
      </c>
      <c r="N395" s="3">
        <v>586</v>
      </c>
      <c r="O395" s="3">
        <v>2158</v>
      </c>
      <c r="P395" t="str">
        <f t="shared" si="12"/>
        <v>Sat</v>
      </c>
      <c r="Q395" t="str">
        <f t="shared" si="13"/>
        <v>Fairly Active</v>
      </c>
    </row>
    <row r="396" spans="1:17">
      <c r="A396">
        <v>4319703577</v>
      </c>
      <c r="B396" s="1">
        <v>42489</v>
      </c>
      <c r="C396" s="3">
        <v>7990</v>
      </c>
      <c r="D396" s="2">
        <v>5.3600001335143999</v>
      </c>
      <c r="E396" s="2">
        <v>5.3600001335143999</v>
      </c>
      <c r="F396" s="2">
        <v>0</v>
      </c>
      <c r="G396" s="2">
        <v>0.44999998807907099</v>
      </c>
      <c r="H396" s="2">
        <v>0.79000002145767201</v>
      </c>
      <c r="I396" s="2">
        <v>4.1199998855590803</v>
      </c>
      <c r="J396" s="2">
        <v>0</v>
      </c>
      <c r="K396" s="3">
        <v>6</v>
      </c>
      <c r="L396" s="3">
        <v>18</v>
      </c>
      <c r="M396" s="3">
        <v>289</v>
      </c>
      <c r="N396" s="3">
        <v>624</v>
      </c>
      <c r="O396" s="3">
        <v>2175</v>
      </c>
      <c r="P396" t="str">
        <f t="shared" si="12"/>
        <v>Fri</v>
      </c>
      <c r="Q396" t="str">
        <f t="shared" si="13"/>
        <v>Fairly Active</v>
      </c>
    </row>
    <row r="397" spans="1:17">
      <c r="A397">
        <v>4319703577</v>
      </c>
      <c r="B397" s="1">
        <v>42473</v>
      </c>
      <c r="C397" s="3">
        <v>8204</v>
      </c>
      <c r="D397" s="2">
        <v>5.5</v>
      </c>
      <c r="E397" s="2">
        <v>5.5</v>
      </c>
      <c r="F397" s="2">
        <v>0</v>
      </c>
      <c r="G397" s="2">
        <v>0.52999997138977095</v>
      </c>
      <c r="H397" s="2">
        <v>0.58999997377395597</v>
      </c>
      <c r="I397" s="2">
        <v>1.3099999427795399</v>
      </c>
      <c r="J397" s="2">
        <v>0</v>
      </c>
      <c r="K397" s="3">
        <v>8</v>
      </c>
      <c r="L397" s="3">
        <v>15</v>
      </c>
      <c r="M397" s="3">
        <v>96</v>
      </c>
      <c r="N397" s="3">
        <v>1234</v>
      </c>
      <c r="O397" s="3">
        <v>2135</v>
      </c>
      <c r="P397" t="str">
        <f t="shared" si="12"/>
        <v>Wed</v>
      </c>
      <c r="Q397" t="str">
        <f t="shared" si="13"/>
        <v>Fairly Active</v>
      </c>
    </row>
    <row r="398" spans="1:17">
      <c r="A398">
        <v>4319703577</v>
      </c>
      <c r="B398" s="1">
        <v>42490</v>
      </c>
      <c r="C398" s="3">
        <v>8221</v>
      </c>
      <c r="D398" s="2">
        <v>5.5199999809265101</v>
      </c>
      <c r="E398" s="2">
        <v>5.5199999809265101</v>
      </c>
      <c r="F398" s="2">
        <v>0</v>
      </c>
      <c r="G398" s="2">
        <v>0.40000000596046398</v>
      </c>
      <c r="H398" s="2">
        <v>1.6100000143051101</v>
      </c>
      <c r="I398" s="2">
        <v>3.5099999904632599</v>
      </c>
      <c r="J398" s="2">
        <v>0</v>
      </c>
      <c r="K398" s="3">
        <v>6</v>
      </c>
      <c r="L398" s="3">
        <v>38</v>
      </c>
      <c r="M398" s="3">
        <v>196</v>
      </c>
      <c r="N398" s="3">
        <v>695</v>
      </c>
      <c r="O398" s="3">
        <v>2092</v>
      </c>
      <c r="P398" t="str">
        <f t="shared" si="12"/>
        <v>Sat</v>
      </c>
      <c r="Q398" t="str">
        <f t="shared" si="13"/>
        <v>Fairly Active</v>
      </c>
    </row>
    <row r="399" spans="1:17">
      <c r="A399">
        <v>4319703577</v>
      </c>
      <c r="B399" s="1">
        <v>42479</v>
      </c>
      <c r="C399" s="3">
        <v>8925</v>
      </c>
      <c r="D399" s="2">
        <v>5.9899997711181596</v>
      </c>
      <c r="E399" s="2">
        <v>5.9899997711181596</v>
      </c>
      <c r="F399" s="2">
        <v>0</v>
      </c>
      <c r="G399" s="2">
        <v>0</v>
      </c>
      <c r="H399" s="2">
        <v>0</v>
      </c>
      <c r="I399" s="2">
        <v>5.9899997711181596</v>
      </c>
      <c r="J399" s="2">
        <v>0</v>
      </c>
      <c r="K399" s="3">
        <v>0</v>
      </c>
      <c r="L399" s="3">
        <v>0</v>
      </c>
      <c r="M399" s="3">
        <v>311</v>
      </c>
      <c r="N399" s="3">
        <v>604</v>
      </c>
      <c r="O399" s="3">
        <v>2200</v>
      </c>
      <c r="P399" t="str">
        <f t="shared" si="12"/>
        <v>Tue</v>
      </c>
      <c r="Q399" t="str">
        <f t="shared" si="13"/>
        <v>Fairly Active</v>
      </c>
    </row>
    <row r="400" spans="1:17">
      <c r="A400">
        <v>4319703577</v>
      </c>
      <c r="B400" s="1">
        <v>42480</v>
      </c>
      <c r="C400" s="3">
        <v>8954</v>
      </c>
      <c r="D400" s="2">
        <v>6.0100002288818404</v>
      </c>
      <c r="E400" s="2">
        <v>6.0100002288818404</v>
      </c>
      <c r="F400" s="2">
        <v>0</v>
      </c>
      <c r="G400" s="2">
        <v>0</v>
      </c>
      <c r="H400" s="2">
        <v>0.68000000715255704</v>
      </c>
      <c r="I400" s="2">
        <v>5.3099999427795401</v>
      </c>
      <c r="J400" s="2">
        <v>0</v>
      </c>
      <c r="K400" s="3">
        <v>0</v>
      </c>
      <c r="L400" s="3">
        <v>18</v>
      </c>
      <c r="M400" s="3">
        <v>306</v>
      </c>
      <c r="N400" s="3">
        <v>671</v>
      </c>
      <c r="O400" s="3">
        <v>2220</v>
      </c>
      <c r="P400" t="str">
        <f t="shared" si="12"/>
        <v>Wed</v>
      </c>
      <c r="Q400" t="str">
        <f t="shared" si="13"/>
        <v>Fairly Active</v>
      </c>
    </row>
    <row r="401" spans="1:17">
      <c r="A401">
        <v>4319703577</v>
      </c>
      <c r="B401" s="1">
        <v>42501</v>
      </c>
      <c r="C401" s="3">
        <v>9129</v>
      </c>
      <c r="D401" s="2">
        <v>6.1300001144409197</v>
      </c>
      <c r="E401" s="2">
        <v>6.1300001144409197</v>
      </c>
      <c r="F401" s="2">
        <v>0</v>
      </c>
      <c r="G401" s="2">
        <v>0.20000000298023199</v>
      </c>
      <c r="H401" s="2">
        <v>0.74000000953674305</v>
      </c>
      <c r="I401" s="2">
        <v>5.1799998283386204</v>
      </c>
      <c r="J401" s="2">
        <v>0</v>
      </c>
      <c r="K401" s="3">
        <v>3</v>
      </c>
      <c r="L401" s="3">
        <v>18</v>
      </c>
      <c r="M401" s="3">
        <v>311</v>
      </c>
      <c r="N401" s="3">
        <v>574</v>
      </c>
      <c r="O401" s="3">
        <v>2232</v>
      </c>
      <c r="P401" t="str">
        <f t="shared" si="12"/>
        <v>Wed</v>
      </c>
      <c r="Q401" t="str">
        <f t="shared" si="13"/>
        <v>Fairly Active</v>
      </c>
    </row>
    <row r="402" spans="1:17">
      <c r="A402">
        <v>4319703577</v>
      </c>
      <c r="B402" s="1">
        <v>42485</v>
      </c>
      <c r="C402" s="3">
        <v>9259</v>
      </c>
      <c r="D402" s="2">
        <v>6.21000003814697</v>
      </c>
      <c r="E402" s="2">
        <v>6.21000003814697</v>
      </c>
      <c r="F402" s="2">
        <v>0</v>
      </c>
      <c r="G402" s="2">
        <v>0</v>
      </c>
      <c r="H402" s="2">
        <v>0.28000000119209301</v>
      </c>
      <c r="I402" s="2">
        <v>5.9299998283386204</v>
      </c>
      <c r="J402" s="2">
        <v>0</v>
      </c>
      <c r="K402" s="3">
        <v>0</v>
      </c>
      <c r="L402" s="3">
        <v>8</v>
      </c>
      <c r="M402" s="3">
        <v>390</v>
      </c>
      <c r="N402" s="3">
        <v>544</v>
      </c>
      <c r="O402" s="3">
        <v>2314</v>
      </c>
      <c r="P402" t="str">
        <f t="shared" si="12"/>
        <v>Mon</v>
      </c>
      <c r="Q402" t="str">
        <f t="shared" si="13"/>
        <v>Fairly Active</v>
      </c>
    </row>
    <row r="403" spans="1:17">
      <c r="A403">
        <v>4319703577</v>
      </c>
      <c r="B403" s="1">
        <v>42492</v>
      </c>
      <c r="C403" s="3">
        <v>9261</v>
      </c>
      <c r="D403" s="2">
        <v>6.2399997711181596</v>
      </c>
      <c r="E403" s="2">
        <v>6.2399997711181596</v>
      </c>
      <c r="F403" s="2">
        <v>0</v>
      </c>
      <c r="G403" s="2">
        <v>0</v>
      </c>
      <c r="H403" s="2">
        <v>0.43999999761581399</v>
      </c>
      <c r="I403" s="2">
        <v>5.71000003814697</v>
      </c>
      <c r="J403" s="2">
        <v>0</v>
      </c>
      <c r="K403" s="3">
        <v>0</v>
      </c>
      <c r="L403" s="3">
        <v>11</v>
      </c>
      <c r="M403" s="3">
        <v>344</v>
      </c>
      <c r="N403" s="3">
        <v>585</v>
      </c>
      <c r="O403" s="3">
        <v>2270</v>
      </c>
      <c r="P403" t="str">
        <f t="shared" si="12"/>
        <v>Mon</v>
      </c>
      <c r="Q403" t="str">
        <f t="shared" si="13"/>
        <v>Fairly Active</v>
      </c>
    </row>
    <row r="404" spans="1:17">
      <c r="A404">
        <v>4319703577</v>
      </c>
      <c r="B404" s="1">
        <v>42500</v>
      </c>
      <c r="C404" s="3">
        <v>9487</v>
      </c>
      <c r="D404" s="2">
        <v>6.3699998855590803</v>
      </c>
      <c r="E404" s="2">
        <v>6.3699998855590803</v>
      </c>
      <c r="F404" s="2">
        <v>0</v>
      </c>
      <c r="G404" s="2">
        <v>0.20999999344348899</v>
      </c>
      <c r="H404" s="2">
        <v>0.46000000834464999</v>
      </c>
      <c r="I404" s="2">
        <v>5.6999998092651403</v>
      </c>
      <c r="J404" s="2">
        <v>0</v>
      </c>
      <c r="K404" s="3">
        <v>3</v>
      </c>
      <c r="L404" s="3">
        <v>12</v>
      </c>
      <c r="M404" s="3">
        <v>329</v>
      </c>
      <c r="N404" s="3">
        <v>555</v>
      </c>
      <c r="O404" s="3">
        <v>2260</v>
      </c>
      <c r="P404" t="str">
        <f t="shared" si="12"/>
        <v>Tue</v>
      </c>
      <c r="Q404" t="str">
        <f t="shared" si="13"/>
        <v>Fairly Active</v>
      </c>
    </row>
    <row r="405" spans="1:17">
      <c r="A405">
        <v>4319703577</v>
      </c>
      <c r="B405" s="1">
        <v>42496</v>
      </c>
      <c r="C405" s="3">
        <v>9524</v>
      </c>
      <c r="D405" s="2">
        <v>6.4200000762939498</v>
      </c>
      <c r="E405" s="2">
        <v>6.4200000762939498</v>
      </c>
      <c r="F405" s="2">
        <v>0</v>
      </c>
      <c r="G405" s="2">
        <v>0.40999999642372098</v>
      </c>
      <c r="H405" s="2">
        <v>0.46999999880790699</v>
      </c>
      <c r="I405" s="2">
        <v>5.46000003814697</v>
      </c>
      <c r="J405" s="2">
        <v>0</v>
      </c>
      <c r="K405" s="3">
        <v>6</v>
      </c>
      <c r="L405" s="3">
        <v>11</v>
      </c>
      <c r="M405" s="3">
        <v>314</v>
      </c>
      <c r="N405" s="3">
        <v>692</v>
      </c>
      <c r="O405" s="3">
        <v>2266</v>
      </c>
      <c r="P405" t="str">
        <f t="shared" si="12"/>
        <v>Fri</v>
      </c>
      <c r="Q405" t="str">
        <f t="shared" si="13"/>
        <v>Fairly Active</v>
      </c>
    </row>
    <row r="406" spans="1:17">
      <c r="A406">
        <v>4319703577</v>
      </c>
      <c r="B406" s="1">
        <v>42493</v>
      </c>
      <c r="C406" s="3">
        <v>9648</v>
      </c>
      <c r="D406" s="2">
        <v>6.4699997901916504</v>
      </c>
      <c r="E406" s="2">
        <v>6.4699997901916504</v>
      </c>
      <c r="F406" s="2">
        <v>0</v>
      </c>
      <c r="G406" s="2">
        <v>0.57999998331069902</v>
      </c>
      <c r="H406" s="2">
        <v>1.0700000524520901</v>
      </c>
      <c r="I406" s="2">
        <v>4.8299999237060502</v>
      </c>
      <c r="J406" s="2">
        <v>0</v>
      </c>
      <c r="K406" s="3">
        <v>8</v>
      </c>
      <c r="L406" s="3">
        <v>26</v>
      </c>
      <c r="M406" s="3">
        <v>287</v>
      </c>
      <c r="N406" s="3">
        <v>669</v>
      </c>
      <c r="O406" s="3">
        <v>2235</v>
      </c>
      <c r="P406" t="str">
        <f t="shared" si="12"/>
        <v>Tue</v>
      </c>
      <c r="Q406" t="str">
        <f t="shared" si="13"/>
        <v>Fairly Active</v>
      </c>
    </row>
    <row r="407" spans="1:17">
      <c r="A407">
        <v>4319703577</v>
      </c>
      <c r="B407" s="1">
        <v>42486</v>
      </c>
      <c r="C407" s="3">
        <v>9899</v>
      </c>
      <c r="D407" s="2">
        <v>6.6399998664856001</v>
      </c>
      <c r="E407" s="2">
        <v>6.6399998664856001</v>
      </c>
      <c r="F407" s="2">
        <v>0</v>
      </c>
      <c r="G407" s="2">
        <v>0.56999999284744296</v>
      </c>
      <c r="H407" s="2">
        <v>0.92000001668930098</v>
      </c>
      <c r="I407" s="2">
        <v>5.1500000953674299</v>
      </c>
      <c r="J407" s="2">
        <v>0</v>
      </c>
      <c r="K407" s="3">
        <v>8</v>
      </c>
      <c r="L407" s="3">
        <v>21</v>
      </c>
      <c r="M407" s="3">
        <v>288</v>
      </c>
      <c r="N407" s="3">
        <v>649</v>
      </c>
      <c r="O407" s="3">
        <v>2236</v>
      </c>
      <c r="P407" t="str">
        <f t="shared" si="12"/>
        <v>Tue</v>
      </c>
      <c r="Q407" t="str">
        <f t="shared" si="13"/>
        <v>Fairly Active</v>
      </c>
    </row>
    <row r="408" spans="1:17">
      <c r="A408">
        <v>4319703577</v>
      </c>
      <c r="B408" s="1">
        <v>42474</v>
      </c>
      <c r="C408" s="3">
        <v>10210</v>
      </c>
      <c r="D408" s="2">
        <v>6.8800001144409197</v>
      </c>
      <c r="E408" s="2">
        <v>6.8800001144409197</v>
      </c>
      <c r="F408" s="2">
        <v>0</v>
      </c>
      <c r="G408" s="2">
        <v>0.109999999403954</v>
      </c>
      <c r="H408" s="2">
        <v>0.33000001311302202</v>
      </c>
      <c r="I408" s="2">
        <v>6.4400000572204599</v>
      </c>
      <c r="J408" s="2">
        <v>0</v>
      </c>
      <c r="K408" s="3">
        <v>1</v>
      </c>
      <c r="L408" s="3">
        <v>9</v>
      </c>
      <c r="M408" s="3">
        <v>339</v>
      </c>
      <c r="N408" s="3">
        <v>589</v>
      </c>
      <c r="O408" s="3">
        <v>2302</v>
      </c>
      <c r="P408" t="str">
        <f t="shared" si="12"/>
        <v>Thu</v>
      </c>
      <c r="Q408" t="str">
        <f t="shared" si="13"/>
        <v>Vey Active</v>
      </c>
    </row>
    <row r="409" spans="1:17">
      <c r="A409">
        <v>4319703577</v>
      </c>
      <c r="B409" s="1">
        <v>42499</v>
      </c>
      <c r="C409" s="3">
        <v>10378</v>
      </c>
      <c r="D409" s="2">
        <v>6.96000003814697</v>
      </c>
      <c r="E409" s="2">
        <v>6.96000003814697</v>
      </c>
      <c r="F409" s="2">
        <v>0</v>
      </c>
      <c r="G409" s="2">
        <v>0.140000000596046</v>
      </c>
      <c r="H409" s="2">
        <v>0.56000000238418601</v>
      </c>
      <c r="I409" s="2">
        <v>6.25</v>
      </c>
      <c r="J409" s="2">
        <v>0</v>
      </c>
      <c r="K409" s="3">
        <v>2</v>
      </c>
      <c r="L409" s="3">
        <v>14</v>
      </c>
      <c r="M409" s="3">
        <v>374</v>
      </c>
      <c r="N409" s="3">
        <v>490</v>
      </c>
      <c r="O409" s="3">
        <v>2345</v>
      </c>
      <c r="P409" t="str">
        <f t="shared" si="12"/>
        <v>Mon</v>
      </c>
      <c r="Q409" t="str">
        <f t="shared" si="13"/>
        <v>Vey Active</v>
      </c>
    </row>
    <row r="410" spans="1:17">
      <c r="A410">
        <v>4319703577</v>
      </c>
      <c r="B410" s="1">
        <v>42494</v>
      </c>
      <c r="C410" s="3">
        <v>10429</v>
      </c>
      <c r="D410" s="2">
        <v>7.0199999809265101</v>
      </c>
      <c r="E410" s="2">
        <v>7.0199999809265101</v>
      </c>
      <c r="F410" s="2">
        <v>0</v>
      </c>
      <c r="G410" s="2">
        <v>0.58999997377395597</v>
      </c>
      <c r="H410" s="2">
        <v>0.57999998331069902</v>
      </c>
      <c r="I410" s="2">
        <v>5.8499999046325701</v>
      </c>
      <c r="J410" s="2">
        <v>0</v>
      </c>
      <c r="K410" s="3">
        <v>8</v>
      </c>
      <c r="L410" s="3">
        <v>13</v>
      </c>
      <c r="M410" s="3">
        <v>313</v>
      </c>
      <c r="N410" s="3">
        <v>1106</v>
      </c>
      <c r="O410" s="3">
        <v>2282</v>
      </c>
      <c r="P410" t="str">
        <f t="shared" si="12"/>
        <v>Wed</v>
      </c>
      <c r="Q410" t="str">
        <f t="shared" si="13"/>
        <v>Vey Active</v>
      </c>
    </row>
    <row r="411" spans="1:17">
      <c r="A411">
        <v>4319703577</v>
      </c>
      <c r="B411" s="1">
        <v>42487</v>
      </c>
      <c r="C411" s="3">
        <v>10780</v>
      </c>
      <c r="D411" s="2">
        <v>7.2300000190734899</v>
      </c>
      <c r="E411" s="2">
        <v>7.2300000190734899</v>
      </c>
      <c r="F411" s="2">
        <v>0</v>
      </c>
      <c r="G411" s="2">
        <v>0.40999999642372098</v>
      </c>
      <c r="H411" s="2">
        <v>1.91999995708466</v>
      </c>
      <c r="I411" s="2">
        <v>4.9099998474121103</v>
      </c>
      <c r="J411" s="2">
        <v>0</v>
      </c>
      <c r="K411" s="3">
        <v>6</v>
      </c>
      <c r="L411" s="3">
        <v>47</v>
      </c>
      <c r="M411" s="3">
        <v>300</v>
      </c>
      <c r="N411" s="3">
        <v>680</v>
      </c>
      <c r="O411" s="3">
        <v>2324</v>
      </c>
      <c r="P411" t="str">
        <f t="shared" si="12"/>
        <v>Wed</v>
      </c>
      <c r="Q411" t="str">
        <f t="shared" si="13"/>
        <v>Vey Active</v>
      </c>
    </row>
    <row r="412" spans="1:17">
      <c r="A412">
        <v>4319703577</v>
      </c>
      <c r="B412" s="1">
        <v>42488</v>
      </c>
      <c r="C412" s="3">
        <v>10817</v>
      </c>
      <c r="D412" s="2">
        <v>7.2800002098083496</v>
      </c>
      <c r="E412" s="2">
        <v>7.2800002098083496</v>
      </c>
      <c r="F412" s="2">
        <v>0</v>
      </c>
      <c r="G412" s="2">
        <v>1.0099999904632599</v>
      </c>
      <c r="H412" s="2">
        <v>0.33000001311302202</v>
      </c>
      <c r="I412" s="2">
        <v>5.9400000572204599</v>
      </c>
      <c r="J412" s="2">
        <v>0</v>
      </c>
      <c r="K412" s="3">
        <v>13</v>
      </c>
      <c r="L412" s="3">
        <v>8</v>
      </c>
      <c r="M412" s="3">
        <v>359</v>
      </c>
      <c r="N412" s="3">
        <v>552</v>
      </c>
      <c r="O412" s="3">
        <v>2367</v>
      </c>
      <c r="P412" t="str">
        <f t="shared" si="12"/>
        <v>Thu</v>
      </c>
      <c r="Q412" t="str">
        <f t="shared" si="13"/>
        <v>Vey Active</v>
      </c>
    </row>
    <row r="413" spans="1:17">
      <c r="A413">
        <v>4319703577</v>
      </c>
      <c r="B413" s="1">
        <v>42495</v>
      </c>
      <c r="C413" s="3">
        <v>13658</v>
      </c>
      <c r="D413" s="2">
        <v>9.4899997711181605</v>
      </c>
      <c r="E413" s="2">
        <v>9.4899997711181605</v>
      </c>
      <c r="F413" s="2">
        <v>0</v>
      </c>
      <c r="G413" s="2">
        <v>2.6300001144409202</v>
      </c>
      <c r="H413" s="2">
        <v>1.4099999666214</v>
      </c>
      <c r="I413" s="2">
        <v>5.4499998092651403</v>
      </c>
      <c r="J413" s="2">
        <v>0</v>
      </c>
      <c r="K413" s="3">
        <v>27</v>
      </c>
      <c r="L413" s="3">
        <v>34</v>
      </c>
      <c r="M413" s="3">
        <v>328</v>
      </c>
      <c r="N413" s="3">
        <v>957</v>
      </c>
      <c r="O413" s="3">
        <v>2530</v>
      </c>
      <c r="P413" t="str">
        <f t="shared" si="12"/>
        <v>Thu</v>
      </c>
      <c r="Q413" t="str">
        <f t="shared" si="13"/>
        <v>Vey Active</v>
      </c>
    </row>
    <row r="414" spans="1:17">
      <c r="A414">
        <v>4388161847</v>
      </c>
      <c r="B414" s="1">
        <v>42502</v>
      </c>
      <c r="C414" s="3">
        <v>3369</v>
      </c>
      <c r="D414" s="2">
        <v>2.5899999141693102</v>
      </c>
      <c r="E414" s="2">
        <v>2.5899999141693102</v>
      </c>
      <c r="F414" s="2">
        <v>0</v>
      </c>
      <c r="G414" s="2">
        <v>0</v>
      </c>
      <c r="H414" s="2">
        <v>0</v>
      </c>
      <c r="I414" s="2">
        <v>2.5899999141693102</v>
      </c>
      <c r="J414" s="2">
        <v>0</v>
      </c>
      <c r="K414" s="3">
        <v>0</v>
      </c>
      <c r="L414" s="3">
        <v>0</v>
      </c>
      <c r="M414" s="3">
        <v>108</v>
      </c>
      <c r="N414" s="3">
        <v>825</v>
      </c>
      <c r="O414" s="3">
        <v>1623</v>
      </c>
      <c r="P414" t="str">
        <f t="shared" si="12"/>
        <v>Thu</v>
      </c>
      <c r="Q414" t="str">
        <f t="shared" si="13"/>
        <v>Sedentary</v>
      </c>
    </row>
    <row r="415" spans="1:17">
      <c r="A415">
        <v>4388161847</v>
      </c>
      <c r="B415" s="1">
        <v>42477</v>
      </c>
      <c r="C415" s="3">
        <v>4660</v>
      </c>
      <c r="D415" s="2">
        <v>3.5799999237060498</v>
      </c>
      <c r="E415" s="2">
        <v>3.5799999237060498</v>
      </c>
      <c r="F415" s="2">
        <v>0</v>
      </c>
      <c r="G415" s="2">
        <v>0</v>
      </c>
      <c r="H415" s="2">
        <v>0</v>
      </c>
      <c r="I415" s="2">
        <v>3.5799999237060498</v>
      </c>
      <c r="J415" s="2">
        <v>0</v>
      </c>
      <c r="K415" s="3">
        <v>0</v>
      </c>
      <c r="L415" s="3">
        <v>0</v>
      </c>
      <c r="M415" s="3">
        <v>201</v>
      </c>
      <c r="N415" s="3">
        <v>721</v>
      </c>
      <c r="O415" s="3">
        <v>2572</v>
      </c>
      <c r="P415" t="str">
        <f t="shared" si="12"/>
        <v>Sun</v>
      </c>
      <c r="Q415" t="str">
        <f t="shared" si="13"/>
        <v>Sedentary</v>
      </c>
    </row>
    <row r="416" spans="1:17">
      <c r="A416">
        <v>4388161847</v>
      </c>
      <c r="B416" s="1">
        <v>42476</v>
      </c>
      <c r="C416" s="3">
        <v>6580</v>
      </c>
      <c r="D416" s="2">
        <v>5.0599999427795401</v>
      </c>
      <c r="E416" s="2">
        <v>5.0599999427795401</v>
      </c>
      <c r="F416" s="2">
        <v>0</v>
      </c>
      <c r="G416" s="2">
        <v>0.20999999344348899</v>
      </c>
      <c r="H416" s="2">
        <v>0.40000000596046398</v>
      </c>
      <c r="I416" s="2">
        <v>4.4499998092651403</v>
      </c>
      <c r="J416" s="2">
        <v>0</v>
      </c>
      <c r="K416" s="3">
        <v>6</v>
      </c>
      <c r="L416" s="3">
        <v>9</v>
      </c>
      <c r="M416" s="3">
        <v>253</v>
      </c>
      <c r="N416" s="3">
        <v>609</v>
      </c>
      <c r="O416" s="3">
        <v>3073</v>
      </c>
      <c r="P416" t="str">
        <f t="shared" si="12"/>
        <v>Sat</v>
      </c>
      <c r="Q416" t="str">
        <f t="shared" si="13"/>
        <v>Lightly Active</v>
      </c>
    </row>
    <row r="417" spans="1:17">
      <c r="A417">
        <v>4388161847</v>
      </c>
      <c r="B417" s="1">
        <v>42475</v>
      </c>
      <c r="C417" s="3">
        <v>8758</v>
      </c>
      <c r="D417" s="2">
        <v>6.7300000190734899</v>
      </c>
      <c r="E417" s="2">
        <v>6.7300000190734899</v>
      </c>
      <c r="F417" s="2">
        <v>0</v>
      </c>
      <c r="G417" s="2">
        <v>0</v>
      </c>
      <c r="H417" s="2">
        <v>0</v>
      </c>
      <c r="I417" s="2">
        <v>6.7300000190734899</v>
      </c>
      <c r="J417" s="2">
        <v>0</v>
      </c>
      <c r="K417" s="3">
        <v>0</v>
      </c>
      <c r="L417" s="3">
        <v>0</v>
      </c>
      <c r="M417" s="3">
        <v>299</v>
      </c>
      <c r="N417" s="3">
        <v>837</v>
      </c>
      <c r="O417" s="3">
        <v>3066</v>
      </c>
      <c r="P417" t="str">
        <f t="shared" si="12"/>
        <v>Fri</v>
      </c>
      <c r="Q417" t="str">
        <f t="shared" si="13"/>
        <v>Fairly Active</v>
      </c>
    </row>
    <row r="418" spans="1:17">
      <c r="A418">
        <v>4388161847</v>
      </c>
      <c r="B418" s="1">
        <v>42474</v>
      </c>
      <c r="C418" s="3">
        <v>8863</v>
      </c>
      <c r="D418" s="2">
        <v>6.8200001716613796</v>
      </c>
      <c r="E418" s="2">
        <v>6.8200001716613796</v>
      </c>
      <c r="F418" s="2">
        <v>0</v>
      </c>
      <c r="G418" s="2">
        <v>0.129999995231628</v>
      </c>
      <c r="H418" s="2">
        <v>1.0700000524520901</v>
      </c>
      <c r="I418" s="2">
        <v>5.6199998855590803</v>
      </c>
      <c r="J418" s="2">
        <v>0</v>
      </c>
      <c r="K418" s="3">
        <v>10</v>
      </c>
      <c r="L418" s="3">
        <v>35</v>
      </c>
      <c r="M418" s="3">
        <v>219</v>
      </c>
      <c r="N418" s="3">
        <v>945</v>
      </c>
      <c r="O418" s="3">
        <v>2998</v>
      </c>
      <c r="P418" t="str">
        <f t="shared" si="12"/>
        <v>Thu</v>
      </c>
      <c r="Q418" t="str">
        <f t="shared" si="13"/>
        <v>Fairly Active</v>
      </c>
    </row>
    <row r="419" spans="1:17">
      <c r="A419">
        <v>4388161847</v>
      </c>
      <c r="B419" s="1">
        <v>42489</v>
      </c>
      <c r="C419" s="3">
        <v>9232</v>
      </c>
      <c r="D419" s="2">
        <v>7.0999999046325701</v>
      </c>
      <c r="E419" s="2">
        <v>7.0999999046325701</v>
      </c>
      <c r="F419" s="2">
        <v>0</v>
      </c>
      <c r="G419" s="2">
        <v>0.80000001192092896</v>
      </c>
      <c r="H419" s="2">
        <v>0.88999998569488503</v>
      </c>
      <c r="I419" s="2">
        <v>5.4200000762939498</v>
      </c>
      <c r="J419" s="2">
        <v>0</v>
      </c>
      <c r="K419" s="3">
        <v>13</v>
      </c>
      <c r="L419" s="3">
        <v>16</v>
      </c>
      <c r="M419" s="3">
        <v>236</v>
      </c>
      <c r="N419" s="3">
        <v>1175</v>
      </c>
      <c r="O419" s="3">
        <v>2979</v>
      </c>
      <c r="P419" t="str">
        <f t="shared" si="12"/>
        <v>Fri</v>
      </c>
      <c r="Q419" t="str">
        <f t="shared" si="13"/>
        <v>Fairly Active</v>
      </c>
    </row>
    <row r="420" spans="1:17">
      <c r="A420">
        <v>4388161847</v>
      </c>
      <c r="B420" s="1">
        <v>42486</v>
      </c>
      <c r="C420" s="3">
        <v>9461</v>
      </c>
      <c r="D420" s="2">
        <v>7.2800002098083496</v>
      </c>
      <c r="E420" s="2">
        <v>7.2800002098083496</v>
      </c>
      <c r="F420" s="2">
        <v>0</v>
      </c>
      <c r="G420" s="2">
        <v>0.93999999761581399</v>
      </c>
      <c r="H420" s="2">
        <v>1.0599999427795399</v>
      </c>
      <c r="I420" s="2">
        <v>5.2699999809265101</v>
      </c>
      <c r="J420" s="2">
        <v>0</v>
      </c>
      <c r="K420" s="3">
        <v>14</v>
      </c>
      <c r="L420" s="3">
        <v>23</v>
      </c>
      <c r="M420" s="3">
        <v>224</v>
      </c>
      <c r="N420" s="3">
        <v>673</v>
      </c>
      <c r="O420" s="3">
        <v>2929</v>
      </c>
      <c r="P420" t="str">
        <f t="shared" si="12"/>
        <v>Tue</v>
      </c>
      <c r="Q420" t="str">
        <f t="shared" si="13"/>
        <v>Fairly Active</v>
      </c>
    </row>
    <row r="421" spans="1:17">
      <c r="A421">
        <v>4388161847</v>
      </c>
      <c r="B421" s="1">
        <v>42495</v>
      </c>
      <c r="C421" s="3">
        <v>9603</v>
      </c>
      <c r="D421" s="2">
        <v>7.3800001144409197</v>
      </c>
      <c r="E421" s="2">
        <v>7.3800001144409197</v>
      </c>
      <c r="F421" s="2">
        <v>0</v>
      </c>
      <c r="G421" s="2">
        <v>0.62999999523162797</v>
      </c>
      <c r="H421" s="2">
        <v>1.66999995708466</v>
      </c>
      <c r="I421" s="2">
        <v>5.0900001525878897</v>
      </c>
      <c r="J421" s="2">
        <v>0</v>
      </c>
      <c r="K421" s="3">
        <v>12</v>
      </c>
      <c r="L421" s="3">
        <v>39</v>
      </c>
      <c r="M421" s="3">
        <v>199</v>
      </c>
      <c r="N421" s="3">
        <v>896</v>
      </c>
      <c r="O421" s="3">
        <v>2899</v>
      </c>
      <c r="P421" t="str">
        <f t="shared" si="12"/>
        <v>Thu</v>
      </c>
      <c r="Q421" t="str">
        <f t="shared" si="13"/>
        <v>Fairly Active</v>
      </c>
    </row>
    <row r="422" spans="1:17">
      <c r="A422">
        <v>4388161847</v>
      </c>
      <c r="B422" s="1">
        <v>42481</v>
      </c>
      <c r="C422" s="3">
        <v>10055</v>
      </c>
      <c r="D422" s="2">
        <v>7.7300000190734899</v>
      </c>
      <c r="E422" s="2">
        <v>7.7300000190734899</v>
      </c>
      <c r="F422" s="2">
        <v>0</v>
      </c>
      <c r="G422" s="2">
        <v>0.37000000476837203</v>
      </c>
      <c r="H422" s="2">
        <v>0.38999998569488498</v>
      </c>
      <c r="I422" s="2">
        <v>6.9800000190734899</v>
      </c>
      <c r="J422" s="2">
        <v>0</v>
      </c>
      <c r="K422" s="3">
        <v>7</v>
      </c>
      <c r="L422" s="3">
        <v>12</v>
      </c>
      <c r="M422" s="3">
        <v>272</v>
      </c>
      <c r="N422" s="3">
        <v>853</v>
      </c>
      <c r="O422" s="3">
        <v>3069</v>
      </c>
      <c r="P422" t="str">
        <f t="shared" si="12"/>
        <v>Thu</v>
      </c>
      <c r="Q422" t="str">
        <f t="shared" si="13"/>
        <v>Vey Active</v>
      </c>
    </row>
    <row r="423" spans="1:17">
      <c r="A423">
        <v>4388161847</v>
      </c>
      <c r="B423" s="1">
        <v>42488</v>
      </c>
      <c r="C423" s="3">
        <v>10074</v>
      </c>
      <c r="D423" s="2">
        <v>7.75</v>
      </c>
      <c r="E423" s="2">
        <v>7.75</v>
      </c>
      <c r="F423" s="2">
        <v>0</v>
      </c>
      <c r="G423" s="2">
        <v>1.28999996185303</v>
      </c>
      <c r="H423" s="2">
        <v>0.43000000715255698</v>
      </c>
      <c r="I423" s="2">
        <v>6.0300002098083496</v>
      </c>
      <c r="J423" s="2">
        <v>0</v>
      </c>
      <c r="K423" s="3">
        <v>19</v>
      </c>
      <c r="L423" s="3">
        <v>9</v>
      </c>
      <c r="M423" s="3">
        <v>234</v>
      </c>
      <c r="N423" s="3">
        <v>878</v>
      </c>
      <c r="O423" s="3">
        <v>2969</v>
      </c>
      <c r="P423" t="str">
        <f t="shared" si="12"/>
        <v>Thu</v>
      </c>
      <c r="Q423" t="str">
        <f t="shared" si="13"/>
        <v>Vey Active</v>
      </c>
    </row>
    <row r="424" spans="1:17">
      <c r="A424">
        <v>4388161847</v>
      </c>
      <c r="B424" s="1">
        <v>42492</v>
      </c>
      <c r="C424" s="3">
        <v>10096</v>
      </c>
      <c r="D424" s="2">
        <v>8.3999996185302699</v>
      </c>
      <c r="E424" s="2">
        <v>8.3999996185302699</v>
      </c>
      <c r="F424" s="2">
        <v>0</v>
      </c>
      <c r="G424" s="2">
        <v>3.7699999809265101</v>
      </c>
      <c r="H424" s="2">
        <v>7.9999998211860698E-2</v>
      </c>
      <c r="I424" s="2">
        <v>4.5500001907348597</v>
      </c>
      <c r="J424" s="2">
        <v>0</v>
      </c>
      <c r="K424" s="3">
        <v>33</v>
      </c>
      <c r="L424" s="3">
        <v>4</v>
      </c>
      <c r="M424" s="3">
        <v>204</v>
      </c>
      <c r="N424" s="3">
        <v>935</v>
      </c>
      <c r="O424" s="3">
        <v>3147</v>
      </c>
      <c r="P424" t="str">
        <f t="shared" si="12"/>
        <v>Mon</v>
      </c>
      <c r="Q424" t="str">
        <f t="shared" si="13"/>
        <v>Vey Active</v>
      </c>
    </row>
    <row r="425" spans="1:17">
      <c r="A425">
        <v>4388161847</v>
      </c>
      <c r="B425" s="1">
        <v>42472</v>
      </c>
      <c r="C425" s="3">
        <v>10122</v>
      </c>
      <c r="D425" s="2">
        <v>7.7800002098083496</v>
      </c>
      <c r="E425" s="2">
        <v>7.7800002098083496</v>
      </c>
      <c r="F425" s="2">
        <v>0</v>
      </c>
      <c r="G425" s="2">
        <v>0</v>
      </c>
      <c r="H425" s="2">
        <v>0</v>
      </c>
      <c r="I425" s="2">
        <v>0</v>
      </c>
      <c r="J425" s="2">
        <v>0</v>
      </c>
      <c r="K425" s="3">
        <v>0</v>
      </c>
      <c r="L425" s="3">
        <v>0</v>
      </c>
      <c r="M425" s="3">
        <v>0</v>
      </c>
      <c r="N425" s="3">
        <v>1440</v>
      </c>
      <c r="O425" s="3">
        <v>2955</v>
      </c>
      <c r="P425" t="str">
        <f t="shared" si="12"/>
        <v>Tue</v>
      </c>
      <c r="Q425" t="str">
        <f t="shared" si="13"/>
        <v>Vey Active</v>
      </c>
    </row>
    <row r="426" spans="1:17">
      <c r="A426">
        <v>4388161847</v>
      </c>
      <c r="B426" s="1">
        <v>42479</v>
      </c>
      <c r="C426" s="3">
        <v>10181</v>
      </c>
      <c r="D426" s="2">
        <v>7.8299999237060502</v>
      </c>
      <c r="E426" s="2">
        <v>7.8299999237060502</v>
      </c>
      <c r="F426" s="2">
        <v>0</v>
      </c>
      <c r="G426" s="2">
        <v>1.37000000476837</v>
      </c>
      <c r="H426" s="2">
        <v>0.68999999761581399</v>
      </c>
      <c r="I426" s="2">
        <v>5.7699999809265101</v>
      </c>
      <c r="J426" s="2">
        <v>0</v>
      </c>
      <c r="K426" s="3">
        <v>20</v>
      </c>
      <c r="L426" s="3">
        <v>16</v>
      </c>
      <c r="M426" s="3">
        <v>249</v>
      </c>
      <c r="N426" s="3">
        <v>704</v>
      </c>
      <c r="O426" s="3">
        <v>3015</v>
      </c>
      <c r="P426" t="str">
        <f t="shared" si="12"/>
        <v>Tue</v>
      </c>
      <c r="Q426" t="str">
        <f t="shared" si="13"/>
        <v>Vey Active</v>
      </c>
    </row>
    <row r="427" spans="1:17">
      <c r="A427">
        <v>4388161847</v>
      </c>
      <c r="B427" s="1">
        <v>42501</v>
      </c>
      <c r="C427" s="3">
        <v>10201</v>
      </c>
      <c r="D427" s="2">
        <v>7.8400001525878897</v>
      </c>
      <c r="E427" s="2">
        <v>7.8400001525878897</v>
      </c>
      <c r="F427" s="2">
        <v>0</v>
      </c>
      <c r="G427" s="2">
        <v>0.52999997138977095</v>
      </c>
      <c r="H427" s="2">
        <v>0.79000002145767201</v>
      </c>
      <c r="I427" s="2">
        <v>6.5300002098083496</v>
      </c>
      <c r="J427" s="2">
        <v>0</v>
      </c>
      <c r="K427" s="3">
        <v>8</v>
      </c>
      <c r="L427" s="3">
        <v>18</v>
      </c>
      <c r="M427" s="3">
        <v>256</v>
      </c>
      <c r="N427" s="3">
        <v>858</v>
      </c>
      <c r="O427" s="3">
        <v>2954</v>
      </c>
      <c r="P427" t="str">
        <f t="shared" si="12"/>
        <v>Wed</v>
      </c>
      <c r="Q427" t="str">
        <f t="shared" si="13"/>
        <v>Vey Active</v>
      </c>
    </row>
    <row r="428" spans="1:17">
      <c r="A428">
        <v>4388161847</v>
      </c>
      <c r="B428" s="1">
        <v>42499</v>
      </c>
      <c r="C428" s="3">
        <v>10218</v>
      </c>
      <c r="D428" s="2">
        <v>7.8600001335143999</v>
      </c>
      <c r="E428" s="2">
        <v>7.8600001335143999</v>
      </c>
      <c r="F428" s="2">
        <v>0</v>
      </c>
      <c r="G428" s="2">
        <v>0.34000000357627902</v>
      </c>
      <c r="H428" s="2">
        <v>0.730000019073486</v>
      </c>
      <c r="I428" s="2">
        <v>6.78999996185303</v>
      </c>
      <c r="J428" s="2">
        <v>0</v>
      </c>
      <c r="K428" s="3">
        <v>6</v>
      </c>
      <c r="L428" s="3">
        <v>19</v>
      </c>
      <c r="M428" s="3">
        <v>258</v>
      </c>
      <c r="N428" s="3">
        <v>1020</v>
      </c>
      <c r="O428" s="3">
        <v>3013</v>
      </c>
      <c r="P428" t="str">
        <f t="shared" si="12"/>
        <v>Mon</v>
      </c>
      <c r="Q428" t="str">
        <f t="shared" si="13"/>
        <v>Vey Active</v>
      </c>
    </row>
    <row r="429" spans="1:17">
      <c r="A429">
        <v>4388161847</v>
      </c>
      <c r="B429" s="1">
        <v>42484</v>
      </c>
      <c r="C429" s="3">
        <v>10243</v>
      </c>
      <c r="D429" s="2">
        <v>7.8800001144409197</v>
      </c>
      <c r="E429" s="2">
        <v>7.8800001144409197</v>
      </c>
      <c r="F429" s="2">
        <v>0</v>
      </c>
      <c r="G429" s="2">
        <v>1.08000004291534</v>
      </c>
      <c r="H429" s="2">
        <v>0.50999999046325695</v>
      </c>
      <c r="I429" s="2">
        <v>6.3000001907348597</v>
      </c>
      <c r="J429" s="2">
        <v>0</v>
      </c>
      <c r="K429" s="3">
        <v>14</v>
      </c>
      <c r="L429" s="3">
        <v>8</v>
      </c>
      <c r="M429" s="3">
        <v>239</v>
      </c>
      <c r="N429" s="3">
        <v>584</v>
      </c>
      <c r="O429" s="3">
        <v>2885</v>
      </c>
      <c r="P429" t="str">
        <f t="shared" si="12"/>
        <v>Sun</v>
      </c>
      <c r="Q429" t="str">
        <f t="shared" si="13"/>
        <v>Vey Active</v>
      </c>
    </row>
    <row r="430" spans="1:17">
      <c r="A430">
        <v>4388161847</v>
      </c>
      <c r="B430" s="1">
        <v>42491</v>
      </c>
      <c r="C430" s="3">
        <v>10255</v>
      </c>
      <c r="D430" s="2">
        <v>7.8899998664856001</v>
      </c>
      <c r="E430" s="2">
        <v>7.8899998664856001</v>
      </c>
      <c r="F430" s="2">
        <v>0</v>
      </c>
      <c r="G430" s="2">
        <v>1.0099999904632599</v>
      </c>
      <c r="H430" s="2">
        <v>0.68000000715255704</v>
      </c>
      <c r="I430" s="2">
        <v>6.1999998092651403</v>
      </c>
      <c r="J430" s="2">
        <v>0</v>
      </c>
      <c r="K430" s="3">
        <v>12</v>
      </c>
      <c r="L430" s="3">
        <v>15</v>
      </c>
      <c r="M430" s="3">
        <v>241</v>
      </c>
      <c r="N430" s="3">
        <v>579</v>
      </c>
      <c r="O430" s="3">
        <v>2926</v>
      </c>
      <c r="P430" t="str">
        <f t="shared" si="12"/>
        <v>Sun</v>
      </c>
      <c r="Q430" t="str">
        <f t="shared" si="13"/>
        <v>Vey Active</v>
      </c>
    </row>
    <row r="431" spans="1:17">
      <c r="A431">
        <v>4388161847</v>
      </c>
      <c r="B431" s="1">
        <v>42500</v>
      </c>
      <c r="C431" s="3">
        <v>10299</v>
      </c>
      <c r="D431" s="2">
        <v>7.9200000762939498</v>
      </c>
      <c r="E431" s="2">
        <v>7.9200000762939498</v>
      </c>
      <c r="F431" s="2">
        <v>0</v>
      </c>
      <c r="G431" s="2">
        <v>0.81000000238418601</v>
      </c>
      <c r="H431" s="2">
        <v>0.64999997615814198</v>
      </c>
      <c r="I431" s="2">
        <v>6.46000003814697</v>
      </c>
      <c r="J431" s="2">
        <v>0</v>
      </c>
      <c r="K431" s="3">
        <v>13</v>
      </c>
      <c r="L431" s="3">
        <v>14</v>
      </c>
      <c r="M431" s="3">
        <v>267</v>
      </c>
      <c r="N431" s="3">
        <v>648</v>
      </c>
      <c r="O431" s="3">
        <v>3061</v>
      </c>
      <c r="P431" t="str">
        <f t="shared" si="12"/>
        <v>Tue</v>
      </c>
      <c r="Q431" t="str">
        <f t="shared" si="13"/>
        <v>Vey Active</v>
      </c>
    </row>
    <row r="432" spans="1:17">
      <c r="A432">
        <v>4388161847</v>
      </c>
      <c r="B432" s="1">
        <v>42480</v>
      </c>
      <c r="C432" s="3">
        <v>10553</v>
      </c>
      <c r="D432" s="2">
        <v>8.1199998855590803</v>
      </c>
      <c r="E432" s="2">
        <v>8.1199998855590803</v>
      </c>
      <c r="F432" s="2">
        <v>0</v>
      </c>
      <c r="G432" s="2">
        <v>1.1000000238418599</v>
      </c>
      <c r="H432" s="2">
        <v>1.7200000286102299</v>
      </c>
      <c r="I432" s="2">
        <v>5.28999996185303</v>
      </c>
      <c r="J432" s="2">
        <v>0</v>
      </c>
      <c r="K432" s="3">
        <v>19</v>
      </c>
      <c r="L432" s="3">
        <v>42</v>
      </c>
      <c r="M432" s="3">
        <v>228</v>
      </c>
      <c r="N432" s="3">
        <v>696</v>
      </c>
      <c r="O432" s="3">
        <v>3083</v>
      </c>
      <c r="P432" t="str">
        <f t="shared" si="12"/>
        <v>Wed</v>
      </c>
      <c r="Q432" t="str">
        <f t="shared" si="13"/>
        <v>Vey Active</v>
      </c>
    </row>
    <row r="433" spans="1:17">
      <c r="A433">
        <v>4388161847</v>
      </c>
      <c r="B433" s="1">
        <v>42473</v>
      </c>
      <c r="C433" s="3">
        <v>10993</v>
      </c>
      <c r="D433" s="2">
        <v>8.4499998092651403</v>
      </c>
      <c r="E433" s="2">
        <v>8.4499998092651403</v>
      </c>
      <c r="F433" s="2">
        <v>0</v>
      </c>
      <c r="G433" s="2">
        <v>5.9999998658895499E-2</v>
      </c>
      <c r="H433" s="2">
        <v>0.62999999523162797</v>
      </c>
      <c r="I433" s="2">
        <v>3.8800001144409202</v>
      </c>
      <c r="J433" s="2">
        <v>0</v>
      </c>
      <c r="K433" s="3">
        <v>1</v>
      </c>
      <c r="L433" s="3">
        <v>14</v>
      </c>
      <c r="M433" s="3">
        <v>150</v>
      </c>
      <c r="N433" s="3">
        <v>1275</v>
      </c>
      <c r="O433" s="3">
        <v>3092</v>
      </c>
      <c r="P433" t="str">
        <f t="shared" si="12"/>
        <v>Wed</v>
      </c>
      <c r="Q433" t="str">
        <f t="shared" si="13"/>
        <v>Vey Active</v>
      </c>
    </row>
    <row r="434" spans="1:17">
      <c r="A434">
        <v>4388161847</v>
      </c>
      <c r="B434" s="1">
        <v>42478</v>
      </c>
      <c r="C434" s="3">
        <v>11009</v>
      </c>
      <c r="D434" s="2">
        <v>9.1000003814697301</v>
      </c>
      <c r="E434" s="2">
        <v>9.1000003814697301</v>
      </c>
      <c r="F434" s="2">
        <v>0</v>
      </c>
      <c r="G434" s="2">
        <v>3.5599999427795401</v>
      </c>
      <c r="H434" s="2">
        <v>0.40000000596046398</v>
      </c>
      <c r="I434" s="2">
        <v>5.1399998664856001</v>
      </c>
      <c r="J434" s="2">
        <v>0</v>
      </c>
      <c r="K434" s="3">
        <v>27</v>
      </c>
      <c r="L434" s="3">
        <v>8</v>
      </c>
      <c r="M434" s="3">
        <v>239</v>
      </c>
      <c r="N434" s="3">
        <v>1017</v>
      </c>
      <c r="O434" s="3">
        <v>3274</v>
      </c>
      <c r="P434" t="str">
        <f t="shared" si="12"/>
        <v>Mon</v>
      </c>
      <c r="Q434" t="str">
        <f t="shared" si="13"/>
        <v>Vey Active</v>
      </c>
    </row>
    <row r="435" spans="1:17">
      <c r="A435">
        <v>4388161847</v>
      </c>
      <c r="B435" s="1">
        <v>42487</v>
      </c>
      <c r="C435" s="3">
        <v>11193</v>
      </c>
      <c r="D435" s="2">
        <v>8.6099996566772496</v>
      </c>
      <c r="E435" s="2">
        <v>8.6099996566772496</v>
      </c>
      <c r="F435" s="2">
        <v>0</v>
      </c>
      <c r="G435" s="2">
        <v>0.69999998807907104</v>
      </c>
      <c r="H435" s="2">
        <v>2.5099999904632599</v>
      </c>
      <c r="I435" s="2">
        <v>5.3899998664856001</v>
      </c>
      <c r="J435" s="2">
        <v>0</v>
      </c>
      <c r="K435" s="3">
        <v>11</v>
      </c>
      <c r="L435" s="3">
        <v>48</v>
      </c>
      <c r="M435" s="3">
        <v>241</v>
      </c>
      <c r="N435" s="3">
        <v>684</v>
      </c>
      <c r="O435" s="3">
        <v>3074</v>
      </c>
      <c r="P435" t="str">
        <f t="shared" si="12"/>
        <v>Wed</v>
      </c>
      <c r="Q435" t="str">
        <f t="shared" si="13"/>
        <v>Vey Active</v>
      </c>
    </row>
    <row r="436" spans="1:17">
      <c r="A436">
        <v>4388161847</v>
      </c>
      <c r="B436" s="1">
        <v>42482</v>
      </c>
      <c r="C436" s="3">
        <v>12139</v>
      </c>
      <c r="D436" s="2">
        <v>9.3400001525878906</v>
      </c>
      <c r="E436" s="2">
        <v>9.3400001525878906</v>
      </c>
      <c r="F436" s="2">
        <v>0</v>
      </c>
      <c r="G436" s="2">
        <v>3.2999999523162802</v>
      </c>
      <c r="H436" s="2">
        <v>1.1100000143051101</v>
      </c>
      <c r="I436" s="2">
        <v>4.9200000762939498</v>
      </c>
      <c r="J436" s="2">
        <v>0</v>
      </c>
      <c r="K436" s="3">
        <v>77</v>
      </c>
      <c r="L436" s="3">
        <v>25</v>
      </c>
      <c r="M436" s="3">
        <v>220</v>
      </c>
      <c r="N436" s="3">
        <v>945</v>
      </c>
      <c r="O436" s="3">
        <v>3544</v>
      </c>
      <c r="P436" t="str">
        <f t="shared" si="12"/>
        <v>Fri</v>
      </c>
      <c r="Q436" t="str">
        <f t="shared" si="13"/>
        <v>Vey Active</v>
      </c>
    </row>
    <row r="437" spans="1:17">
      <c r="A437">
        <v>4388161847</v>
      </c>
      <c r="B437" s="1">
        <v>42494</v>
      </c>
      <c r="C437" s="3">
        <v>12375</v>
      </c>
      <c r="D437" s="2">
        <v>9.5200004577636701</v>
      </c>
      <c r="E437" s="2">
        <v>9.5200004577636701</v>
      </c>
      <c r="F437" s="2">
        <v>0</v>
      </c>
      <c r="G437" s="2">
        <v>2.78999996185303</v>
      </c>
      <c r="H437" s="2">
        <v>0.93000000715255704</v>
      </c>
      <c r="I437" s="2">
        <v>5.8000001907348597</v>
      </c>
      <c r="J437" s="2">
        <v>0</v>
      </c>
      <c r="K437" s="3">
        <v>35</v>
      </c>
      <c r="L437" s="3">
        <v>21</v>
      </c>
      <c r="M437" s="3">
        <v>251</v>
      </c>
      <c r="N437" s="3">
        <v>632</v>
      </c>
      <c r="O437" s="3">
        <v>3162</v>
      </c>
      <c r="P437" t="str">
        <f t="shared" si="12"/>
        <v>Wed</v>
      </c>
      <c r="Q437" t="str">
        <f t="shared" si="13"/>
        <v>Vey Active</v>
      </c>
    </row>
    <row r="438" spans="1:17">
      <c r="A438">
        <v>4388161847</v>
      </c>
      <c r="B438" s="1">
        <v>42490</v>
      </c>
      <c r="C438" s="3">
        <v>12533</v>
      </c>
      <c r="D438" s="2">
        <v>9.6400003433227504</v>
      </c>
      <c r="E438" s="2">
        <v>9.6400003433227504</v>
      </c>
      <c r="F438" s="2">
        <v>0</v>
      </c>
      <c r="G438" s="2">
        <v>0.69999998807907104</v>
      </c>
      <c r="H438" s="2">
        <v>2</v>
      </c>
      <c r="I438" s="2">
        <v>6.9400000572204599</v>
      </c>
      <c r="J438" s="2">
        <v>0</v>
      </c>
      <c r="K438" s="3">
        <v>14</v>
      </c>
      <c r="L438" s="3">
        <v>43</v>
      </c>
      <c r="M438" s="3">
        <v>300</v>
      </c>
      <c r="N438" s="3">
        <v>537</v>
      </c>
      <c r="O438" s="3">
        <v>3283</v>
      </c>
      <c r="P438" t="str">
        <f t="shared" si="12"/>
        <v>Sat</v>
      </c>
      <c r="Q438" t="str">
        <f t="shared" si="13"/>
        <v>Vey Active</v>
      </c>
    </row>
    <row r="439" spans="1:17">
      <c r="A439">
        <v>4388161847</v>
      </c>
      <c r="B439" s="1">
        <v>42493</v>
      </c>
      <c r="C439" s="3">
        <v>12727</v>
      </c>
      <c r="D439" s="2">
        <v>9.7899999618530291</v>
      </c>
      <c r="E439" s="2">
        <v>9.7899999618530291</v>
      </c>
      <c r="F439" s="2">
        <v>0</v>
      </c>
      <c r="G439" s="2">
        <v>1.12999999523163</v>
      </c>
      <c r="H439" s="2">
        <v>0.77999997138977095</v>
      </c>
      <c r="I439" s="2">
        <v>7.8800001144409197</v>
      </c>
      <c r="J439" s="2">
        <v>0</v>
      </c>
      <c r="K439" s="3">
        <v>18</v>
      </c>
      <c r="L439" s="3">
        <v>18</v>
      </c>
      <c r="M439" s="3">
        <v>306</v>
      </c>
      <c r="N439" s="3">
        <v>984</v>
      </c>
      <c r="O439" s="3">
        <v>3290</v>
      </c>
      <c r="P439" t="str">
        <f t="shared" si="12"/>
        <v>Tue</v>
      </c>
      <c r="Q439" t="str">
        <f t="shared" si="13"/>
        <v>Vey Active</v>
      </c>
    </row>
    <row r="440" spans="1:17">
      <c r="A440">
        <v>4388161847</v>
      </c>
      <c r="B440" s="1">
        <v>42485</v>
      </c>
      <c r="C440" s="3">
        <v>12961</v>
      </c>
      <c r="D440" s="2">
        <v>9.9700002670288104</v>
      </c>
      <c r="E440" s="2">
        <v>9.9700002670288104</v>
      </c>
      <c r="F440" s="2">
        <v>0</v>
      </c>
      <c r="G440" s="2">
        <v>0.730000019073486</v>
      </c>
      <c r="H440" s="2">
        <v>1.3999999761581401</v>
      </c>
      <c r="I440" s="2">
        <v>7.8400001525878897</v>
      </c>
      <c r="J440" s="2">
        <v>0</v>
      </c>
      <c r="K440" s="3">
        <v>11</v>
      </c>
      <c r="L440" s="3">
        <v>31</v>
      </c>
      <c r="M440" s="3">
        <v>301</v>
      </c>
      <c r="N440" s="3">
        <v>1054</v>
      </c>
      <c r="O440" s="3">
        <v>3288</v>
      </c>
      <c r="P440" t="str">
        <f t="shared" si="12"/>
        <v>Mon</v>
      </c>
      <c r="Q440" t="str">
        <f t="shared" si="13"/>
        <v>Vey Active</v>
      </c>
    </row>
    <row r="441" spans="1:17">
      <c r="A441">
        <v>4388161847</v>
      </c>
      <c r="B441" s="1">
        <v>42496</v>
      </c>
      <c r="C441" s="3">
        <v>13175</v>
      </c>
      <c r="D441" s="2">
        <v>10.1300001144409</v>
      </c>
      <c r="E441" s="2">
        <v>10.1300001144409</v>
      </c>
      <c r="F441" s="2">
        <v>0</v>
      </c>
      <c r="G441" s="2">
        <v>2.1099998950958301</v>
      </c>
      <c r="H441" s="2">
        <v>2.0899999141693102</v>
      </c>
      <c r="I441" s="2">
        <v>5.9299998283386204</v>
      </c>
      <c r="J441" s="2">
        <v>0</v>
      </c>
      <c r="K441" s="3">
        <v>33</v>
      </c>
      <c r="L441" s="3">
        <v>45</v>
      </c>
      <c r="M441" s="3">
        <v>262</v>
      </c>
      <c r="N441" s="3">
        <v>1100</v>
      </c>
      <c r="O441" s="3">
        <v>3425</v>
      </c>
      <c r="P441" t="str">
        <f t="shared" si="12"/>
        <v>Fri</v>
      </c>
      <c r="Q441" t="str">
        <f t="shared" si="13"/>
        <v>Vey Active</v>
      </c>
    </row>
    <row r="442" spans="1:17">
      <c r="A442">
        <v>4388161847</v>
      </c>
      <c r="B442" s="1">
        <v>42483</v>
      </c>
      <c r="C442" s="3">
        <v>13236</v>
      </c>
      <c r="D442" s="2">
        <v>10.180000305175801</v>
      </c>
      <c r="E442" s="2">
        <v>10.180000305175801</v>
      </c>
      <c r="F442" s="2">
        <v>0</v>
      </c>
      <c r="G442" s="2">
        <v>4.5</v>
      </c>
      <c r="H442" s="2">
        <v>0.31999999284744302</v>
      </c>
      <c r="I442" s="2">
        <v>5.3499999046325701</v>
      </c>
      <c r="J442" s="2">
        <v>0</v>
      </c>
      <c r="K442" s="3">
        <v>58</v>
      </c>
      <c r="L442" s="3">
        <v>5</v>
      </c>
      <c r="M442" s="3">
        <v>215</v>
      </c>
      <c r="N442" s="3">
        <v>749</v>
      </c>
      <c r="O442" s="3">
        <v>3306</v>
      </c>
      <c r="P442" t="str">
        <f t="shared" si="12"/>
        <v>Sat</v>
      </c>
      <c r="Q442" t="str">
        <f t="shared" si="13"/>
        <v>Vey Active</v>
      </c>
    </row>
    <row r="443" spans="1:17">
      <c r="A443">
        <v>4388161847</v>
      </c>
      <c r="B443" s="1">
        <v>42498</v>
      </c>
      <c r="C443" s="3">
        <v>17298</v>
      </c>
      <c r="D443" s="2">
        <v>14.3800001144409</v>
      </c>
      <c r="E443" s="2">
        <v>14.3800001144409</v>
      </c>
      <c r="F443" s="2">
        <v>0</v>
      </c>
      <c r="G443" s="2">
        <v>9.8900003433227504</v>
      </c>
      <c r="H443" s="2">
        <v>1.2599999904632599</v>
      </c>
      <c r="I443" s="2">
        <v>3.2300000190734899</v>
      </c>
      <c r="J443" s="2">
        <v>0</v>
      </c>
      <c r="K443" s="3">
        <v>107</v>
      </c>
      <c r="L443" s="3">
        <v>38</v>
      </c>
      <c r="M443" s="3">
        <v>178</v>
      </c>
      <c r="N443" s="3">
        <v>576</v>
      </c>
      <c r="O443" s="3">
        <v>3934</v>
      </c>
      <c r="P443" t="str">
        <f t="shared" si="12"/>
        <v>Sun</v>
      </c>
      <c r="Q443" t="str">
        <f t="shared" si="13"/>
        <v>Vey Active</v>
      </c>
    </row>
    <row r="444" spans="1:17">
      <c r="A444">
        <v>4388161847</v>
      </c>
      <c r="B444" s="1">
        <v>42497</v>
      </c>
      <c r="C444" s="3">
        <v>22770</v>
      </c>
      <c r="D444" s="2">
        <v>17.540000915527301</v>
      </c>
      <c r="E444" s="2">
        <v>17.540000915527301</v>
      </c>
      <c r="F444" s="2">
        <v>0</v>
      </c>
      <c r="G444" s="2">
        <v>9.4499998092651403</v>
      </c>
      <c r="H444" s="2">
        <v>2.7699999809265101</v>
      </c>
      <c r="I444" s="2">
        <v>5.3299999237060502</v>
      </c>
      <c r="J444" s="2">
        <v>0</v>
      </c>
      <c r="K444" s="3">
        <v>120</v>
      </c>
      <c r="L444" s="3">
        <v>56</v>
      </c>
      <c r="M444" s="3">
        <v>260</v>
      </c>
      <c r="N444" s="3">
        <v>508</v>
      </c>
      <c r="O444" s="3">
        <v>4022</v>
      </c>
      <c r="P444" t="str">
        <f t="shared" si="12"/>
        <v>Sat</v>
      </c>
      <c r="Q444" t="str">
        <f t="shared" si="13"/>
        <v>Vey Active</v>
      </c>
    </row>
    <row r="445" spans="1:17">
      <c r="A445">
        <v>4445114986</v>
      </c>
      <c r="B445" s="1">
        <v>42502</v>
      </c>
      <c r="C445" s="3">
        <v>768</v>
      </c>
      <c r="D445" s="2">
        <v>0.519999980926514</v>
      </c>
      <c r="E445" s="2">
        <v>0.519999980926514</v>
      </c>
      <c r="F445" s="2">
        <v>0</v>
      </c>
      <c r="G445" s="2">
        <v>0</v>
      </c>
      <c r="H445" s="2">
        <v>0</v>
      </c>
      <c r="I445" s="2">
        <v>0.519999980926514</v>
      </c>
      <c r="J445" s="2">
        <v>0</v>
      </c>
      <c r="K445" s="3">
        <v>0</v>
      </c>
      <c r="L445" s="3">
        <v>0</v>
      </c>
      <c r="M445" s="3">
        <v>58</v>
      </c>
      <c r="N445" s="3">
        <v>380</v>
      </c>
      <c r="O445" s="3">
        <v>1212</v>
      </c>
      <c r="P445" t="str">
        <f t="shared" si="12"/>
        <v>Thu</v>
      </c>
      <c r="Q445" t="str">
        <f t="shared" si="13"/>
        <v>Sedentary</v>
      </c>
    </row>
    <row r="446" spans="1:17">
      <c r="A446">
        <v>4445114986</v>
      </c>
      <c r="B446" s="1">
        <v>42479</v>
      </c>
      <c r="C446" s="3">
        <v>2064</v>
      </c>
      <c r="D446" s="2">
        <v>1.3899999856948899</v>
      </c>
      <c r="E446" s="2">
        <v>1.3899999856948899</v>
      </c>
      <c r="F446" s="2">
        <v>0</v>
      </c>
      <c r="G446" s="2">
        <v>0</v>
      </c>
      <c r="H446" s="2">
        <v>0</v>
      </c>
      <c r="I446" s="2">
        <v>1.3899999856948899</v>
      </c>
      <c r="J446" s="2">
        <v>0</v>
      </c>
      <c r="K446" s="3">
        <v>0</v>
      </c>
      <c r="L446" s="3">
        <v>0</v>
      </c>
      <c r="M446" s="3">
        <v>121</v>
      </c>
      <c r="N446" s="3">
        <v>895</v>
      </c>
      <c r="O446" s="3">
        <v>1954</v>
      </c>
      <c r="P446" t="str">
        <f t="shared" si="12"/>
        <v>Tue</v>
      </c>
      <c r="Q446" t="str">
        <f t="shared" si="13"/>
        <v>Sedentary</v>
      </c>
    </row>
    <row r="447" spans="1:17">
      <c r="A447">
        <v>4445114986</v>
      </c>
      <c r="B447" s="1">
        <v>42480</v>
      </c>
      <c r="C447" s="3">
        <v>2072</v>
      </c>
      <c r="D447" s="2">
        <v>1.3899999856948899</v>
      </c>
      <c r="E447" s="2">
        <v>1.3899999856948899</v>
      </c>
      <c r="F447" s="2">
        <v>0</v>
      </c>
      <c r="G447" s="2">
        <v>0</v>
      </c>
      <c r="H447" s="2">
        <v>0</v>
      </c>
      <c r="I447" s="2">
        <v>1.3899999856948899</v>
      </c>
      <c r="J447" s="2">
        <v>0</v>
      </c>
      <c r="K447" s="3">
        <v>0</v>
      </c>
      <c r="L447" s="3">
        <v>0</v>
      </c>
      <c r="M447" s="3">
        <v>137</v>
      </c>
      <c r="N447" s="3">
        <v>841</v>
      </c>
      <c r="O447" s="3">
        <v>1974</v>
      </c>
      <c r="P447" t="str">
        <f t="shared" si="12"/>
        <v>Wed</v>
      </c>
      <c r="Q447" t="str">
        <f t="shared" si="13"/>
        <v>Sedentary</v>
      </c>
    </row>
    <row r="448" spans="1:17">
      <c r="A448">
        <v>4445114986</v>
      </c>
      <c r="B448" s="1">
        <v>42477</v>
      </c>
      <c r="C448" s="3">
        <v>2268</v>
      </c>
      <c r="D448" s="2">
        <v>1.5199999809265099</v>
      </c>
      <c r="E448" s="2">
        <v>1.5199999809265099</v>
      </c>
      <c r="F448" s="2">
        <v>0</v>
      </c>
      <c r="G448" s="2">
        <v>0</v>
      </c>
      <c r="H448" s="2">
        <v>0</v>
      </c>
      <c r="I448" s="2">
        <v>1.5199999809265099</v>
      </c>
      <c r="J448" s="2">
        <v>0</v>
      </c>
      <c r="K448" s="3">
        <v>0</v>
      </c>
      <c r="L448" s="3">
        <v>0</v>
      </c>
      <c r="M448" s="3">
        <v>114</v>
      </c>
      <c r="N448" s="3">
        <v>1219</v>
      </c>
      <c r="O448" s="3">
        <v>1933</v>
      </c>
      <c r="P448" t="str">
        <f t="shared" si="12"/>
        <v>Sun</v>
      </c>
      <c r="Q448" t="str">
        <f t="shared" si="13"/>
        <v>Sedentary</v>
      </c>
    </row>
    <row r="449" spans="1:17">
      <c r="A449">
        <v>4445114986</v>
      </c>
      <c r="B449" s="1">
        <v>42494</v>
      </c>
      <c r="C449" s="3">
        <v>2923</v>
      </c>
      <c r="D449" s="2">
        <v>1.96000003814697</v>
      </c>
      <c r="E449" s="2">
        <v>1.96000003814697</v>
      </c>
      <c r="F449" s="2">
        <v>0</v>
      </c>
      <c r="G449" s="2">
        <v>0</v>
      </c>
      <c r="H449" s="2">
        <v>0</v>
      </c>
      <c r="I449" s="2">
        <v>1.96000003814697</v>
      </c>
      <c r="J449" s="2">
        <v>0</v>
      </c>
      <c r="K449" s="3">
        <v>0</v>
      </c>
      <c r="L449" s="3">
        <v>0</v>
      </c>
      <c r="M449" s="3">
        <v>180</v>
      </c>
      <c r="N449" s="3">
        <v>897</v>
      </c>
      <c r="O449" s="3">
        <v>2070</v>
      </c>
      <c r="P449" t="str">
        <f t="shared" si="12"/>
        <v>Wed</v>
      </c>
      <c r="Q449" t="str">
        <f t="shared" si="13"/>
        <v>Sedentary</v>
      </c>
    </row>
    <row r="450" spans="1:17">
      <c r="A450">
        <v>4445114986</v>
      </c>
      <c r="B450" s="1">
        <v>42473</v>
      </c>
      <c r="C450" s="3">
        <v>2961</v>
      </c>
      <c r="D450" s="2">
        <v>1.9900000095367401</v>
      </c>
      <c r="E450" s="2">
        <v>1.9900000095367401</v>
      </c>
      <c r="F450" s="2">
        <v>0</v>
      </c>
      <c r="G450" s="2">
        <v>0</v>
      </c>
      <c r="H450" s="2">
        <v>0</v>
      </c>
      <c r="I450" s="2">
        <v>1.9900000095367401</v>
      </c>
      <c r="J450" s="2">
        <v>0</v>
      </c>
      <c r="K450" s="3">
        <v>0</v>
      </c>
      <c r="L450" s="3">
        <v>0</v>
      </c>
      <c r="M450" s="3">
        <v>194</v>
      </c>
      <c r="N450" s="3">
        <v>840</v>
      </c>
      <c r="O450" s="3">
        <v>2095</v>
      </c>
      <c r="P450" t="str">
        <f t="shared" ref="P450:P513" si="14">TEXT(B450, "ddd")</f>
        <v>Wed</v>
      </c>
      <c r="Q450" t="str">
        <f t="shared" ref="Q450:Q513" si="15">IF(C450&lt;5000, "Sedentary", IF(C450&lt;7500, "Lightly Active",IF(C450&lt;10000, "Fairly Active", "Vey Active")))</f>
        <v>Sedentary</v>
      </c>
    </row>
    <row r="451" spans="1:17">
      <c r="A451">
        <v>4445114986</v>
      </c>
      <c r="B451" s="1">
        <v>42472</v>
      </c>
      <c r="C451" s="3">
        <v>3276</v>
      </c>
      <c r="D451" s="2">
        <v>2.2000000476837198</v>
      </c>
      <c r="E451" s="2">
        <v>2.2000000476837198</v>
      </c>
      <c r="F451" s="2">
        <v>0</v>
      </c>
      <c r="G451" s="2">
        <v>0</v>
      </c>
      <c r="H451" s="2">
        <v>0</v>
      </c>
      <c r="I451" s="2">
        <v>2.2000000476837198</v>
      </c>
      <c r="J451" s="2">
        <v>0</v>
      </c>
      <c r="K451" s="3">
        <v>0</v>
      </c>
      <c r="L451" s="3">
        <v>0</v>
      </c>
      <c r="M451" s="3">
        <v>196</v>
      </c>
      <c r="N451" s="3">
        <v>787</v>
      </c>
      <c r="O451" s="3">
        <v>2113</v>
      </c>
      <c r="P451" t="str">
        <f t="shared" si="14"/>
        <v>Tue</v>
      </c>
      <c r="Q451" t="str">
        <f t="shared" si="15"/>
        <v>Sedentary</v>
      </c>
    </row>
    <row r="452" spans="1:17">
      <c r="A452">
        <v>4445114986</v>
      </c>
      <c r="B452" s="1">
        <v>42485</v>
      </c>
      <c r="C452" s="3">
        <v>3385</v>
      </c>
      <c r="D452" s="2">
        <v>2.2699999809265101</v>
      </c>
      <c r="E452" s="2">
        <v>2.2699999809265101</v>
      </c>
      <c r="F452" s="2">
        <v>0</v>
      </c>
      <c r="G452" s="2">
        <v>0</v>
      </c>
      <c r="H452" s="2">
        <v>0</v>
      </c>
      <c r="I452" s="2">
        <v>2.2699999809265101</v>
      </c>
      <c r="J452" s="2">
        <v>0</v>
      </c>
      <c r="K452" s="3">
        <v>0</v>
      </c>
      <c r="L452" s="3">
        <v>0</v>
      </c>
      <c r="M452" s="3">
        <v>179</v>
      </c>
      <c r="N452" s="3">
        <v>916</v>
      </c>
      <c r="O452" s="3">
        <v>2070</v>
      </c>
      <c r="P452" t="str">
        <f t="shared" si="14"/>
        <v>Mon</v>
      </c>
      <c r="Q452" t="str">
        <f t="shared" si="15"/>
        <v>Sedentary</v>
      </c>
    </row>
    <row r="453" spans="1:17">
      <c r="A453">
        <v>4445114986</v>
      </c>
      <c r="B453" s="1">
        <v>42495</v>
      </c>
      <c r="C453" s="3">
        <v>3800</v>
      </c>
      <c r="D453" s="2">
        <v>2.5499999523162802</v>
      </c>
      <c r="E453" s="2">
        <v>2.5499999523162802</v>
      </c>
      <c r="F453" s="2">
        <v>0</v>
      </c>
      <c r="G453" s="2">
        <v>0.119999997317791</v>
      </c>
      <c r="H453" s="2">
        <v>0.239999994635582</v>
      </c>
      <c r="I453" s="2">
        <v>2.1800000667571999</v>
      </c>
      <c r="J453" s="2">
        <v>0</v>
      </c>
      <c r="K453" s="3">
        <v>2</v>
      </c>
      <c r="L453" s="3">
        <v>6</v>
      </c>
      <c r="M453" s="3">
        <v>185</v>
      </c>
      <c r="N453" s="3">
        <v>734</v>
      </c>
      <c r="O453" s="3">
        <v>2120</v>
      </c>
      <c r="P453" t="str">
        <f t="shared" si="14"/>
        <v>Thu</v>
      </c>
      <c r="Q453" t="str">
        <f t="shared" si="15"/>
        <v>Sedentary</v>
      </c>
    </row>
    <row r="454" spans="1:17">
      <c r="A454">
        <v>4445114986</v>
      </c>
      <c r="B454" s="1">
        <v>42481</v>
      </c>
      <c r="C454" s="3">
        <v>3809</v>
      </c>
      <c r="D454" s="2">
        <v>2.5599999427795401</v>
      </c>
      <c r="E454" s="2">
        <v>2.5599999427795401</v>
      </c>
      <c r="F454" s="2">
        <v>0</v>
      </c>
      <c r="G454" s="2">
        <v>0</v>
      </c>
      <c r="H454" s="2">
        <v>0</v>
      </c>
      <c r="I454" s="2">
        <v>2.53999996185303</v>
      </c>
      <c r="J454" s="2">
        <v>0</v>
      </c>
      <c r="K454" s="3">
        <v>0</v>
      </c>
      <c r="L454" s="3">
        <v>0</v>
      </c>
      <c r="M454" s="3">
        <v>215</v>
      </c>
      <c r="N454" s="3">
        <v>756</v>
      </c>
      <c r="O454" s="3">
        <v>2150</v>
      </c>
      <c r="P454" t="str">
        <f t="shared" si="14"/>
        <v>Thu</v>
      </c>
      <c r="Q454" t="str">
        <f t="shared" si="15"/>
        <v>Sedentary</v>
      </c>
    </row>
    <row r="455" spans="1:17">
      <c r="A455">
        <v>4445114986</v>
      </c>
      <c r="B455" s="1">
        <v>42500</v>
      </c>
      <c r="C455" s="3">
        <v>3915</v>
      </c>
      <c r="D455" s="2">
        <v>2.6300001144409202</v>
      </c>
      <c r="E455" s="2">
        <v>2.6300001144409202</v>
      </c>
      <c r="F455" s="2">
        <v>0</v>
      </c>
      <c r="G455" s="2">
        <v>0</v>
      </c>
      <c r="H455" s="2">
        <v>0</v>
      </c>
      <c r="I455" s="2">
        <v>2.6300001144409202</v>
      </c>
      <c r="J455" s="2">
        <v>0</v>
      </c>
      <c r="K455" s="3">
        <v>0</v>
      </c>
      <c r="L455" s="3">
        <v>0</v>
      </c>
      <c r="M455" s="3">
        <v>231</v>
      </c>
      <c r="N455" s="3">
        <v>783</v>
      </c>
      <c r="O455" s="3">
        <v>2181</v>
      </c>
      <c r="P455" t="str">
        <f t="shared" si="14"/>
        <v>Tue</v>
      </c>
      <c r="Q455" t="str">
        <f t="shared" si="15"/>
        <v>Sedentary</v>
      </c>
    </row>
    <row r="456" spans="1:17">
      <c r="A456">
        <v>4445114986</v>
      </c>
      <c r="B456" s="1">
        <v>42476</v>
      </c>
      <c r="C456" s="3">
        <v>3945</v>
      </c>
      <c r="D456" s="2">
        <v>2.6500000953674299</v>
      </c>
      <c r="E456" s="2">
        <v>2.6500000953674299</v>
      </c>
      <c r="F456" s="2">
        <v>0</v>
      </c>
      <c r="G456" s="2">
        <v>0</v>
      </c>
      <c r="H456" s="2">
        <v>0</v>
      </c>
      <c r="I456" s="2">
        <v>2.6500000953674299</v>
      </c>
      <c r="J456" s="2">
        <v>0</v>
      </c>
      <c r="K456" s="3">
        <v>0</v>
      </c>
      <c r="L456" s="3">
        <v>0</v>
      </c>
      <c r="M456" s="3">
        <v>225</v>
      </c>
      <c r="N456" s="3">
        <v>716</v>
      </c>
      <c r="O456" s="3">
        <v>2180</v>
      </c>
      <c r="P456" t="str">
        <f t="shared" si="14"/>
        <v>Sat</v>
      </c>
      <c r="Q456" t="str">
        <f t="shared" si="15"/>
        <v>Sedentary</v>
      </c>
    </row>
    <row r="457" spans="1:17">
      <c r="A457">
        <v>4445114986</v>
      </c>
      <c r="B457" s="1">
        <v>42474</v>
      </c>
      <c r="C457" s="3">
        <v>3974</v>
      </c>
      <c r="D457" s="2">
        <v>2.6700000762939502</v>
      </c>
      <c r="E457" s="2">
        <v>2.6700000762939502</v>
      </c>
      <c r="F457" s="2">
        <v>0</v>
      </c>
      <c r="G457" s="2">
        <v>0</v>
      </c>
      <c r="H457" s="2">
        <v>0</v>
      </c>
      <c r="I457" s="2">
        <v>2.6700000762939502</v>
      </c>
      <c r="J457" s="2">
        <v>0</v>
      </c>
      <c r="K457" s="3">
        <v>0</v>
      </c>
      <c r="L457" s="3">
        <v>0</v>
      </c>
      <c r="M457" s="3">
        <v>231</v>
      </c>
      <c r="N457" s="3">
        <v>717</v>
      </c>
      <c r="O457" s="3">
        <v>2194</v>
      </c>
      <c r="P457" t="str">
        <f t="shared" si="14"/>
        <v>Thu</v>
      </c>
      <c r="Q457" t="str">
        <f t="shared" si="15"/>
        <v>Sedentary</v>
      </c>
    </row>
    <row r="458" spans="1:17">
      <c r="A458">
        <v>4445114986</v>
      </c>
      <c r="B458" s="1">
        <v>42483</v>
      </c>
      <c r="C458" s="3">
        <v>4363</v>
      </c>
      <c r="D458" s="2">
        <v>2.9300000667571999</v>
      </c>
      <c r="E458" s="2">
        <v>2.9300000667571999</v>
      </c>
      <c r="F458" s="2">
        <v>0</v>
      </c>
      <c r="G458" s="2">
        <v>0</v>
      </c>
      <c r="H458" s="2">
        <v>0</v>
      </c>
      <c r="I458" s="2">
        <v>2.9300000667571999</v>
      </c>
      <c r="J458" s="2">
        <v>0</v>
      </c>
      <c r="K458" s="3">
        <v>0</v>
      </c>
      <c r="L458" s="3">
        <v>0</v>
      </c>
      <c r="M458" s="3">
        <v>201</v>
      </c>
      <c r="N458" s="3">
        <v>1239</v>
      </c>
      <c r="O458" s="3">
        <v>2149</v>
      </c>
      <c r="P458" t="str">
        <f t="shared" si="14"/>
        <v>Sat</v>
      </c>
      <c r="Q458" t="str">
        <f t="shared" si="15"/>
        <v>Sedentary</v>
      </c>
    </row>
    <row r="459" spans="1:17">
      <c r="A459">
        <v>4445114986</v>
      </c>
      <c r="B459" s="1">
        <v>42488</v>
      </c>
      <c r="C459" s="3">
        <v>4493</v>
      </c>
      <c r="D459" s="2">
        <v>3.0099999904632599</v>
      </c>
      <c r="E459" s="2">
        <v>3.0099999904632599</v>
      </c>
      <c r="F459" s="2">
        <v>0</v>
      </c>
      <c r="G459" s="2">
        <v>0</v>
      </c>
      <c r="H459" s="2">
        <v>0</v>
      </c>
      <c r="I459" s="2">
        <v>3.0099999904632599</v>
      </c>
      <c r="J459" s="2">
        <v>0</v>
      </c>
      <c r="K459" s="3">
        <v>0</v>
      </c>
      <c r="L459" s="3">
        <v>0</v>
      </c>
      <c r="M459" s="3">
        <v>236</v>
      </c>
      <c r="N459" s="3">
        <v>762</v>
      </c>
      <c r="O459" s="3">
        <v>2203</v>
      </c>
      <c r="P459" t="str">
        <f t="shared" si="14"/>
        <v>Thu</v>
      </c>
      <c r="Q459" t="str">
        <f t="shared" si="15"/>
        <v>Sedentary</v>
      </c>
    </row>
    <row r="460" spans="1:17">
      <c r="A460">
        <v>4445114986</v>
      </c>
      <c r="B460" s="1">
        <v>42496</v>
      </c>
      <c r="C460" s="3">
        <v>4514</v>
      </c>
      <c r="D460" s="2">
        <v>3.0299999713897701</v>
      </c>
      <c r="E460" s="2">
        <v>3.0299999713897701</v>
      </c>
      <c r="F460" s="2">
        <v>0</v>
      </c>
      <c r="G460" s="2">
        <v>0</v>
      </c>
      <c r="H460" s="2">
        <v>0</v>
      </c>
      <c r="I460" s="2">
        <v>3.0299999713897701</v>
      </c>
      <c r="J460" s="2">
        <v>0</v>
      </c>
      <c r="K460" s="3">
        <v>0</v>
      </c>
      <c r="L460" s="3">
        <v>0</v>
      </c>
      <c r="M460" s="3">
        <v>229</v>
      </c>
      <c r="N460" s="3">
        <v>809</v>
      </c>
      <c r="O460" s="3">
        <v>2211</v>
      </c>
      <c r="P460" t="str">
        <f t="shared" si="14"/>
        <v>Fri</v>
      </c>
      <c r="Q460" t="str">
        <f t="shared" si="15"/>
        <v>Sedentary</v>
      </c>
    </row>
    <row r="461" spans="1:17">
      <c r="A461">
        <v>4445114986</v>
      </c>
      <c r="B461" s="1">
        <v>42489</v>
      </c>
      <c r="C461" s="3">
        <v>4676</v>
      </c>
      <c r="D461" s="2">
        <v>3.1400001049041699</v>
      </c>
      <c r="E461" s="2">
        <v>3.1400001049041699</v>
      </c>
      <c r="F461" s="2">
        <v>0</v>
      </c>
      <c r="G461" s="2">
        <v>0</v>
      </c>
      <c r="H461" s="2">
        <v>0</v>
      </c>
      <c r="I461" s="2">
        <v>3.1300001144409202</v>
      </c>
      <c r="J461" s="2">
        <v>0</v>
      </c>
      <c r="K461" s="3">
        <v>0</v>
      </c>
      <c r="L461" s="3">
        <v>0</v>
      </c>
      <c r="M461" s="3">
        <v>226</v>
      </c>
      <c r="N461" s="3">
        <v>1106</v>
      </c>
      <c r="O461" s="3">
        <v>2196</v>
      </c>
      <c r="P461" t="str">
        <f t="shared" si="14"/>
        <v>Fri</v>
      </c>
      <c r="Q461" t="str">
        <f t="shared" si="15"/>
        <v>Sedentary</v>
      </c>
    </row>
    <row r="462" spans="1:17">
      <c r="A462">
        <v>4445114986</v>
      </c>
      <c r="B462" s="1">
        <v>42484</v>
      </c>
      <c r="C462" s="3">
        <v>5002</v>
      </c>
      <c r="D462" s="2">
        <v>3.3599998950958301</v>
      </c>
      <c r="E462" s="2">
        <v>3.3599998950958301</v>
      </c>
      <c r="F462" s="2">
        <v>0</v>
      </c>
      <c r="G462" s="2">
        <v>0</v>
      </c>
      <c r="H462" s="2">
        <v>0</v>
      </c>
      <c r="I462" s="2">
        <v>3.3599998950958301</v>
      </c>
      <c r="J462" s="2">
        <v>0</v>
      </c>
      <c r="K462" s="3">
        <v>0</v>
      </c>
      <c r="L462" s="3">
        <v>0</v>
      </c>
      <c r="M462" s="3">
        <v>244</v>
      </c>
      <c r="N462" s="3">
        <v>1196</v>
      </c>
      <c r="O462" s="3">
        <v>2247</v>
      </c>
      <c r="P462" t="str">
        <f t="shared" si="14"/>
        <v>Sun</v>
      </c>
      <c r="Q462" t="str">
        <f t="shared" si="15"/>
        <v>Lightly Active</v>
      </c>
    </row>
    <row r="463" spans="1:17">
      <c r="A463">
        <v>4445114986</v>
      </c>
      <c r="B463" s="1">
        <v>42497</v>
      </c>
      <c r="C463" s="3">
        <v>5183</v>
      </c>
      <c r="D463" s="2">
        <v>3.5899999141693102</v>
      </c>
      <c r="E463" s="2">
        <v>3.5899999141693102</v>
      </c>
      <c r="F463" s="2">
        <v>0</v>
      </c>
      <c r="G463" s="2">
        <v>2.1300001144409202</v>
      </c>
      <c r="H463" s="2">
        <v>0.18999999761581399</v>
      </c>
      <c r="I463" s="2">
        <v>1.25</v>
      </c>
      <c r="J463" s="2">
        <v>0</v>
      </c>
      <c r="K463" s="3">
        <v>26</v>
      </c>
      <c r="L463" s="3">
        <v>4</v>
      </c>
      <c r="M463" s="3">
        <v>108</v>
      </c>
      <c r="N463" s="3">
        <v>866</v>
      </c>
      <c r="O463" s="3">
        <v>2123</v>
      </c>
      <c r="P463" t="str">
        <f t="shared" si="14"/>
        <v>Sat</v>
      </c>
      <c r="Q463" t="str">
        <f t="shared" si="15"/>
        <v>Lightly Active</v>
      </c>
    </row>
    <row r="464" spans="1:17">
      <c r="A464">
        <v>4445114986</v>
      </c>
      <c r="B464" s="1">
        <v>42491</v>
      </c>
      <c r="C464" s="3">
        <v>5232</v>
      </c>
      <c r="D464" s="2">
        <v>3.5099999904632599</v>
      </c>
      <c r="E464" s="2">
        <v>3.5099999904632599</v>
      </c>
      <c r="F464" s="2">
        <v>0</v>
      </c>
      <c r="G464" s="2">
        <v>0</v>
      </c>
      <c r="H464" s="2">
        <v>0</v>
      </c>
      <c r="I464" s="2">
        <v>3.5099999904632599</v>
      </c>
      <c r="J464" s="2">
        <v>0</v>
      </c>
      <c r="K464" s="3">
        <v>0</v>
      </c>
      <c r="L464" s="3">
        <v>0</v>
      </c>
      <c r="M464" s="3">
        <v>240</v>
      </c>
      <c r="N464" s="3">
        <v>741</v>
      </c>
      <c r="O464" s="3">
        <v>2246</v>
      </c>
      <c r="P464" t="str">
        <f t="shared" si="14"/>
        <v>Sun</v>
      </c>
      <c r="Q464" t="str">
        <f t="shared" si="15"/>
        <v>Lightly Active</v>
      </c>
    </row>
    <row r="465" spans="1:17">
      <c r="A465">
        <v>4445114986</v>
      </c>
      <c r="B465" s="1">
        <v>42499</v>
      </c>
      <c r="C465" s="3">
        <v>5275</v>
      </c>
      <c r="D465" s="2">
        <v>3.53999996185303</v>
      </c>
      <c r="E465" s="2">
        <v>3.53999996185303</v>
      </c>
      <c r="F465" s="2">
        <v>0</v>
      </c>
      <c r="G465" s="2">
        <v>0</v>
      </c>
      <c r="H465" s="2">
        <v>0</v>
      </c>
      <c r="I465" s="2">
        <v>3.53999996185303</v>
      </c>
      <c r="J465" s="2">
        <v>0</v>
      </c>
      <c r="K465" s="3">
        <v>0</v>
      </c>
      <c r="L465" s="3">
        <v>0</v>
      </c>
      <c r="M465" s="3">
        <v>266</v>
      </c>
      <c r="N465" s="3">
        <v>641</v>
      </c>
      <c r="O465" s="3">
        <v>2281</v>
      </c>
      <c r="P465" t="str">
        <f t="shared" si="14"/>
        <v>Mon</v>
      </c>
      <c r="Q465" t="str">
        <f t="shared" si="15"/>
        <v>Lightly Active</v>
      </c>
    </row>
    <row r="466" spans="1:17">
      <c r="A466">
        <v>4445114986</v>
      </c>
      <c r="B466" s="1">
        <v>42478</v>
      </c>
      <c r="C466" s="3">
        <v>6155</v>
      </c>
      <c r="D466" s="2">
        <v>4.2399997711181596</v>
      </c>
      <c r="E466" s="2">
        <v>4.2399997711181596</v>
      </c>
      <c r="F466" s="2">
        <v>0</v>
      </c>
      <c r="G466" s="2">
        <v>2</v>
      </c>
      <c r="H466" s="2">
        <v>0.28999999165535001</v>
      </c>
      <c r="I466" s="2">
        <v>1.95000004768372</v>
      </c>
      <c r="J466" s="2">
        <v>0</v>
      </c>
      <c r="K466" s="3">
        <v>25</v>
      </c>
      <c r="L466" s="3">
        <v>6</v>
      </c>
      <c r="M466" s="3">
        <v>162</v>
      </c>
      <c r="N466" s="3">
        <v>1247</v>
      </c>
      <c r="O466" s="3">
        <v>2248</v>
      </c>
      <c r="P466" t="str">
        <f t="shared" si="14"/>
        <v>Mon</v>
      </c>
      <c r="Q466" t="str">
        <f t="shared" si="15"/>
        <v>Lightly Active</v>
      </c>
    </row>
    <row r="467" spans="1:17">
      <c r="A467">
        <v>4445114986</v>
      </c>
      <c r="B467" s="1">
        <v>42490</v>
      </c>
      <c r="C467" s="3">
        <v>6222</v>
      </c>
      <c r="D467" s="2">
        <v>4.1799998283386204</v>
      </c>
      <c r="E467" s="2">
        <v>4.1799998283386204</v>
      </c>
      <c r="F467" s="2">
        <v>0</v>
      </c>
      <c r="G467" s="2">
        <v>0</v>
      </c>
      <c r="H467" s="2">
        <v>0</v>
      </c>
      <c r="I467" s="2">
        <v>4.1799998283386204</v>
      </c>
      <c r="J467" s="2">
        <v>0</v>
      </c>
      <c r="K467" s="3">
        <v>0</v>
      </c>
      <c r="L467" s="3">
        <v>0</v>
      </c>
      <c r="M467" s="3">
        <v>290</v>
      </c>
      <c r="N467" s="3">
        <v>797</v>
      </c>
      <c r="O467" s="3">
        <v>2363</v>
      </c>
      <c r="P467" t="str">
        <f t="shared" si="14"/>
        <v>Sat</v>
      </c>
      <c r="Q467" t="str">
        <f t="shared" si="15"/>
        <v>Lightly Active</v>
      </c>
    </row>
    <row r="468" spans="1:17">
      <c r="A468">
        <v>4445114986</v>
      </c>
      <c r="B468" s="1">
        <v>42486</v>
      </c>
      <c r="C468" s="3">
        <v>6326</v>
      </c>
      <c r="D468" s="2">
        <v>4.4099998474121103</v>
      </c>
      <c r="E468" s="2">
        <v>4.4099998474121103</v>
      </c>
      <c r="F468" s="2">
        <v>0</v>
      </c>
      <c r="G468" s="2">
        <v>2.4100000858306898</v>
      </c>
      <c r="H468" s="2">
        <v>3.9999999105930301E-2</v>
      </c>
      <c r="I468" s="2">
        <v>1.96000003814697</v>
      </c>
      <c r="J468" s="2">
        <v>0</v>
      </c>
      <c r="K468" s="3">
        <v>29</v>
      </c>
      <c r="L468" s="3">
        <v>1</v>
      </c>
      <c r="M468" s="3">
        <v>180</v>
      </c>
      <c r="N468" s="3">
        <v>839</v>
      </c>
      <c r="O468" s="3">
        <v>2291</v>
      </c>
      <c r="P468" t="str">
        <f t="shared" si="14"/>
        <v>Tue</v>
      </c>
      <c r="Q468" t="str">
        <f t="shared" si="15"/>
        <v>Lightly Active</v>
      </c>
    </row>
    <row r="469" spans="1:17">
      <c r="A469">
        <v>4445114986</v>
      </c>
      <c r="B469" s="1">
        <v>42482</v>
      </c>
      <c r="C469" s="3">
        <v>6831</v>
      </c>
      <c r="D469" s="2">
        <v>4.5799999237060502</v>
      </c>
      <c r="E469" s="2">
        <v>4.5799999237060502</v>
      </c>
      <c r="F469" s="2">
        <v>0</v>
      </c>
      <c r="G469" s="2">
        <v>0</v>
      </c>
      <c r="H469" s="2">
        <v>0</v>
      </c>
      <c r="I469" s="2">
        <v>4.5799999237060502</v>
      </c>
      <c r="J469" s="2">
        <v>0</v>
      </c>
      <c r="K469" s="3">
        <v>0</v>
      </c>
      <c r="L469" s="3">
        <v>0</v>
      </c>
      <c r="M469" s="3">
        <v>317</v>
      </c>
      <c r="N469" s="3">
        <v>706</v>
      </c>
      <c r="O469" s="3">
        <v>2432</v>
      </c>
      <c r="P469" t="str">
        <f t="shared" si="14"/>
        <v>Fri</v>
      </c>
      <c r="Q469" t="str">
        <f t="shared" si="15"/>
        <v>Lightly Active</v>
      </c>
    </row>
    <row r="470" spans="1:17">
      <c r="A470">
        <v>4445114986</v>
      </c>
      <c r="B470" s="1">
        <v>42492</v>
      </c>
      <c r="C470" s="3">
        <v>6910</v>
      </c>
      <c r="D470" s="2">
        <v>4.75</v>
      </c>
      <c r="E470" s="2">
        <v>4.75</v>
      </c>
      <c r="F470" s="2">
        <v>0</v>
      </c>
      <c r="G470" s="2">
        <v>2.21000003814697</v>
      </c>
      <c r="H470" s="2">
        <v>0.18999999761581399</v>
      </c>
      <c r="I470" s="2">
        <v>2.3499999046325701</v>
      </c>
      <c r="J470" s="2">
        <v>0</v>
      </c>
      <c r="K470" s="3">
        <v>27</v>
      </c>
      <c r="L470" s="3">
        <v>4</v>
      </c>
      <c r="M470" s="3">
        <v>200</v>
      </c>
      <c r="N470" s="3">
        <v>667</v>
      </c>
      <c r="O470" s="3">
        <v>2336</v>
      </c>
      <c r="P470" t="str">
        <f t="shared" si="14"/>
        <v>Mon</v>
      </c>
      <c r="Q470" t="str">
        <f t="shared" si="15"/>
        <v>Lightly Active</v>
      </c>
    </row>
    <row r="471" spans="1:17">
      <c r="A471">
        <v>4445114986</v>
      </c>
      <c r="B471" s="1">
        <v>42475</v>
      </c>
      <c r="C471" s="3">
        <v>7198</v>
      </c>
      <c r="D471" s="2">
        <v>4.8299999237060502</v>
      </c>
      <c r="E471" s="2">
        <v>4.8299999237060502</v>
      </c>
      <c r="F471" s="2">
        <v>0</v>
      </c>
      <c r="G471" s="2">
        <v>0</v>
      </c>
      <c r="H471" s="2">
        <v>0</v>
      </c>
      <c r="I471" s="2">
        <v>4.8299999237060502</v>
      </c>
      <c r="J471" s="2">
        <v>0</v>
      </c>
      <c r="K471" s="3">
        <v>0</v>
      </c>
      <c r="L471" s="3">
        <v>0</v>
      </c>
      <c r="M471" s="3">
        <v>350</v>
      </c>
      <c r="N471" s="3">
        <v>711</v>
      </c>
      <c r="O471" s="3">
        <v>2496</v>
      </c>
      <c r="P471" t="str">
        <f t="shared" si="14"/>
        <v>Fri</v>
      </c>
      <c r="Q471" t="str">
        <f t="shared" si="15"/>
        <v>Lightly Active</v>
      </c>
    </row>
    <row r="472" spans="1:17">
      <c r="A472">
        <v>4445114986</v>
      </c>
      <c r="B472" s="1">
        <v>42487</v>
      </c>
      <c r="C472" s="3">
        <v>7243</v>
      </c>
      <c r="D472" s="2">
        <v>5.0300002098083496</v>
      </c>
      <c r="E472" s="2">
        <v>5.0300002098083496</v>
      </c>
      <c r="F472" s="2">
        <v>0</v>
      </c>
      <c r="G472" s="2">
        <v>2.6199998855590798</v>
      </c>
      <c r="H472" s="2">
        <v>2.9999999329447701E-2</v>
      </c>
      <c r="I472" s="2">
        <v>2.3800001144409202</v>
      </c>
      <c r="J472" s="2">
        <v>0</v>
      </c>
      <c r="K472" s="3">
        <v>32</v>
      </c>
      <c r="L472" s="3">
        <v>1</v>
      </c>
      <c r="M472" s="3">
        <v>194</v>
      </c>
      <c r="N472" s="3">
        <v>839</v>
      </c>
      <c r="O472" s="3">
        <v>2361</v>
      </c>
      <c r="P472" t="str">
        <f t="shared" si="14"/>
        <v>Wed</v>
      </c>
      <c r="Q472" t="str">
        <f t="shared" si="15"/>
        <v>Lightly Active</v>
      </c>
    </row>
    <row r="473" spans="1:17">
      <c r="A473">
        <v>4445114986</v>
      </c>
      <c r="B473" s="1">
        <v>42498</v>
      </c>
      <c r="C473" s="3">
        <v>7303</v>
      </c>
      <c r="D473" s="2">
        <v>4.9000000953674299</v>
      </c>
      <c r="E473" s="2">
        <v>4.9000000953674299</v>
      </c>
      <c r="F473" s="2">
        <v>0</v>
      </c>
      <c r="G473" s="2">
        <v>0</v>
      </c>
      <c r="H473" s="2">
        <v>0.25</v>
      </c>
      <c r="I473" s="2">
        <v>4.6500000953674299</v>
      </c>
      <c r="J473" s="2">
        <v>0</v>
      </c>
      <c r="K473" s="3">
        <v>0</v>
      </c>
      <c r="L473" s="3">
        <v>8</v>
      </c>
      <c r="M473" s="3">
        <v>308</v>
      </c>
      <c r="N473" s="3">
        <v>733</v>
      </c>
      <c r="O473" s="3">
        <v>2423</v>
      </c>
      <c r="P473" t="str">
        <f t="shared" si="14"/>
        <v>Sun</v>
      </c>
      <c r="Q473" t="str">
        <f t="shared" si="15"/>
        <v>Lightly Active</v>
      </c>
    </row>
    <row r="474" spans="1:17">
      <c r="A474">
        <v>4445114986</v>
      </c>
      <c r="B474" s="1">
        <v>42493</v>
      </c>
      <c r="C474" s="3">
        <v>7502</v>
      </c>
      <c r="D474" s="2">
        <v>5.1799998283386204</v>
      </c>
      <c r="E474" s="2">
        <v>5.1799998283386204</v>
      </c>
      <c r="F474" s="2">
        <v>0</v>
      </c>
      <c r="G474" s="2">
        <v>2.4800000190734899</v>
      </c>
      <c r="H474" s="2">
        <v>0.109999999403954</v>
      </c>
      <c r="I474" s="2">
        <v>2.5799999237060498</v>
      </c>
      <c r="J474" s="2">
        <v>0</v>
      </c>
      <c r="K474" s="3">
        <v>30</v>
      </c>
      <c r="L474" s="3">
        <v>2</v>
      </c>
      <c r="M474" s="3">
        <v>233</v>
      </c>
      <c r="N474" s="3">
        <v>725</v>
      </c>
      <c r="O474" s="3">
        <v>2421</v>
      </c>
      <c r="P474" t="str">
        <f t="shared" si="14"/>
        <v>Tue</v>
      </c>
      <c r="Q474" t="str">
        <f t="shared" si="15"/>
        <v>Fairly Active</v>
      </c>
    </row>
    <row r="475" spans="1:17">
      <c r="A475">
        <v>4445114986</v>
      </c>
      <c r="B475" s="1">
        <v>42501</v>
      </c>
      <c r="C475" s="3">
        <v>9105</v>
      </c>
      <c r="D475" s="2">
        <v>6.1100001335143999</v>
      </c>
      <c r="E475" s="2">
        <v>6.1100001335143999</v>
      </c>
      <c r="F475" s="2">
        <v>0</v>
      </c>
      <c r="G475" s="2">
        <v>2.25</v>
      </c>
      <c r="H475" s="2">
        <v>1</v>
      </c>
      <c r="I475" s="2">
        <v>2.8599998950958301</v>
      </c>
      <c r="J475" s="2">
        <v>0</v>
      </c>
      <c r="K475" s="3">
        <v>34</v>
      </c>
      <c r="L475" s="3">
        <v>22</v>
      </c>
      <c r="M475" s="3">
        <v>232</v>
      </c>
      <c r="N475" s="3">
        <v>622</v>
      </c>
      <c r="O475" s="3">
        <v>2499</v>
      </c>
      <c r="P475" t="str">
        <f t="shared" si="14"/>
        <v>Wed</v>
      </c>
      <c r="Q475" t="str">
        <f t="shared" si="15"/>
        <v>Fairly Active</v>
      </c>
    </row>
    <row r="476" spans="1:17">
      <c r="A476">
        <v>4558609924</v>
      </c>
      <c r="B476" s="1">
        <v>42491</v>
      </c>
      <c r="C476" s="3">
        <v>3428</v>
      </c>
      <c r="D476" s="2">
        <v>2.2699999809265101</v>
      </c>
      <c r="E476" s="2">
        <v>2.2699999809265101</v>
      </c>
      <c r="F476" s="2">
        <v>0</v>
      </c>
      <c r="G476" s="2">
        <v>0</v>
      </c>
      <c r="H476" s="2">
        <v>0</v>
      </c>
      <c r="I476" s="2">
        <v>2.2699999809265101</v>
      </c>
      <c r="J476" s="2">
        <v>0</v>
      </c>
      <c r="K476" s="3">
        <v>0</v>
      </c>
      <c r="L476" s="3">
        <v>0</v>
      </c>
      <c r="M476" s="3">
        <v>190</v>
      </c>
      <c r="N476" s="3">
        <v>1121</v>
      </c>
      <c r="O476" s="3">
        <v>1692</v>
      </c>
      <c r="P476" t="str">
        <f t="shared" si="14"/>
        <v>Sun</v>
      </c>
      <c r="Q476" t="str">
        <f t="shared" si="15"/>
        <v>Sedentary</v>
      </c>
    </row>
    <row r="477" spans="1:17">
      <c r="A477">
        <v>4558609924</v>
      </c>
      <c r="B477" s="1">
        <v>42496</v>
      </c>
      <c r="C477" s="3">
        <v>3755</v>
      </c>
      <c r="D477" s="2">
        <v>2.4800000190734899</v>
      </c>
      <c r="E477" s="2">
        <v>2.4800000190734899</v>
      </c>
      <c r="F477" s="2">
        <v>0</v>
      </c>
      <c r="G477" s="2">
        <v>0</v>
      </c>
      <c r="H477" s="2">
        <v>0</v>
      </c>
      <c r="I477" s="2">
        <v>2.4800000190734899</v>
      </c>
      <c r="J477" s="2">
        <v>0</v>
      </c>
      <c r="K477" s="3">
        <v>0</v>
      </c>
      <c r="L477" s="3">
        <v>0</v>
      </c>
      <c r="M477" s="3">
        <v>202</v>
      </c>
      <c r="N477" s="3">
        <v>1238</v>
      </c>
      <c r="O477" s="3">
        <v>1722</v>
      </c>
      <c r="P477" t="str">
        <f t="shared" si="14"/>
        <v>Fri</v>
      </c>
      <c r="Q477" t="str">
        <f t="shared" si="15"/>
        <v>Sedentary</v>
      </c>
    </row>
    <row r="478" spans="1:17">
      <c r="A478">
        <v>4558609924</v>
      </c>
      <c r="B478" s="1">
        <v>42480</v>
      </c>
      <c r="C478" s="3">
        <v>4803</v>
      </c>
      <c r="D478" s="2">
        <v>3.1700000762939502</v>
      </c>
      <c r="E478" s="2">
        <v>3.1700000762939502</v>
      </c>
      <c r="F478" s="2">
        <v>0</v>
      </c>
      <c r="G478" s="2">
        <v>0</v>
      </c>
      <c r="H478" s="2">
        <v>0</v>
      </c>
      <c r="I478" s="2">
        <v>3.1700000762939502</v>
      </c>
      <c r="J478" s="2">
        <v>0</v>
      </c>
      <c r="K478" s="3">
        <v>0</v>
      </c>
      <c r="L478" s="3">
        <v>0</v>
      </c>
      <c r="M478" s="3">
        <v>222</v>
      </c>
      <c r="N478" s="3">
        <v>1218</v>
      </c>
      <c r="O478" s="3">
        <v>1788</v>
      </c>
      <c r="P478" t="str">
        <f t="shared" si="14"/>
        <v>Wed</v>
      </c>
      <c r="Q478" t="str">
        <f t="shared" si="15"/>
        <v>Sedentary</v>
      </c>
    </row>
    <row r="479" spans="1:17">
      <c r="A479">
        <v>4558609924</v>
      </c>
      <c r="B479" s="1">
        <v>42473</v>
      </c>
      <c r="C479" s="3">
        <v>4978</v>
      </c>
      <c r="D479" s="2">
        <v>3.28999996185303</v>
      </c>
      <c r="E479" s="2">
        <v>3.28999996185303</v>
      </c>
      <c r="F479" s="2">
        <v>0</v>
      </c>
      <c r="G479" s="2">
        <v>1.2400000095367401</v>
      </c>
      <c r="H479" s="2">
        <v>0.43999999761581399</v>
      </c>
      <c r="I479" s="2">
        <v>1.6100000143051101</v>
      </c>
      <c r="J479" s="2">
        <v>0</v>
      </c>
      <c r="K479" s="3">
        <v>19</v>
      </c>
      <c r="L479" s="3">
        <v>7</v>
      </c>
      <c r="M479" s="3">
        <v>127</v>
      </c>
      <c r="N479" s="3">
        <v>1287</v>
      </c>
      <c r="O479" s="3">
        <v>1722</v>
      </c>
      <c r="P479" t="str">
        <f t="shared" si="14"/>
        <v>Wed</v>
      </c>
      <c r="Q479" t="str">
        <f t="shared" si="15"/>
        <v>Sedentary</v>
      </c>
    </row>
    <row r="480" spans="1:17">
      <c r="A480">
        <v>4558609924</v>
      </c>
      <c r="B480" s="1">
        <v>42472</v>
      </c>
      <c r="C480" s="3">
        <v>5135</v>
      </c>
      <c r="D480" s="2">
        <v>3.3900001049041699</v>
      </c>
      <c r="E480" s="2">
        <v>3.3900001049041699</v>
      </c>
      <c r="F480" s="2">
        <v>0</v>
      </c>
      <c r="G480" s="2">
        <v>0</v>
      </c>
      <c r="H480" s="2">
        <v>0</v>
      </c>
      <c r="I480" s="2">
        <v>3.3900001049041699</v>
      </c>
      <c r="J480" s="2">
        <v>0</v>
      </c>
      <c r="K480" s="3">
        <v>0</v>
      </c>
      <c r="L480" s="3">
        <v>0</v>
      </c>
      <c r="M480" s="3">
        <v>318</v>
      </c>
      <c r="N480" s="3">
        <v>1122</v>
      </c>
      <c r="O480" s="3">
        <v>1909</v>
      </c>
      <c r="P480" t="str">
        <f t="shared" si="14"/>
        <v>Tue</v>
      </c>
      <c r="Q480" t="str">
        <f t="shared" si="15"/>
        <v>Lightly Active</v>
      </c>
    </row>
    <row r="481" spans="1:17">
      <c r="A481">
        <v>4558609924</v>
      </c>
      <c r="B481" s="1">
        <v>42494</v>
      </c>
      <c r="C481" s="3">
        <v>5232</v>
      </c>
      <c r="D481" s="2">
        <v>3.46000003814697</v>
      </c>
      <c r="E481" s="2">
        <v>3.46000003814697</v>
      </c>
      <c r="F481" s="2">
        <v>0</v>
      </c>
      <c r="G481" s="2">
        <v>0</v>
      </c>
      <c r="H481" s="2">
        <v>0</v>
      </c>
      <c r="I481" s="2">
        <v>3.46000003814697</v>
      </c>
      <c r="J481" s="2">
        <v>0</v>
      </c>
      <c r="K481" s="3">
        <v>0</v>
      </c>
      <c r="L481" s="3">
        <v>0</v>
      </c>
      <c r="M481" s="3">
        <v>252</v>
      </c>
      <c r="N481" s="3">
        <v>1188</v>
      </c>
      <c r="O481" s="3">
        <v>1842</v>
      </c>
      <c r="P481" t="str">
        <f t="shared" si="14"/>
        <v>Wed</v>
      </c>
      <c r="Q481" t="str">
        <f t="shared" si="15"/>
        <v>Lightly Active</v>
      </c>
    </row>
    <row r="482" spans="1:17">
      <c r="A482">
        <v>4558609924</v>
      </c>
      <c r="B482" s="1">
        <v>42493</v>
      </c>
      <c r="C482" s="3">
        <v>5267</v>
      </c>
      <c r="D482" s="2">
        <v>3.4800000190734899</v>
      </c>
      <c r="E482" s="2">
        <v>3.4800000190734899</v>
      </c>
      <c r="F482" s="2">
        <v>0</v>
      </c>
      <c r="G482" s="2">
        <v>0.60000002384185802</v>
      </c>
      <c r="H482" s="2">
        <v>0.28000000119209301</v>
      </c>
      <c r="I482" s="2">
        <v>2.5999999046325701</v>
      </c>
      <c r="J482" s="2">
        <v>0</v>
      </c>
      <c r="K482" s="3">
        <v>21</v>
      </c>
      <c r="L482" s="3">
        <v>10</v>
      </c>
      <c r="M482" s="3">
        <v>237</v>
      </c>
      <c r="N482" s="3">
        <v>1172</v>
      </c>
      <c r="O482" s="3">
        <v>1953</v>
      </c>
      <c r="P482" t="str">
        <f t="shared" si="14"/>
        <v>Tue</v>
      </c>
      <c r="Q482" t="str">
        <f t="shared" si="15"/>
        <v>Lightly Active</v>
      </c>
    </row>
    <row r="483" spans="1:17">
      <c r="A483">
        <v>4558609924</v>
      </c>
      <c r="B483" s="1">
        <v>42479</v>
      </c>
      <c r="C483" s="3">
        <v>5401</v>
      </c>
      <c r="D483" s="2">
        <v>3.5699999332428001</v>
      </c>
      <c r="E483" s="2">
        <v>3.5699999332428001</v>
      </c>
      <c r="F483" s="2">
        <v>0</v>
      </c>
      <c r="G483" s="2">
        <v>5.0000000745058101E-2</v>
      </c>
      <c r="H483" s="2">
        <v>0.36000001430511502</v>
      </c>
      <c r="I483" s="2">
        <v>3.1600000858306898</v>
      </c>
      <c r="J483" s="2">
        <v>0</v>
      </c>
      <c r="K483" s="3">
        <v>1</v>
      </c>
      <c r="L483" s="3">
        <v>9</v>
      </c>
      <c r="M483" s="3">
        <v>248</v>
      </c>
      <c r="N483" s="3">
        <v>1182</v>
      </c>
      <c r="O483" s="3">
        <v>1876</v>
      </c>
      <c r="P483" t="str">
        <f t="shared" si="14"/>
        <v>Tue</v>
      </c>
      <c r="Q483" t="str">
        <f t="shared" si="15"/>
        <v>Lightly Active</v>
      </c>
    </row>
    <row r="484" spans="1:17">
      <c r="A484">
        <v>4558609924</v>
      </c>
      <c r="B484" s="1">
        <v>42502</v>
      </c>
      <c r="C484" s="3">
        <v>6307</v>
      </c>
      <c r="D484" s="2">
        <v>4.1700000762939498</v>
      </c>
      <c r="E484" s="2">
        <v>4.1700000762939498</v>
      </c>
      <c r="F484" s="2">
        <v>0</v>
      </c>
      <c r="G484" s="2">
        <v>0</v>
      </c>
      <c r="H484" s="2">
        <v>0</v>
      </c>
      <c r="I484" s="2">
        <v>4.1700000762939498</v>
      </c>
      <c r="J484" s="2">
        <v>0</v>
      </c>
      <c r="K484" s="3">
        <v>0</v>
      </c>
      <c r="L484" s="3">
        <v>0</v>
      </c>
      <c r="M484" s="3">
        <v>247</v>
      </c>
      <c r="N484" s="3">
        <v>736</v>
      </c>
      <c r="O484" s="3">
        <v>1452</v>
      </c>
      <c r="P484" t="str">
        <f t="shared" si="14"/>
        <v>Thu</v>
      </c>
      <c r="Q484" t="str">
        <f t="shared" si="15"/>
        <v>Lightly Active</v>
      </c>
    </row>
    <row r="485" spans="1:17">
      <c r="A485">
        <v>4558609924</v>
      </c>
      <c r="B485" s="1">
        <v>42500</v>
      </c>
      <c r="C485" s="3">
        <v>6435</v>
      </c>
      <c r="D485" s="2">
        <v>4.25</v>
      </c>
      <c r="E485" s="2">
        <v>4.25</v>
      </c>
      <c r="F485" s="2">
        <v>0</v>
      </c>
      <c r="G485" s="2">
        <v>0.74000000953674305</v>
      </c>
      <c r="H485" s="2">
        <v>1.12000000476837</v>
      </c>
      <c r="I485" s="2">
        <v>2.3900001049041699</v>
      </c>
      <c r="J485" s="2">
        <v>0</v>
      </c>
      <c r="K485" s="3">
        <v>11</v>
      </c>
      <c r="L485" s="3">
        <v>18</v>
      </c>
      <c r="M485" s="3">
        <v>220</v>
      </c>
      <c r="N485" s="3">
        <v>1191</v>
      </c>
      <c r="O485" s="3">
        <v>1889</v>
      </c>
      <c r="P485" t="str">
        <f t="shared" si="14"/>
        <v>Tue</v>
      </c>
      <c r="Q485" t="str">
        <f t="shared" si="15"/>
        <v>Lightly Active</v>
      </c>
    </row>
    <row r="486" spans="1:17">
      <c r="A486">
        <v>4558609924</v>
      </c>
      <c r="B486" s="1">
        <v>42498</v>
      </c>
      <c r="C486" s="3">
        <v>6543</v>
      </c>
      <c r="D486" s="2">
        <v>4.3299999237060502</v>
      </c>
      <c r="E486" s="2">
        <v>4.3299999237060502</v>
      </c>
      <c r="F486" s="2">
        <v>0</v>
      </c>
      <c r="G486" s="2">
        <v>1.79999995231628</v>
      </c>
      <c r="H486" s="2">
        <v>0.5</v>
      </c>
      <c r="I486" s="2">
        <v>2.0199999809265101</v>
      </c>
      <c r="J486" s="2">
        <v>0</v>
      </c>
      <c r="K486" s="3">
        <v>66</v>
      </c>
      <c r="L486" s="3">
        <v>35</v>
      </c>
      <c r="M486" s="3">
        <v>238</v>
      </c>
      <c r="N486" s="3">
        <v>1019</v>
      </c>
      <c r="O486" s="3">
        <v>2666</v>
      </c>
      <c r="P486" t="str">
        <f t="shared" si="14"/>
        <v>Sun</v>
      </c>
      <c r="Q486" t="str">
        <f t="shared" si="15"/>
        <v>Lightly Active</v>
      </c>
    </row>
    <row r="487" spans="1:17">
      <c r="A487">
        <v>4558609924</v>
      </c>
      <c r="B487" s="1">
        <v>42474</v>
      </c>
      <c r="C487" s="3">
        <v>6799</v>
      </c>
      <c r="D487" s="2">
        <v>4.4899997711181596</v>
      </c>
      <c r="E487" s="2">
        <v>4.4899997711181596</v>
      </c>
      <c r="F487" s="2">
        <v>0</v>
      </c>
      <c r="G487" s="2">
        <v>0</v>
      </c>
      <c r="H487" s="2">
        <v>0</v>
      </c>
      <c r="I487" s="2">
        <v>4.4899997711181596</v>
      </c>
      <c r="J487" s="2">
        <v>0</v>
      </c>
      <c r="K487" s="3">
        <v>0</v>
      </c>
      <c r="L487" s="3">
        <v>0</v>
      </c>
      <c r="M487" s="3">
        <v>279</v>
      </c>
      <c r="N487" s="3">
        <v>1161</v>
      </c>
      <c r="O487" s="3">
        <v>1922</v>
      </c>
      <c r="P487" t="str">
        <f t="shared" si="14"/>
        <v>Thu</v>
      </c>
      <c r="Q487" t="str">
        <f t="shared" si="15"/>
        <v>Lightly Active</v>
      </c>
    </row>
    <row r="488" spans="1:17">
      <c r="A488">
        <v>4558609924</v>
      </c>
      <c r="B488" s="1">
        <v>42483</v>
      </c>
      <c r="C488" s="3">
        <v>6890</v>
      </c>
      <c r="D488" s="2">
        <v>4.5500001907348597</v>
      </c>
      <c r="E488" s="2">
        <v>4.5500001907348597</v>
      </c>
      <c r="F488" s="2">
        <v>0</v>
      </c>
      <c r="G488" s="2">
        <v>0.34000000357627902</v>
      </c>
      <c r="H488" s="2">
        <v>0.20000000298023199</v>
      </c>
      <c r="I488" s="2">
        <v>4.0100002288818404</v>
      </c>
      <c r="J488" s="2">
        <v>0</v>
      </c>
      <c r="K488" s="3">
        <v>5</v>
      </c>
      <c r="L488" s="3">
        <v>5</v>
      </c>
      <c r="M488" s="3">
        <v>308</v>
      </c>
      <c r="N488" s="3">
        <v>1122</v>
      </c>
      <c r="O488" s="3">
        <v>2085</v>
      </c>
      <c r="P488" t="str">
        <f t="shared" si="14"/>
        <v>Sat</v>
      </c>
      <c r="Q488" t="str">
        <f t="shared" si="15"/>
        <v>Lightly Active</v>
      </c>
    </row>
    <row r="489" spans="1:17">
      <c r="A489">
        <v>4558609924</v>
      </c>
      <c r="B489" s="1">
        <v>42476</v>
      </c>
      <c r="C489" s="3">
        <v>7289</v>
      </c>
      <c r="D489" s="2">
        <v>4.8200001716613796</v>
      </c>
      <c r="E489" s="2">
        <v>4.8200001716613796</v>
      </c>
      <c r="F489" s="2">
        <v>0</v>
      </c>
      <c r="G489" s="2">
        <v>0.55000001192092896</v>
      </c>
      <c r="H489" s="2">
        <v>0.75</v>
      </c>
      <c r="I489" s="2">
        <v>3.5</v>
      </c>
      <c r="J489" s="2">
        <v>0</v>
      </c>
      <c r="K489" s="3">
        <v>8</v>
      </c>
      <c r="L489" s="3">
        <v>12</v>
      </c>
      <c r="M489" s="3">
        <v>308</v>
      </c>
      <c r="N489" s="3">
        <v>1112</v>
      </c>
      <c r="O489" s="3">
        <v>1997</v>
      </c>
      <c r="P489" t="str">
        <f t="shared" si="14"/>
        <v>Sat</v>
      </c>
      <c r="Q489" t="str">
        <f t="shared" si="15"/>
        <v>Lightly Active</v>
      </c>
    </row>
    <row r="490" spans="1:17">
      <c r="A490">
        <v>4558609924</v>
      </c>
      <c r="B490" s="1">
        <v>42475</v>
      </c>
      <c r="C490" s="3">
        <v>7795</v>
      </c>
      <c r="D490" s="2">
        <v>5.1500000953674299</v>
      </c>
      <c r="E490" s="2">
        <v>5.1500000953674299</v>
      </c>
      <c r="F490" s="2">
        <v>0</v>
      </c>
      <c r="G490" s="2">
        <v>0.58999997377395597</v>
      </c>
      <c r="H490" s="2">
        <v>0.83999997377395597</v>
      </c>
      <c r="I490" s="2">
        <v>3.7300000190734899</v>
      </c>
      <c r="J490" s="2">
        <v>0</v>
      </c>
      <c r="K490" s="3">
        <v>17</v>
      </c>
      <c r="L490" s="3">
        <v>30</v>
      </c>
      <c r="M490" s="3">
        <v>262</v>
      </c>
      <c r="N490" s="3">
        <v>1131</v>
      </c>
      <c r="O490" s="3">
        <v>2121</v>
      </c>
      <c r="P490" t="str">
        <f t="shared" si="14"/>
        <v>Fri</v>
      </c>
      <c r="Q490" t="str">
        <f t="shared" si="15"/>
        <v>Fairly Active</v>
      </c>
    </row>
    <row r="491" spans="1:17">
      <c r="A491">
        <v>4558609924</v>
      </c>
      <c r="B491" s="1">
        <v>42489</v>
      </c>
      <c r="C491" s="3">
        <v>7833</v>
      </c>
      <c r="D491" s="2">
        <v>5.1799998283386204</v>
      </c>
      <c r="E491" s="2">
        <v>5.1799998283386204</v>
      </c>
      <c r="F491" s="2">
        <v>0</v>
      </c>
      <c r="G491" s="2">
        <v>1.0199999809265099</v>
      </c>
      <c r="H491" s="2">
        <v>1.8500000238418599</v>
      </c>
      <c r="I491" s="2">
        <v>2.3099999427795401</v>
      </c>
      <c r="J491" s="2">
        <v>0</v>
      </c>
      <c r="K491" s="3">
        <v>15</v>
      </c>
      <c r="L491" s="3">
        <v>29</v>
      </c>
      <c r="M491" s="3">
        <v>197</v>
      </c>
      <c r="N491" s="3">
        <v>1096</v>
      </c>
      <c r="O491" s="3">
        <v>1918</v>
      </c>
      <c r="P491" t="str">
        <f t="shared" si="14"/>
        <v>Fri</v>
      </c>
      <c r="Q491" t="str">
        <f t="shared" si="15"/>
        <v>Fairly Active</v>
      </c>
    </row>
    <row r="492" spans="1:17">
      <c r="A492">
        <v>4558609924</v>
      </c>
      <c r="B492" s="1">
        <v>42492</v>
      </c>
      <c r="C492" s="3">
        <v>7891</v>
      </c>
      <c r="D492" s="2">
        <v>5.2199997901916504</v>
      </c>
      <c r="E492" s="2">
        <v>5.2199997901916504</v>
      </c>
      <c r="F492" s="2">
        <v>0</v>
      </c>
      <c r="G492" s="2">
        <v>0</v>
      </c>
      <c r="H492" s="2">
        <v>0</v>
      </c>
      <c r="I492" s="2">
        <v>5.2199997901916504</v>
      </c>
      <c r="J492" s="2">
        <v>0</v>
      </c>
      <c r="K492" s="3">
        <v>0</v>
      </c>
      <c r="L492" s="3">
        <v>0</v>
      </c>
      <c r="M492" s="3">
        <v>383</v>
      </c>
      <c r="N492" s="3">
        <v>1057</v>
      </c>
      <c r="O492" s="3">
        <v>2066</v>
      </c>
      <c r="P492" t="str">
        <f t="shared" si="14"/>
        <v>Mon</v>
      </c>
      <c r="Q492" t="str">
        <f t="shared" si="15"/>
        <v>Fairly Active</v>
      </c>
    </row>
    <row r="493" spans="1:17">
      <c r="A493">
        <v>4558609924</v>
      </c>
      <c r="B493" s="1">
        <v>42485</v>
      </c>
      <c r="C493" s="3">
        <v>8095</v>
      </c>
      <c r="D493" s="2">
        <v>5.3499999046325701</v>
      </c>
      <c r="E493" s="2">
        <v>5.3499999046325701</v>
      </c>
      <c r="F493" s="2">
        <v>0</v>
      </c>
      <c r="G493" s="2">
        <v>0.58999997377395597</v>
      </c>
      <c r="H493" s="2">
        <v>0.25</v>
      </c>
      <c r="I493" s="2">
        <v>4.5100002288818404</v>
      </c>
      <c r="J493" s="2">
        <v>0</v>
      </c>
      <c r="K493" s="3">
        <v>18</v>
      </c>
      <c r="L493" s="3">
        <v>10</v>
      </c>
      <c r="M493" s="3">
        <v>340</v>
      </c>
      <c r="N493" s="3">
        <v>993</v>
      </c>
      <c r="O493" s="3">
        <v>2225</v>
      </c>
      <c r="P493" t="str">
        <f t="shared" si="14"/>
        <v>Mon</v>
      </c>
      <c r="Q493" t="str">
        <f t="shared" si="15"/>
        <v>Fairly Active</v>
      </c>
    </row>
    <row r="494" spans="1:17">
      <c r="A494">
        <v>4558609924</v>
      </c>
      <c r="B494" s="1">
        <v>42497</v>
      </c>
      <c r="C494" s="3">
        <v>8237</v>
      </c>
      <c r="D494" s="2">
        <v>5.4400000572204599</v>
      </c>
      <c r="E494" s="2">
        <v>5.4400000572204599</v>
      </c>
      <c r="F494" s="2">
        <v>0</v>
      </c>
      <c r="G494" s="2">
        <v>1.6100000143051101</v>
      </c>
      <c r="H494" s="2">
        <v>1</v>
      </c>
      <c r="I494" s="2">
        <v>2.8299999237060498</v>
      </c>
      <c r="J494" s="2">
        <v>0</v>
      </c>
      <c r="K494" s="3">
        <v>23</v>
      </c>
      <c r="L494" s="3">
        <v>16</v>
      </c>
      <c r="M494" s="3">
        <v>233</v>
      </c>
      <c r="N494" s="3">
        <v>1116</v>
      </c>
      <c r="O494" s="3">
        <v>1973</v>
      </c>
      <c r="P494" t="str">
        <f t="shared" si="14"/>
        <v>Sat</v>
      </c>
      <c r="Q494" t="str">
        <f t="shared" si="15"/>
        <v>Fairly Active</v>
      </c>
    </row>
    <row r="495" spans="1:17">
      <c r="A495">
        <v>4558609924</v>
      </c>
      <c r="B495" s="1">
        <v>42484</v>
      </c>
      <c r="C495" s="3">
        <v>8563</v>
      </c>
      <c r="D495" s="2">
        <v>5.6599998474121103</v>
      </c>
      <c r="E495" s="2">
        <v>5.6599998474121103</v>
      </c>
      <c r="F495" s="2">
        <v>0</v>
      </c>
      <c r="G495" s="2">
        <v>0</v>
      </c>
      <c r="H495" s="2">
        <v>0</v>
      </c>
      <c r="I495" s="2">
        <v>5.6500000953674299</v>
      </c>
      <c r="J495" s="2">
        <v>0</v>
      </c>
      <c r="K495" s="3">
        <v>0</v>
      </c>
      <c r="L495" s="3">
        <v>0</v>
      </c>
      <c r="M495" s="3">
        <v>395</v>
      </c>
      <c r="N495" s="3">
        <v>1045</v>
      </c>
      <c r="O495" s="3">
        <v>2173</v>
      </c>
      <c r="P495" t="str">
        <f t="shared" si="14"/>
        <v>Sun</v>
      </c>
      <c r="Q495" t="str">
        <f t="shared" si="15"/>
        <v>Fairly Active</v>
      </c>
    </row>
    <row r="496" spans="1:17">
      <c r="A496">
        <v>4558609924</v>
      </c>
      <c r="B496" s="1">
        <v>42478</v>
      </c>
      <c r="C496" s="3">
        <v>8940</v>
      </c>
      <c r="D496" s="2">
        <v>5.9099998474121103</v>
      </c>
      <c r="E496" s="2">
        <v>5.9099998474121103</v>
      </c>
      <c r="F496" s="2">
        <v>0</v>
      </c>
      <c r="G496" s="2">
        <v>0.980000019073486</v>
      </c>
      <c r="H496" s="2">
        <v>0.93000000715255704</v>
      </c>
      <c r="I496" s="2">
        <v>4</v>
      </c>
      <c r="J496" s="2">
        <v>0</v>
      </c>
      <c r="K496" s="3">
        <v>14</v>
      </c>
      <c r="L496" s="3">
        <v>15</v>
      </c>
      <c r="M496" s="3">
        <v>331</v>
      </c>
      <c r="N496" s="3">
        <v>1080</v>
      </c>
      <c r="O496" s="3">
        <v>2116</v>
      </c>
      <c r="P496" t="str">
        <f t="shared" si="14"/>
        <v>Mon</v>
      </c>
      <c r="Q496" t="str">
        <f t="shared" si="15"/>
        <v>Fairly Active</v>
      </c>
    </row>
    <row r="497" spans="1:17">
      <c r="A497">
        <v>4558609924</v>
      </c>
      <c r="B497" s="1">
        <v>42501</v>
      </c>
      <c r="C497" s="3">
        <v>9108</v>
      </c>
      <c r="D497" s="2">
        <v>6.0199999809265101</v>
      </c>
      <c r="E497" s="2">
        <v>6.0199999809265101</v>
      </c>
      <c r="F497" s="2">
        <v>0</v>
      </c>
      <c r="G497" s="2">
        <v>0.259999990463257</v>
      </c>
      <c r="H497" s="2">
        <v>1.8200000524520901</v>
      </c>
      <c r="I497" s="2">
        <v>3.9400000572204599</v>
      </c>
      <c r="J497" s="2">
        <v>0</v>
      </c>
      <c r="K497" s="3">
        <v>4</v>
      </c>
      <c r="L497" s="3">
        <v>31</v>
      </c>
      <c r="M497" s="3">
        <v>324</v>
      </c>
      <c r="N497" s="3">
        <v>1081</v>
      </c>
      <c r="O497" s="3">
        <v>2131</v>
      </c>
      <c r="P497" t="str">
        <f t="shared" si="14"/>
        <v>Wed</v>
      </c>
      <c r="Q497" t="str">
        <f t="shared" si="15"/>
        <v>Fairly Active</v>
      </c>
    </row>
    <row r="498" spans="1:17">
      <c r="A498">
        <v>4558609924</v>
      </c>
      <c r="B498" s="1">
        <v>42486</v>
      </c>
      <c r="C498" s="3">
        <v>9148</v>
      </c>
      <c r="D498" s="2">
        <v>6.0500001907348597</v>
      </c>
      <c r="E498" s="2">
        <v>6.0500001907348597</v>
      </c>
      <c r="F498" s="2">
        <v>0</v>
      </c>
      <c r="G498" s="2">
        <v>0.43000000715255698</v>
      </c>
      <c r="H498" s="2">
        <v>2.0299999713897701</v>
      </c>
      <c r="I498" s="2">
        <v>3.5899999141693102</v>
      </c>
      <c r="J498" s="2">
        <v>0</v>
      </c>
      <c r="K498" s="3">
        <v>12</v>
      </c>
      <c r="L498" s="3">
        <v>41</v>
      </c>
      <c r="M498" s="3">
        <v>283</v>
      </c>
      <c r="N498" s="3">
        <v>1062</v>
      </c>
      <c r="O498" s="3">
        <v>2223</v>
      </c>
      <c r="P498" t="str">
        <f t="shared" si="14"/>
        <v>Tue</v>
      </c>
      <c r="Q498" t="str">
        <f t="shared" si="15"/>
        <v>Fairly Active</v>
      </c>
    </row>
    <row r="499" spans="1:17">
      <c r="A499">
        <v>4558609924</v>
      </c>
      <c r="B499" s="1">
        <v>42488</v>
      </c>
      <c r="C499" s="3">
        <v>9451</v>
      </c>
      <c r="D499" s="2">
        <v>6.25</v>
      </c>
      <c r="E499" s="2">
        <v>6.25</v>
      </c>
      <c r="F499" s="2">
        <v>0</v>
      </c>
      <c r="G499" s="2">
        <v>1.9999999552965199E-2</v>
      </c>
      <c r="H499" s="2">
        <v>0.270000010728836</v>
      </c>
      <c r="I499" s="2">
        <v>5.9499998092651403</v>
      </c>
      <c r="J499" s="2">
        <v>0</v>
      </c>
      <c r="K499" s="3">
        <v>1</v>
      </c>
      <c r="L499" s="3">
        <v>11</v>
      </c>
      <c r="M499" s="3">
        <v>367</v>
      </c>
      <c r="N499" s="3">
        <v>985</v>
      </c>
      <c r="O499" s="3">
        <v>2185</v>
      </c>
      <c r="P499" t="str">
        <f t="shared" si="14"/>
        <v>Thu</v>
      </c>
      <c r="Q499" t="str">
        <f t="shared" si="15"/>
        <v>Fairly Active</v>
      </c>
    </row>
    <row r="500" spans="1:17">
      <c r="A500">
        <v>4558609924</v>
      </c>
      <c r="B500" s="1">
        <v>42487</v>
      </c>
      <c r="C500" s="3">
        <v>9557</v>
      </c>
      <c r="D500" s="2">
        <v>6.3200001716613796</v>
      </c>
      <c r="E500" s="2">
        <v>6.3200001716613796</v>
      </c>
      <c r="F500" s="2">
        <v>0</v>
      </c>
      <c r="G500" s="2">
        <v>1.96000003814697</v>
      </c>
      <c r="H500" s="2">
        <v>0.88999998569488503</v>
      </c>
      <c r="I500" s="2">
        <v>3.46000003814697</v>
      </c>
      <c r="J500" s="2">
        <v>0</v>
      </c>
      <c r="K500" s="3">
        <v>27</v>
      </c>
      <c r="L500" s="3">
        <v>14</v>
      </c>
      <c r="M500" s="3">
        <v>312</v>
      </c>
      <c r="N500" s="3">
        <v>1087</v>
      </c>
      <c r="O500" s="3">
        <v>2098</v>
      </c>
      <c r="P500" t="str">
        <f t="shared" si="14"/>
        <v>Wed</v>
      </c>
      <c r="Q500" t="str">
        <f t="shared" si="15"/>
        <v>Fairly Active</v>
      </c>
    </row>
    <row r="501" spans="1:17">
      <c r="A501">
        <v>4558609924</v>
      </c>
      <c r="B501" s="1">
        <v>42482</v>
      </c>
      <c r="C501" s="3">
        <v>9601</v>
      </c>
      <c r="D501" s="2">
        <v>6.3499999046325701</v>
      </c>
      <c r="E501" s="2">
        <v>6.3499999046325701</v>
      </c>
      <c r="F501" s="2">
        <v>0</v>
      </c>
      <c r="G501" s="2">
        <v>1.37000000476837</v>
      </c>
      <c r="H501" s="2">
        <v>1.5</v>
      </c>
      <c r="I501" s="2">
        <v>3.4700000286102299</v>
      </c>
      <c r="J501" s="2">
        <v>0</v>
      </c>
      <c r="K501" s="3">
        <v>20</v>
      </c>
      <c r="L501" s="3">
        <v>25</v>
      </c>
      <c r="M501" s="3">
        <v>273</v>
      </c>
      <c r="N501" s="3">
        <v>1122</v>
      </c>
      <c r="O501" s="3">
        <v>2094</v>
      </c>
      <c r="P501" t="str">
        <f t="shared" si="14"/>
        <v>Fri</v>
      </c>
      <c r="Q501" t="str">
        <f t="shared" si="15"/>
        <v>Fairly Active</v>
      </c>
    </row>
    <row r="502" spans="1:17">
      <c r="A502">
        <v>4558609924</v>
      </c>
      <c r="B502" s="1">
        <v>42477</v>
      </c>
      <c r="C502" s="3">
        <v>9634</v>
      </c>
      <c r="D502" s="2">
        <v>6.4000000953674299</v>
      </c>
      <c r="E502" s="2">
        <v>6.4000000953674299</v>
      </c>
      <c r="F502" s="2">
        <v>0</v>
      </c>
      <c r="G502" s="2">
        <v>0.55000001192092896</v>
      </c>
      <c r="H502" s="2">
        <v>1.1399999856948899</v>
      </c>
      <c r="I502" s="2">
        <v>4.71000003814697</v>
      </c>
      <c r="J502" s="2">
        <v>0</v>
      </c>
      <c r="K502" s="3">
        <v>7</v>
      </c>
      <c r="L502" s="3">
        <v>19</v>
      </c>
      <c r="M502" s="3">
        <v>304</v>
      </c>
      <c r="N502" s="3">
        <v>1110</v>
      </c>
      <c r="O502" s="3">
        <v>2117</v>
      </c>
      <c r="P502" t="str">
        <f t="shared" si="14"/>
        <v>Sun</v>
      </c>
      <c r="Q502" t="str">
        <f t="shared" si="15"/>
        <v>Fairly Active</v>
      </c>
    </row>
    <row r="503" spans="1:17">
      <c r="A503">
        <v>4558609924</v>
      </c>
      <c r="B503" s="1">
        <v>42490</v>
      </c>
      <c r="C503" s="3">
        <v>10319</v>
      </c>
      <c r="D503" s="2">
        <v>6.8200001716613796</v>
      </c>
      <c r="E503" s="2">
        <v>6.8200001716613796</v>
      </c>
      <c r="F503" s="2">
        <v>0</v>
      </c>
      <c r="G503" s="2">
        <v>0.46999999880790699</v>
      </c>
      <c r="H503" s="2">
        <v>1.8899999856948899</v>
      </c>
      <c r="I503" s="2">
        <v>4.46000003814697</v>
      </c>
      <c r="J503" s="2">
        <v>0</v>
      </c>
      <c r="K503" s="3">
        <v>7</v>
      </c>
      <c r="L503" s="3">
        <v>29</v>
      </c>
      <c r="M503" s="3">
        <v>293</v>
      </c>
      <c r="N503" s="3">
        <v>1111</v>
      </c>
      <c r="O503" s="3">
        <v>2105</v>
      </c>
      <c r="P503" t="str">
        <f t="shared" si="14"/>
        <v>Sat</v>
      </c>
      <c r="Q503" t="str">
        <f t="shared" si="15"/>
        <v>Vey Active</v>
      </c>
    </row>
    <row r="504" spans="1:17">
      <c r="A504">
        <v>4558609924</v>
      </c>
      <c r="B504" s="1">
        <v>42495</v>
      </c>
      <c r="C504" s="3">
        <v>10611</v>
      </c>
      <c r="D504" s="2">
        <v>7.0100002288818404</v>
      </c>
      <c r="E504" s="2">
        <v>7.0100002288818404</v>
      </c>
      <c r="F504" s="2">
        <v>0</v>
      </c>
      <c r="G504" s="2">
        <v>1.0099999904632599</v>
      </c>
      <c r="H504" s="2">
        <v>0.5</v>
      </c>
      <c r="I504" s="2">
        <v>5.5100002288818404</v>
      </c>
      <c r="J504" s="2">
        <v>0</v>
      </c>
      <c r="K504" s="3">
        <v>14</v>
      </c>
      <c r="L504" s="3">
        <v>8</v>
      </c>
      <c r="M504" s="3">
        <v>370</v>
      </c>
      <c r="N504" s="3">
        <v>1048</v>
      </c>
      <c r="O504" s="3">
        <v>2262</v>
      </c>
      <c r="P504" t="str">
        <f t="shared" si="14"/>
        <v>Thu</v>
      </c>
      <c r="Q504" t="str">
        <f t="shared" si="15"/>
        <v>Vey Active</v>
      </c>
    </row>
    <row r="505" spans="1:17">
      <c r="A505">
        <v>4558609924</v>
      </c>
      <c r="B505" s="1">
        <v>42499</v>
      </c>
      <c r="C505" s="3">
        <v>11451</v>
      </c>
      <c r="D505" s="2">
        <v>7.5700001716613796</v>
      </c>
      <c r="E505" s="2">
        <v>7.5700001716613796</v>
      </c>
      <c r="F505" s="2">
        <v>0</v>
      </c>
      <c r="G505" s="2">
        <v>0.43000000715255698</v>
      </c>
      <c r="H505" s="2">
        <v>1.62000000476837</v>
      </c>
      <c r="I505" s="2">
        <v>5.5199999809265101</v>
      </c>
      <c r="J505" s="2">
        <v>0</v>
      </c>
      <c r="K505" s="3">
        <v>6</v>
      </c>
      <c r="L505" s="3">
        <v>30</v>
      </c>
      <c r="M505" s="3">
        <v>339</v>
      </c>
      <c r="N505" s="3">
        <v>1065</v>
      </c>
      <c r="O505" s="3">
        <v>2223</v>
      </c>
      <c r="P505" t="str">
        <f t="shared" si="14"/>
        <v>Mon</v>
      </c>
      <c r="Q505" t="str">
        <f t="shared" si="15"/>
        <v>Vey Active</v>
      </c>
    </row>
    <row r="506" spans="1:17">
      <c r="A506">
        <v>4558609924</v>
      </c>
      <c r="B506" s="1">
        <v>42481</v>
      </c>
      <c r="C506" s="3">
        <v>13743</v>
      </c>
      <c r="D506" s="2">
        <v>9.0799999237060494</v>
      </c>
      <c r="E506" s="2">
        <v>9.0799999237060494</v>
      </c>
      <c r="F506" s="2">
        <v>0</v>
      </c>
      <c r="G506" s="2">
        <v>0.41999998688697798</v>
      </c>
      <c r="H506" s="2">
        <v>0.97000002861022905</v>
      </c>
      <c r="I506" s="2">
        <v>7.6999998092651403</v>
      </c>
      <c r="J506" s="2">
        <v>0</v>
      </c>
      <c r="K506" s="3">
        <v>6</v>
      </c>
      <c r="L506" s="3">
        <v>21</v>
      </c>
      <c r="M506" s="3">
        <v>432</v>
      </c>
      <c r="N506" s="3">
        <v>844</v>
      </c>
      <c r="O506" s="3">
        <v>2486</v>
      </c>
      <c r="P506" t="str">
        <f t="shared" si="14"/>
        <v>Thu</v>
      </c>
      <c r="Q506" t="str">
        <f t="shared" si="15"/>
        <v>Vey Active</v>
      </c>
    </row>
    <row r="507" spans="1:17">
      <c r="A507">
        <v>4702921684</v>
      </c>
      <c r="B507" s="1">
        <v>42491</v>
      </c>
      <c r="C507" s="3">
        <v>0</v>
      </c>
      <c r="D507" s="2">
        <v>0</v>
      </c>
      <c r="E507" s="2">
        <v>0</v>
      </c>
      <c r="F507" s="2">
        <v>0</v>
      </c>
      <c r="G507" s="2">
        <v>0</v>
      </c>
      <c r="H507" s="2">
        <v>0</v>
      </c>
      <c r="I507" s="2">
        <v>0</v>
      </c>
      <c r="J507" s="2">
        <v>0</v>
      </c>
      <c r="K507" s="3">
        <v>0</v>
      </c>
      <c r="L507" s="3">
        <v>0</v>
      </c>
      <c r="M507" s="3">
        <v>0</v>
      </c>
      <c r="N507" s="3">
        <v>1440</v>
      </c>
      <c r="O507" s="3">
        <v>2017</v>
      </c>
      <c r="P507" t="str">
        <f t="shared" si="14"/>
        <v>Sun</v>
      </c>
      <c r="Q507" t="str">
        <f t="shared" si="15"/>
        <v>Sedentary</v>
      </c>
    </row>
    <row r="508" spans="1:17">
      <c r="A508">
        <v>4702921684</v>
      </c>
      <c r="B508" s="1">
        <v>42482</v>
      </c>
      <c r="C508" s="3">
        <v>1664</v>
      </c>
      <c r="D508" s="2">
        <v>1.3500000238418599</v>
      </c>
      <c r="E508" s="2">
        <v>1.3500000238418599</v>
      </c>
      <c r="F508" s="2">
        <v>0</v>
      </c>
      <c r="G508" s="2">
        <v>0</v>
      </c>
      <c r="H508" s="2">
        <v>0</v>
      </c>
      <c r="I508" s="2">
        <v>1.3500000238418599</v>
      </c>
      <c r="J508" s="2">
        <v>0</v>
      </c>
      <c r="K508" s="3">
        <v>0</v>
      </c>
      <c r="L508" s="3">
        <v>0</v>
      </c>
      <c r="M508" s="3">
        <v>72</v>
      </c>
      <c r="N508" s="3">
        <v>1341</v>
      </c>
      <c r="O508" s="3">
        <v>2241</v>
      </c>
      <c r="P508" t="str">
        <f t="shared" si="14"/>
        <v>Fri</v>
      </c>
      <c r="Q508" t="str">
        <f t="shared" si="15"/>
        <v>Sedentary</v>
      </c>
    </row>
    <row r="509" spans="1:17">
      <c r="A509">
        <v>4702921684</v>
      </c>
      <c r="B509" s="1">
        <v>42502</v>
      </c>
      <c r="C509" s="3">
        <v>2752</v>
      </c>
      <c r="D509" s="2">
        <v>2.2300000190734899</v>
      </c>
      <c r="E509" s="2">
        <v>2.2300000190734899</v>
      </c>
      <c r="F509" s="2">
        <v>0</v>
      </c>
      <c r="G509" s="2">
        <v>0</v>
      </c>
      <c r="H509" s="2">
        <v>0</v>
      </c>
      <c r="I509" s="2">
        <v>2.2300000190734899</v>
      </c>
      <c r="J509" s="2">
        <v>0</v>
      </c>
      <c r="K509" s="3">
        <v>0</v>
      </c>
      <c r="L509" s="3">
        <v>0</v>
      </c>
      <c r="M509" s="3">
        <v>68</v>
      </c>
      <c r="N509" s="3">
        <v>241</v>
      </c>
      <c r="O509" s="3">
        <v>1240</v>
      </c>
      <c r="P509" t="str">
        <f t="shared" si="14"/>
        <v>Thu</v>
      </c>
      <c r="Q509" t="str">
        <f t="shared" si="15"/>
        <v>Sedentary</v>
      </c>
    </row>
    <row r="510" spans="1:17">
      <c r="A510">
        <v>4702921684</v>
      </c>
      <c r="B510" s="1">
        <v>42486</v>
      </c>
      <c r="C510" s="3">
        <v>6108</v>
      </c>
      <c r="D510" s="2">
        <v>4.9499998092651403</v>
      </c>
      <c r="E510" s="2">
        <v>4.9499998092651403</v>
      </c>
      <c r="F510" s="2">
        <v>0</v>
      </c>
      <c r="G510" s="2">
        <v>7.0000000298023196E-2</v>
      </c>
      <c r="H510" s="2">
        <v>0.34999999403953602</v>
      </c>
      <c r="I510" s="2">
        <v>4.53999996185303</v>
      </c>
      <c r="J510" s="2">
        <v>0</v>
      </c>
      <c r="K510" s="3">
        <v>1</v>
      </c>
      <c r="L510" s="3">
        <v>8</v>
      </c>
      <c r="M510" s="3">
        <v>216</v>
      </c>
      <c r="N510" s="3">
        <v>765</v>
      </c>
      <c r="O510" s="3">
        <v>2784</v>
      </c>
      <c r="P510" t="str">
        <f t="shared" si="14"/>
        <v>Tue</v>
      </c>
      <c r="Q510" t="str">
        <f t="shared" si="15"/>
        <v>Lightly Active</v>
      </c>
    </row>
    <row r="511" spans="1:17">
      <c r="A511">
        <v>4702921684</v>
      </c>
      <c r="B511" s="1">
        <v>42475</v>
      </c>
      <c r="C511" s="3">
        <v>6506</v>
      </c>
      <c r="D511" s="2">
        <v>5.2800002098083496</v>
      </c>
      <c r="E511" s="2">
        <v>5.2800002098083496</v>
      </c>
      <c r="F511" s="2">
        <v>0</v>
      </c>
      <c r="G511" s="2">
        <v>7.0000000298023196E-2</v>
      </c>
      <c r="H511" s="2">
        <v>0.41999998688697798</v>
      </c>
      <c r="I511" s="2">
        <v>4.78999996185303</v>
      </c>
      <c r="J511" s="2">
        <v>0</v>
      </c>
      <c r="K511" s="3">
        <v>1</v>
      </c>
      <c r="L511" s="3">
        <v>8</v>
      </c>
      <c r="M511" s="3">
        <v>256</v>
      </c>
      <c r="N511" s="3">
        <v>944</v>
      </c>
      <c r="O511" s="3">
        <v>2896</v>
      </c>
      <c r="P511" t="str">
        <f t="shared" si="14"/>
        <v>Fri</v>
      </c>
      <c r="Q511" t="str">
        <f t="shared" si="15"/>
        <v>Lightly Active</v>
      </c>
    </row>
    <row r="512" spans="1:17">
      <c r="A512">
        <v>4702921684</v>
      </c>
      <c r="B512" s="1">
        <v>42481</v>
      </c>
      <c r="C512" s="3">
        <v>6530</v>
      </c>
      <c r="D512" s="2">
        <v>5.3000001907348597</v>
      </c>
      <c r="E512" s="2">
        <v>5.3000001907348597</v>
      </c>
      <c r="F512" s="2">
        <v>0</v>
      </c>
      <c r="G512" s="2">
        <v>0.31000000238418601</v>
      </c>
      <c r="H512" s="2">
        <v>2.0499999523162802</v>
      </c>
      <c r="I512" s="2">
        <v>2.9400000572204599</v>
      </c>
      <c r="J512" s="2">
        <v>0</v>
      </c>
      <c r="K512" s="3">
        <v>4</v>
      </c>
      <c r="L512" s="3">
        <v>41</v>
      </c>
      <c r="M512" s="3">
        <v>144</v>
      </c>
      <c r="N512" s="3">
        <v>901</v>
      </c>
      <c r="O512" s="3">
        <v>2729</v>
      </c>
      <c r="P512" t="str">
        <f t="shared" si="14"/>
        <v>Thu</v>
      </c>
      <c r="Q512" t="str">
        <f t="shared" si="15"/>
        <v>Lightly Active</v>
      </c>
    </row>
    <row r="513" spans="1:17">
      <c r="A513">
        <v>4702921684</v>
      </c>
      <c r="B513" s="1">
        <v>42479</v>
      </c>
      <c r="C513" s="3">
        <v>6708</v>
      </c>
      <c r="D513" s="2">
        <v>5.4400000572204599</v>
      </c>
      <c r="E513" s="2">
        <v>5.4400000572204599</v>
      </c>
      <c r="F513" s="2">
        <v>0</v>
      </c>
      <c r="G513" s="2">
        <v>0.87999999523162797</v>
      </c>
      <c r="H513" s="2">
        <v>0.37000000476837203</v>
      </c>
      <c r="I513" s="2">
        <v>4.1900000572204599</v>
      </c>
      <c r="J513" s="2">
        <v>0</v>
      </c>
      <c r="K513" s="3">
        <v>10</v>
      </c>
      <c r="L513" s="3">
        <v>8</v>
      </c>
      <c r="M513" s="3">
        <v>179</v>
      </c>
      <c r="N513" s="3">
        <v>757</v>
      </c>
      <c r="O513" s="3">
        <v>2812</v>
      </c>
      <c r="P513" t="str">
        <f t="shared" si="14"/>
        <v>Tue</v>
      </c>
      <c r="Q513" t="str">
        <f t="shared" si="15"/>
        <v>Lightly Active</v>
      </c>
    </row>
    <row r="514" spans="1:17">
      <c r="A514">
        <v>4702921684</v>
      </c>
      <c r="B514" s="1">
        <v>42473</v>
      </c>
      <c r="C514" s="3">
        <v>6877</v>
      </c>
      <c r="D514" s="2">
        <v>5.5799999237060502</v>
      </c>
      <c r="E514" s="2">
        <v>5.5799999237060502</v>
      </c>
      <c r="F514" s="2">
        <v>0</v>
      </c>
      <c r="G514" s="2">
        <v>0</v>
      </c>
      <c r="H514" s="2">
        <v>0</v>
      </c>
      <c r="I514" s="2">
        <v>5.5799999237060502</v>
      </c>
      <c r="J514" s="2">
        <v>0</v>
      </c>
      <c r="K514" s="3">
        <v>0</v>
      </c>
      <c r="L514" s="3">
        <v>0</v>
      </c>
      <c r="M514" s="3">
        <v>258</v>
      </c>
      <c r="N514" s="3">
        <v>777</v>
      </c>
      <c r="O514" s="3">
        <v>2898</v>
      </c>
      <c r="P514" t="str">
        <f t="shared" ref="P514:P577" si="16">TEXT(B514, "ddd")</f>
        <v>Wed</v>
      </c>
      <c r="Q514" t="str">
        <f t="shared" ref="Q514:Q577" si="17">IF(C514&lt;5000, "Sedentary", IF(C514&lt;7500, "Lightly Active",IF(C514&lt;10000, "Fairly Active", "Vey Active")))</f>
        <v>Lightly Active</v>
      </c>
    </row>
    <row r="515" spans="1:17">
      <c r="A515">
        <v>4702921684</v>
      </c>
      <c r="B515" s="1">
        <v>42496</v>
      </c>
      <c r="C515" s="3">
        <v>6943</v>
      </c>
      <c r="D515" s="2">
        <v>5.6300001144409197</v>
      </c>
      <c r="E515" s="2">
        <v>5.6300001144409197</v>
      </c>
      <c r="F515" s="2">
        <v>0</v>
      </c>
      <c r="G515" s="2">
        <v>7.9999998211860698E-2</v>
      </c>
      <c r="H515" s="2">
        <v>0.66000002622604403</v>
      </c>
      <c r="I515" s="2">
        <v>4.8699998855590803</v>
      </c>
      <c r="J515" s="2">
        <v>0</v>
      </c>
      <c r="K515" s="3">
        <v>1</v>
      </c>
      <c r="L515" s="3">
        <v>16</v>
      </c>
      <c r="M515" s="3">
        <v>207</v>
      </c>
      <c r="N515" s="3">
        <v>682</v>
      </c>
      <c r="O515" s="3">
        <v>2859</v>
      </c>
      <c r="P515" t="str">
        <f t="shared" si="16"/>
        <v>Fri</v>
      </c>
      <c r="Q515" t="str">
        <f t="shared" si="17"/>
        <v>Lightly Active</v>
      </c>
    </row>
    <row r="516" spans="1:17">
      <c r="A516">
        <v>4702921684</v>
      </c>
      <c r="B516" s="1">
        <v>42487</v>
      </c>
      <c r="C516" s="3">
        <v>7047</v>
      </c>
      <c r="D516" s="2">
        <v>5.7199997901916504</v>
      </c>
      <c r="E516" s="2">
        <v>5.7199997901916504</v>
      </c>
      <c r="F516" s="2">
        <v>0</v>
      </c>
      <c r="G516" s="2">
        <v>9.00000035762787E-2</v>
      </c>
      <c r="H516" s="2">
        <v>0.80000001192092896</v>
      </c>
      <c r="I516" s="2">
        <v>4.7800002098083496</v>
      </c>
      <c r="J516" s="2">
        <v>0</v>
      </c>
      <c r="K516" s="3">
        <v>1</v>
      </c>
      <c r="L516" s="3">
        <v>16</v>
      </c>
      <c r="M516" s="3">
        <v>238</v>
      </c>
      <c r="N516" s="3">
        <v>733</v>
      </c>
      <c r="O516" s="3">
        <v>2908</v>
      </c>
      <c r="P516" t="str">
        <f t="shared" si="16"/>
        <v>Wed</v>
      </c>
      <c r="Q516" t="str">
        <f t="shared" si="17"/>
        <v>Lightly Active</v>
      </c>
    </row>
    <row r="517" spans="1:17">
      <c r="A517">
        <v>4702921684</v>
      </c>
      <c r="B517" s="1">
        <v>42472</v>
      </c>
      <c r="C517" s="3">
        <v>7213</v>
      </c>
      <c r="D517" s="2">
        <v>5.8800001144409197</v>
      </c>
      <c r="E517" s="2">
        <v>5.8800001144409197</v>
      </c>
      <c r="F517" s="2">
        <v>0</v>
      </c>
      <c r="G517" s="2">
        <v>0</v>
      </c>
      <c r="H517" s="2">
        <v>0</v>
      </c>
      <c r="I517" s="2">
        <v>5.8499999046325701</v>
      </c>
      <c r="J517" s="2">
        <v>0</v>
      </c>
      <c r="K517" s="3">
        <v>0</v>
      </c>
      <c r="L517" s="3">
        <v>0</v>
      </c>
      <c r="M517" s="3">
        <v>263</v>
      </c>
      <c r="N517" s="3">
        <v>718</v>
      </c>
      <c r="O517" s="3">
        <v>2947</v>
      </c>
      <c r="P517" t="str">
        <f t="shared" si="16"/>
        <v>Tue</v>
      </c>
      <c r="Q517" t="str">
        <f t="shared" si="17"/>
        <v>Lightly Active</v>
      </c>
    </row>
    <row r="518" spans="1:17">
      <c r="A518">
        <v>4702921684</v>
      </c>
      <c r="B518" s="1">
        <v>42492</v>
      </c>
      <c r="C518" s="3">
        <v>7245</v>
      </c>
      <c r="D518" s="2">
        <v>5.9200000762939498</v>
      </c>
      <c r="E518" s="2">
        <v>5.9200000762939498</v>
      </c>
      <c r="F518" s="2">
        <v>0</v>
      </c>
      <c r="G518" s="2">
        <v>0.37999999523162797</v>
      </c>
      <c r="H518" s="2">
        <v>1.7400000095367401</v>
      </c>
      <c r="I518" s="2">
        <v>3.7599999904632599</v>
      </c>
      <c r="J518" s="2">
        <v>0</v>
      </c>
      <c r="K518" s="3">
        <v>5</v>
      </c>
      <c r="L518" s="3">
        <v>40</v>
      </c>
      <c r="M518" s="3">
        <v>195</v>
      </c>
      <c r="N518" s="3">
        <v>1131</v>
      </c>
      <c r="O518" s="3">
        <v>2859</v>
      </c>
      <c r="P518" t="str">
        <f t="shared" si="16"/>
        <v>Mon</v>
      </c>
      <c r="Q518" t="str">
        <f t="shared" si="17"/>
        <v>Lightly Active</v>
      </c>
    </row>
    <row r="519" spans="1:17">
      <c r="A519">
        <v>4702921684</v>
      </c>
      <c r="B519" s="1">
        <v>42474</v>
      </c>
      <c r="C519" s="3">
        <v>7860</v>
      </c>
      <c r="D519" s="2">
        <v>6.3699998855590803</v>
      </c>
      <c r="E519" s="2">
        <v>6.3699998855590803</v>
      </c>
      <c r="F519" s="2">
        <v>0</v>
      </c>
      <c r="G519" s="2">
        <v>0</v>
      </c>
      <c r="H519" s="2">
        <v>0</v>
      </c>
      <c r="I519" s="2">
        <v>6.3699998855590803</v>
      </c>
      <c r="J519" s="2">
        <v>0</v>
      </c>
      <c r="K519" s="3">
        <v>0</v>
      </c>
      <c r="L519" s="3">
        <v>0</v>
      </c>
      <c r="M519" s="3">
        <v>271</v>
      </c>
      <c r="N519" s="3">
        <v>772</v>
      </c>
      <c r="O519" s="3">
        <v>2984</v>
      </c>
      <c r="P519" t="str">
        <f t="shared" si="16"/>
        <v>Thu</v>
      </c>
      <c r="Q519" t="str">
        <f t="shared" si="17"/>
        <v>Fairly Active</v>
      </c>
    </row>
    <row r="520" spans="1:17">
      <c r="A520">
        <v>4702921684</v>
      </c>
      <c r="B520" s="1">
        <v>42494</v>
      </c>
      <c r="C520" s="3">
        <v>8161</v>
      </c>
      <c r="D520" s="2">
        <v>6.6199998855590803</v>
      </c>
      <c r="E520" s="2">
        <v>6.6199998855590803</v>
      </c>
      <c r="F520" s="2">
        <v>0</v>
      </c>
      <c r="G520" s="2">
        <v>0.34000000357627902</v>
      </c>
      <c r="H520" s="2">
        <v>0.730000019073486</v>
      </c>
      <c r="I520" s="2">
        <v>5.53999996185303</v>
      </c>
      <c r="J520" s="2">
        <v>0</v>
      </c>
      <c r="K520" s="3">
        <v>4</v>
      </c>
      <c r="L520" s="3">
        <v>15</v>
      </c>
      <c r="M520" s="3">
        <v>251</v>
      </c>
      <c r="N520" s="3">
        <v>757</v>
      </c>
      <c r="O520" s="3">
        <v>3004</v>
      </c>
      <c r="P520" t="str">
        <f t="shared" si="16"/>
        <v>Wed</v>
      </c>
      <c r="Q520" t="str">
        <f t="shared" si="17"/>
        <v>Fairly Active</v>
      </c>
    </row>
    <row r="521" spans="1:17">
      <c r="A521">
        <v>4702921684</v>
      </c>
      <c r="B521" s="1">
        <v>42499</v>
      </c>
      <c r="C521" s="3">
        <v>8232</v>
      </c>
      <c r="D521" s="2">
        <v>6.6799998283386204</v>
      </c>
      <c r="E521" s="2">
        <v>6.6799998283386204</v>
      </c>
      <c r="F521" s="2">
        <v>0</v>
      </c>
      <c r="G521" s="2">
        <v>0</v>
      </c>
      <c r="H521" s="2">
        <v>0.56999999284744296</v>
      </c>
      <c r="I521" s="2">
        <v>6.0999999046325701</v>
      </c>
      <c r="J521" s="2">
        <v>0</v>
      </c>
      <c r="K521" s="3">
        <v>0</v>
      </c>
      <c r="L521" s="3">
        <v>12</v>
      </c>
      <c r="M521" s="3">
        <v>253</v>
      </c>
      <c r="N521" s="3">
        <v>746</v>
      </c>
      <c r="O521" s="3">
        <v>2990</v>
      </c>
      <c r="P521" t="str">
        <f t="shared" si="16"/>
        <v>Mon</v>
      </c>
      <c r="Q521" t="str">
        <f t="shared" si="17"/>
        <v>Fairly Active</v>
      </c>
    </row>
    <row r="522" spans="1:17">
      <c r="A522">
        <v>4702921684</v>
      </c>
      <c r="B522" s="1">
        <v>42495</v>
      </c>
      <c r="C522" s="3">
        <v>8614</v>
      </c>
      <c r="D522" s="2">
        <v>6.9899997711181596</v>
      </c>
      <c r="E522" s="2">
        <v>6.9899997711181596</v>
      </c>
      <c r="F522" s="2">
        <v>0</v>
      </c>
      <c r="G522" s="2">
        <v>0.67000001668930098</v>
      </c>
      <c r="H522" s="2">
        <v>0.21999999880790699</v>
      </c>
      <c r="I522" s="2">
        <v>6.0900001525878897</v>
      </c>
      <c r="J522" s="2">
        <v>0</v>
      </c>
      <c r="K522" s="3">
        <v>8</v>
      </c>
      <c r="L522" s="3">
        <v>5</v>
      </c>
      <c r="M522" s="3">
        <v>241</v>
      </c>
      <c r="N522" s="3">
        <v>745</v>
      </c>
      <c r="O522" s="3">
        <v>3006</v>
      </c>
      <c r="P522" t="str">
        <f t="shared" si="16"/>
        <v>Thu</v>
      </c>
      <c r="Q522" t="str">
        <f t="shared" si="17"/>
        <v>Fairly Active</v>
      </c>
    </row>
    <row r="523" spans="1:17">
      <c r="A523">
        <v>4702921684</v>
      </c>
      <c r="B523" s="1">
        <v>42480</v>
      </c>
      <c r="C523" s="3">
        <v>8793</v>
      </c>
      <c r="D523" s="2">
        <v>7.1300001144409197</v>
      </c>
      <c r="E523" s="2">
        <v>7.1300001144409197</v>
      </c>
      <c r="F523" s="2">
        <v>0</v>
      </c>
      <c r="G523" s="2">
        <v>0.15999999642372101</v>
      </c>
      <c r="H523" s="2">
        <v>1.2300000190734901</v>
      </c>
      <c r="I523" s="2">
        <v>5.7300000190734899</v>
      </c>
      <c r="J523" s="2">
        <v>0</v>
      </c>
      <c r="K523" s="3">
        <v>2</v>
      </c>
      <c r="L523" s="3">
        <v>29</v>
      </c>
      <c r="M523" s="3">
        <v>260</v>
      </c>
      <c r="N523" s="3">
        <v>717</v>
      </c>
      <c r="O523" s="3">
        <v>3061</v>
      </c>
      <c r="P523" t="str">
        <f t="shared" si="16"/>
        <v>Wed</v>
      </c>
      <c r="Q523" t="str">
        <f t="shared" si="17"/>
        <v>Fairly Active</v>
      </c>
    </row>
    <row r="524" spans="1:17">
      <c r="A524">
        <v>4702921684</v>
      </c>
      <c r="B524" s="1">
        <v>42488</v>
      </c>
      <c r="C524" s="3">
        <v>9023</v>
      </c>
      <c r="D524" s="2">
        <v>7.3200001716613796</v>
      </c>
      <c r="E524" s="2">
        <v>7.3200001716613796</v>
      </c>
      <c r="F524" s="2">
        <v>0</v>
      </c>
      <c r="G524" s="2">
        <v>1.12999999523163</v>
      </c>
      <c r="H524" s="2">
        <v>0.41999998688697798</v>
      </c>
      <c r="I524" s="2">
        <v>5.7699999809265101</v>
      </c>
      <c r="J524" s="2">
        <v>0</v>
      </c>
      <c r="K524" s="3">
        <v>14</v>
      </c>
      <c r="L524" s="3">
        <v>9</v>
      </c>
      <c r="M524" s="3">
        <v>232</v>
      </c>
      <c r="N524" s="3">
        <v>738</v>
      </c>
      <c r="O524" s="3">
        <v>3033</v>
      </c>
      <c r="P524" t="str">
        <f t="shared" si="16"/>
        <v>Thu</v>
      </c>
      <c r="Q524" t="str">
        <f t="shared" si="17"/>
        <v>Fairly Active</v>
      </c>
    </row>
    <row r="525" spans="1:17">
      <c r="A525">
        <v>4702921684</v>
      </c>
      <c r="B525" s="1">
        <v>42478</v>
      </c>
      <c r="C525" s="3">
        <v>9105</v>
      </c>
      <c r="D525" s="2">
        <v>7.3800001144409197</v>
      </c>
      <c r="E525" s="2">
        <v>7.3800001144409197</v>
      </c>
      <c r="F525" s="2">
        <v>0</v>
      </c>
      <c r="G525" s="2">
        <v>1.8200000524520901</v>
      </c>
      <c r="H525" s="2">
        <v>1.4900000095367401</v>
      </c>
      <c r="I525" s="2">
        <v>4.0700001716613796</v>
      </c>
      <c r="J525" s="2">
        <v>0</v>
      </c>
      <c r="K525" s="3">
        <v>22</v>
      </c>
      <c r="L525" s="3">
        <v>30</v>
      </c>
      <c r="M525" s="3">
        <v>191</v>
      </c>
      <c r="N525" s="3">
        <v>890</v>
      </c>
      <c r="O525" s="3">
        <v>3013</v>
      </c>
      <c r="P525" t="str">
        <f t="shared" si="16"/>
        <v>Mon</v>
      </c>
      <c r="Q525" t="str">
        <f t="shared" si="17"/>
        <v>Fairly Active</v>
      </c>
    </row>
    <row r="526" spans="1:17">
      <c r="A526">
        <v>4702921684</v>
      </c>
      <c r="B526" s="1">
        <v>42485</v>
      </c>
      <c r="C526" s="3">
        <v>9167</v>
      </c>
      <c r="D526" s="2">
        <v>7.4299998283386204</v>
      </c>
      <c r="E526" s="2">
        <v>7.4299998283386204</v>
      </c>
      <c r="F526" s="2">
        <v>0</v>
      </c>
      <c r="G526" s="2">
        <v>0.490000009536743</v>
      </c>
      <c r="H526" s="2">
        <v>0.81999999284744296</v>
      </c>
      <c r="I526" s="2">
        <v>6.1100001335143999</v>
      </c>
      <c r="J526" s="2">
        <v>0</v>
      </c>
      <c r="K526" s="3">
        <v>6</v>
      </c>
      <c r="L526" s="3">
        <v>15</v>
      </c>
      <c r="M526" s="3">
        <v>270</v>
      </c>
      <c r="N526" s="3">
        <v>730</v>
      </c>
      <c r="O526" s="3">
        <v>3064</v>
      </c>
      <c r="P526" t="str">
        <f t="shared" si="16"/>
        <v>Mon</v>
      </c>
      <c r="Q526" t="str">
        <f t="shared" si="17"/>
        <v>Fairly Active</v>
      </c>
    </row>
    <row r="527" spans="1:17">
      <c r="A527">
        <v>4702921684</v>
      </c>
      <c r="B527" s="1">
        <v>42493</v>
      </c>
      <c r="C527" s="3">
        <v>9454</v>
      </c>
      <c r="D527" s="2">
        <v>7.6700000762939498</v>
      </c>
      <c r="E527" s="2">
        <v>7.6700000762939498</v>
      </c>
      <c r="F527" s="2">
        <v>0</v>
      </c>
      <c r="G527" s="2">
        <v>0</v>
      </c>
      <c r="H527" s="2">
        <v>0</v>
      </c>
      <c r="I527" s="2">
        <v>7.6700000762939498</v>
      </c>
      <c r="J527" s="2">
        <v>0</v>
      </c>
      <c r="K527" s="3">
        <v>0</v>
      </c>
      <c r="L527" s="3">
        <v>0</v>
      </c>
      <c r="M527" s="3">
        <v>313</v>
      </c>
      <c r="N527" s="3">
        <v>729</v>
      </c>
      <c r="O527" s="3">
        <v>3145</v>
      </c>
      <c r="P527" t="str">
        <f t="shared" si="16"/>
        <v>Tue</v>
      </c>
      <c r="Q527" t="str">
        <f t="shared" si="17"/>
        <v>Fairly Active</v>
      </c>
    </row>
    <row r="528" spans="1:17">
      <c r="A528">
        <v>4702921684</v>
      </c>
      <c r="B528" s="1">
        <v>42501</v>
      </c>
      <c r="C528" s="3">
        <v>9810</v>
      </c>
      <c r="D528" s="2">
        <v>7.96000003814697</v>
      </c>
      <c r="E528" s="2">
        <v>7.96000003814697</v>
      </c>
      <c r="F528" s="2">
        <v>0</v>
      </c>
      <c r="G528" s="2">
        <v>0.77999997138977095</v>
      </c>
      <c r="H528" s="2">
        <v>2.1600000858306898</v>
      </c>
      <c r="I528" s="2">
        <v>4.9800000190734899</v>
      </c>
      <c r="J528" s="2">
        <v>0</v>
      </c>
      <c r="K528" s="3">
        <v>10</v>
      </c>
      <c r="L528" s="3">
        <v>41</v>
      </c>
      <c r="M528" s="3">
        <v>235</v>
      </c>
      <c r="N528" s="3">
        <v>784</v>
      </c>
      <c r="O528" s="3">
        <v>3069</v>
      </c>
      <c r="P528" t="str">
        <f t="shared" si="16"/>
        <v>Wed</v>
      </c>
      <c r="Q528" t="str">
        <f t="shared" si="17"/>
        <v>Fairly Active</v>
      </c>
    </row>
    <row r="529" spans="1:17">
      <c r="A529">
        <v>4702921684</v>
      </c>
      <c r="B529" s="1">
        <v>42489</v>
      </c>
      <c r="C529" s="3">
        <v>9930</v>
      </c>
      <c r="D529" s="2">
        <v>8.0500001907348597</v>
      </c>
      <c r="E529" s="2">
        <v>8.0500001907348597</v>
      </c>
      <c r="F529" s="2">
        <v>0</v>
      </c>
      <c r="G529" s="2">
        <v>1.0599999427795399</v>
      </c>
      <c r="H529" s="2">
        <v>0.92000001668930098</v>
      </c>
      <c r="I529" s="2">
        <v>6.0700001716613796</v>
      </c>
      <c r="J529" s="2">
        <v>0</v>
      </c>
      <c r="K529" s="3">
        <v>12</v>
      </c>
      <c r="L529" s="3">
        <v>19</v>
      </c>
      <c r="M529" s="3">
        <v>267</v>
      </c>
      <c r="N529" s="3">
        <v>692</v>
      </c>
      <c r="O529" s="3">
        <v>3165</v>
      </c>
      <c r="P529" t="str">
        <f t="shared" si="16"/>
        <v>Fri</v>
      </c>
      <c r="Q529" t="str">
        <f t="shared" si="17"/>
        <v>Fairly Active</v>
      </c>
    </row>
    <row r="530" spans="1:17">
      <c r="A530">
        <v>4702921684</v>
      </c>
      <c r="B530" s="1">
        <v>42490</v>
      </c>
      <c r="C530" s="3">
        <v>10144</v>
      </c>
      <c r="D530" s="2">
        <v>8.2299995422363299</v>
      </c>
      <c r="E530" s="2">
        <v>8.2299995422363299</v>
      </c>
      <c r="F530" s="2">
        <v>0</v>
      </c>
      <c r="G530" s="2">
        <v>0.31999999284744302</v>
      </c>
      <c r="H530" s="2">
        <v>2.0299999713897701</v>
      </c>
      <c r="I530" s="2">
        <v>5.8800001144409197</v>
      </c>
      <c r="J530" s="2">
        <v>0</v>
      </c>
      <c r="K530" s="3">
        <v>4</v>
      </c>
      <c r="L530" s="3">
        <v>36</v>
      </c>
      <c r="M530" s="3">
        <v>263</v>
      </c>
      <c r="N530" s="3">
        <v>728</v>
      </c>
      <c r="O530" s="3">
        <v>3115</v>
      </c>
      <c r="P530" t="str">
        <f t="shared" si="16"/>
        <v>Sat</v>
      </c>
      <c r="Q530" t="str">
        <f t="shared" si="17"/>
        <v>Vey Active</v>
      </c>
    </row>
    <row r="531" spans="1:17">
      <c r="A531">
        <v>4702921684</v>
      </c>
      <c r="B531" s="1">
        <v>42500</v>
      </c>
      <c r="C531" s="3">
        <v>10613</v>
      </c>
      <c r="D531" s="2">
        <v>8.6099996566772496</v>
      </c>
      <c r="E531" s="2">
        <v>8.6099996566772496</v>
      </c>
      <c r="F531" s="2">
        <v>0</v>
      </c>
      <c r="G531" s="2">
        <v>7.9999998211860698E-2</v>
      </c>
      <c r="H531" s="2">
        <v>1.87999999523163</v>
      </c>
      <c r="I531" s="2">
        <v>6.6500000953674299</v>
      </c>
      <c r="J531" s="2">
        <v>0</v>
      </c>
      <c r="K531" s="3">
        <v>1</v>
      </c>
      <c r="L531" s="3">
        <v>37</v>
      </c>
      <c r="M531" s="3">
        <v>262</v>
      </c>
      <c r="N531" s="3">
        <v>701</v>
      </c>
      <c r="O531" s="3">
        <v>3172</v>
      </c>
      <c r="P531" t="str">
        <f t="shared" si="16"/>
        <v>Tue</v>
      </c>
      <c r="Q531" t="str">
        <f t="shared" si="17"/>
        <v>Vey Active</v>
      </c>
    </row>
    <row r="532" spans="1:17">
      <c r="A532">
        <v>4702921684</v>
      </c>
      <c r="B532" s="1">
        <v>42476</v>
      </c>
      <c r="C532" s="3">
        <v>11140</v>
      </c>
      <c r="D532" s="2">
        <v>9.0299997329711896</v>
      </c>
      <c r="E532" s="2">
        <v>9.0299997329711896</v>
      </c>
      <c r="F532" s="2">
        <v>0</v>
      </c>
      <c r="G532" s="2">
        <v>0.239999994635582</v>
      </c>
      <c r="H532" s="2">
        <v>1.25</v>
      </c>
      <c r="I532" s="2">
        <v>7.53999996185303</v>
      </c>
      <c r="J532" s="2">
        <v>0</v>
      </c>
      <c r="K532" s="3">
        <v>3</v>
      </c>
      <c r="L532" s="3">
        <v>24</v>
      </c>
      <c r="M532" s="3">
        <v>335</v>
      </c>
      <c r="N532" s="3">
        <v>556</v>
      </c>
      <c r="O532" s="3">
        <v>3328</v>
      </c>
      <c r="P532" t="str">
        <f t="shared" si="16"/>
        <v>Sat</v>
      </c>
      <c r="Q532" t="str">
        <f t="shared" si="17"/>
        <v>Vey Active</v>
      </c>
    </row>
    <row r="533" spans="1:17">
      <c r="A533">
        <v>4702921684</v>
      </c>
      <c r="B533" s="1">
        <v>42477</v>
      </c>
      <c r="C533" s="3">
        <v>12692</v>
      </c>
      <c r="D533" s="2">
        <v>10.289999961853001</v>
      </c>
      <c r="E533" s="2">
        <v>10.289999961853001</v>
      </c>
      <c r="F533" s="2">
        <v>0</v>
      </c>
      <c r="G533" s="2">
        <v>0.95999997854232799</v>
      </c>
      <c r="H533" s="2">
        <v>3.46000003814697</v>
      </c>
      <c r="I533" s="2">
        <v>5.8800001144409197</v>
      </c>
      <c r="J533" s="2">
        <v>0</v>
      </c>
      <c r="K533" s="3">
        <v>12</v>
      </c>
      <c r="L533" s="3">
        <v>66</v>
      </c>
      <c r="M533" s="3">
        <v>302</v>
      </c>
      <c r="N533" s="3">
        <v>437</v>
      </c>
      <c r="O533" s="3">
        <v>3394</v>
      </c>
      <c r="P533" t="str">
        <f t="shared" si="16"/>
        <v>Sun</v>
      </c>
      <c r="Q533" t="str">
        <f t="shared" si="17"/>
        <v>Vey Active</v>
      </c>
    </row>
    <row r="534" spans="1:17">
      <c r="A534">
        <v>4702921684</v>
      </c>
      <c r="B534" s="1">
        <v>42498</v>
      </c>
      <c r="C534" s="3">
        <v>12857</v>
      </c>
      <c r="D534" s="2">
        <v>10.430000305175801</v>
      </c>
      <c r="E534" s="2">
        <v>10.430000305175801</v>
      </c>
      <c r="F534" s="2">
        <v>0</v>
      </c>
      <c r="G534" s="2">
        <v>0.68000000715255704</v>
      </c>
      <c r="H534" s="2">
        <v>6.21000003814697</v>
      </c>
      <c r="I534" s="2">
        <v>3.53999996185303</v>
      </c>
      <c r="J534" s="2">
        <v>0</v>
      </c>
      <c r="K534" s="3">
        <v>9</v>
      </c>
      <c r="L534" s="3">
        <v>125</v>
      </c>
      <c r="M534" s="3">
        <v>192</v>
      </c>
      <c r="N534" s="3">
        <v>1019</v>
      </c>
      <c r="O534" s="3">
        <v>3287</v>
      </c>
      <c r="P534" t="str">
        <f t="shared" si="16"/>
        <v>Sun</v>
      </c>
      <c r="Q534" t="str">
        <f t="shared" si="17"/>
        <v>Vey Active</v>
      </c>
    </row>
    <row r="535" spans="1:17">
      <c r="A535">
        <v>4702921684</v>
      </c>
      <c r="B535" s="1">
        <v>42497</v>
      </c>
      <c r="C535" s="3">
        <v>14370</v>
      </c>
      <c r="D535" s="2">
        <v>11.6499996185303</v>
      </c>
      <c r="E535" s="2">
        <v>11.6499996185303</v>
      </c>
      <c r="F535" s="2">
        <v>0</v>
      </c>
      <c r="G535" s="2">
        <v>0.37000000476837203</v>
      </c>
      <c r="H535" s="2">
        <v>2.3099999427795401</v>
      </c>
      <c r="I535" s="2">
        <v>8.9700002670288104</v>
      </c>
      <c r="J535" s="2">
        <v>0</v>
      </c>
      <c r="K535" s="3">
        <v>5</v>
      </c>
      <c r="L535" s="3">
        <v>46</v>
      </c>
      <c r="M535" s="3">
        <v>439</v>
      </c>
      <c r="N535" s="3">
        <v>577</v>
      </c>
      <c r="O535" s="3">
        <v>3683</v>
      </c>
      <c r="P535" t="str">
        <f t="shared" si="16"/>
        <v>Sat</v>
      </c>
      <c r="Q535" t="str">
        <f t="shared" si="17"/>
        <v>Vey Active</v>
      </c>
    </row>
    <row r="536" spans="1:17">
      <c r="A536">
        <v>4702921684</v>
      </c>
      <c r="B536" s="1">
        <v>42484</v>
      </c>
      <c r="C536" s="3">
        <v>15050</v>
      </c>
      <c r="D536" s="2">
        <v>12.2200002670288</v>
      </c>
      <c r="E536" s="2">
        <v>12.2200002670288</v>
      </c>
      <c r="F536" s="2">
        <v>0</v>
      </c>
      <c r="G536" s="2">
        <v>1.20000004768372</v>
      </c>
      <c r="H536" s="2">
        <v>5.1199998855590803</v>
      </c>
      <c r="I536" s="2">
        <v>5.8800001144409197</v>
      </c>
      <c r="J536" s="2">
        <v>0</v>
      </c>
      <c r="K536" s="3">
        <v>15</v>
      </c>
      <c r="L536" s="3">
        <v>95</v>
      </c>
      <c r="M536" s="3">
        <v>281</v>
      </c>
      <c r="N536" s="3">
        <v>542</v>
      </c>
      <c r="O536" s="3">
        <v>3538</v>
      </c>
      <c r="P536" t="str">
        <f t="shared" si="16"/>
        <v>Sun</v>
      </c>
      <c r="Q536" t="str">
        <f t="shared" si="17"/>
        <v>Vey Active</v>
      </c>
    </row>
    <row r="537" spans="1:17">
      <c r="A537">
        <v>4702921684</v>
      </c>
      <c r="B537" s="1">
        <v>42483</v>
      </c>
      <c r="C537" s="3">
        <v>15126</v>
      </c>
      <c r="D537" s="2">
        <v>12.2700004577637</v>
      </c>
      <c r="E537" s="2">
        <v>12.2700004577637</v>
      </c>
      <c r="F537" s="2">
        <v>0</v>
      </c>
      <c r="G537" s="2">
        <v>0.75999999046325695</v>
      </c>
      <c r="H537" s="2">
        <v>3.2400000095367401</v>
      </c>
      <c r="I537" s="2">
        <v>8.2700004577636701</v>
      </c>
      <c r="J537" s="2">
        <v>0</v>
      </c>
      <c r="K537" s="3">
        <v>9</v>
      </c>
      <c r="L537" s="3">
        <v>66</v>
      </c>
      <c r="M537" s="3">
        <v>408</v>
      </c>
      <c r="N537" s="3">
        <v>469</v>
      </c>
      <c r="O537" s="3">
        <v>3691</v>
      </c>
      <c r="P537" t="str">
        <f t="shared" si="16"/>
        <v>Sat</v>
      </c>
      <c r="Q537" t="str">
        <f t="shared" si="17"/>
        <v>Vey Active</v>
      </c>
    </row>
    <row r="538" spans="1:17">
      <c r="A538">
        <v>5553957443</v>
      </c>
      <c r="B538" s="1">
        <v>42477</v>
      </c>
      <c r="C538" s="3">
        <v>655</v>
      </c>
      <c r="D538" s="2">
        <v>0.43000000715255698</v>
      </c>
      <c r="E538" s="2">
        <v>0.43000000715255698</v>
      </c>
      <c r="F538" s="2">
        <v>0</v>
      </c>
      <c r="G538" s="2">
        <v>0</v>
      </c>
      <c r="H538" s="2">
        <v>0</v>
      </c>
      <c r="I538" s="2">
        <v>0.43000000715255698</v>
      </c>
      <c r="J538" s="2">
        <v>0</v>
      </c>
      <c r="K538" s="3">
        <v>0</v>
      </c>
      <c r="L538" s="3">
        <v>0</v>
      </c>
      <c r="M538" s="3">
        <v>46</v>
      </c>
      <c r="N538" s="3">
        <v>943</v>
      </c>
      <c r="O538" s="3">
        <v>1397</v>
      </c>
      <c r="P538" t="str">
        <f t="shared" si="16"/>
        <v>Sun</v>
      </c>
      <c r="Q538" t="str">
        <f t="shared" si="17"/>
        <v>Sedentary</v>
      </c>
    </row>
    <row r="539" spans="1:17">
      <c r="A539">
        <v>5553957443</v>
      </c>
      <c r="B539" s="1">
        <v>42490</v>
      </c>
      <c r="C539" s="3">
        <v>1202</v>
      </c>
      <c r="D539" s="2">
        <v>0.77999997138977095</v>
      </c>
      <c r="E539" s="2">
        <v>0.77999997138977095</v>
      </c>
      <c r="F539" s="2">
        <v>0</v>
      </c>
      <c r="G539" s="2">
        <v>0</v>
      </c>
      <c r="H539" s="2">
        <v>0</v>
      </c>
      <c r="I539" s="2">
        <v>0.77999997138977095</v>
      </c>
      <c r="J539" s="2">
        <v>0</v>
      </c>
      <c r="K539" s="3">
        <v>0</v>
      </c>
      <c r="L539" s="3">
        <v>0</v>
      </c>
      <c r="M539" s="3">
        <v>84</v>
      </c>
      <c r="N539" s="3">
        <v>506</v>
      </c>
      <c r="O539" s="3">
        <v>1463</v>
      </c>
      <c r="P539" t="str">
        <f t="shared" si="16"/>
        <v>Sat</v>
      </c>
      <c r="Q539" t="str">
        <f t="shared" si="17"/>
        <v>Sedentary</v>
      </c>
    </row>
    <row r="540" spans="1:17">
      <c r="A540">
        <v>5553957443</v>
      </c>
      <c r="B540" s="1">
        <v>42484</v>
      </c>
      <c r="C540" s="3">
        <v>1807</v>
      </c>
      <c r="D540" s="2">
        <v>1.1799999475479099</v>
      </c>
      <c r="E540" s="2">
        <v>1.1799999475479099</v>
      </c>
      <c r="F540" s="2">
        <v>0</v>
      </c>
      <c r="G540" s="2">
        <v>0</v>
      </c>
      <c r="H540" s="2">
        <v>0</v>
      </c>
      <c r="I540" s="2">
        <v>1.1799999475479099</v>
      </c>
      <c r="J540" s="2">
        <v>0</v>
      </c>
      <c r="K540" s="3">
        <v>0</v>
      </c>
      <c r="L540" s="3">
        <v>0</v>
      </c>
      <c r="M540" s="3">
        <v>104</v>
      </c>
      <c r="N540" s="3">
        <v>582</v>
      </c>
      <c r="O540" s="3">
        <v>1507</v>
      </c>
      <c r="P540" t="str">
        <f t="shared" si="16"/>
        <v>Sun</v>
      </c>
      <c r="Q540" t="str">
        <f t="shared" si="17"/>
        <v>Sedentary</v>
      </c>
    </row>
    <row r="541" spans="1:17">
      <c r="A541">
        <v>5553957443</v>
      </c>
      <c r="B541" s="1">
        <v>42497</v>
      </c>
      <c r="C541" s="3">
        <v>1868</v>
      </c>
      <c r="D541" s="2">
        <v>1.2200000286102299</v>
      </c>
      <c r="E541" s="2">
        <v>1.2200000286102299</v>
      </c>
      <c r="F541" s="2">
        <v>0</v>
      </c>
      <c r="G541" s="2">
        <v>0</v>
      </c>
      <c r="H541" s="2">
        <v>0</v>
      </c>
      <c r="I541" s="2">
        <v>1.2200000286102299</v>
      </c>
      <c r="J541" s="2">
        <v>0</v>
      </c>
      <c r="K541" s="3">
        <v>0</v>
      </c>
      <c r="L541" s="3">
        <v>0</v>
      </c>
      <c r="M541" s="3">
        <v>96</v>
      </c>
      <c r="N541" s="3">
        <v>902</v>
      </c>
      <c r="O541" s="3">
        <v>1494</v>
      </c>
      <c r="P541" t="str">
        <f t="shared" si="16"/>
        <v>Sat</v>
      </c>
      <c r="Q541" t="str">
        <f t="shared" si="17"/>
        <v>Sedentary</v>
      </c>
    </row>
    <row r="542" spans="1:17">
      <c r="A542">
        <v>5553957443</v>
      </c>
      <c r="B542" s="1">
        <v>42480</v>
      </c>
      <c r="C542" s="3">
        <v>2713</v>
      </c>
      <c r="D542" s="2">
        <v>1.7699999809265099</v>
      </c>
      <c r="E542" s="2">
        <v>1.7699999809265099</v>
      </c>
      <c r="F542" s="2">
        <v>0</v>
      </c>
      <c r="G542" s="2">
        <v>0</v>
      </c>
      <c r="H542" s="2">
        <v>0</v>
      </c>
      <c r="I542" s="2">
        <v>1.7699999809265099</v>
      </c>
      <c r="J542" s="2">
        <v>0</v>
      </c>
      <c r="K542" s="3">
        <v>0</v>
      </c>
      <c r="L542" s="3">
        <v>0</v>
      </c>
      <c r="M542" s="3">
        <v>148</v>
      </c>
      <c r="N542" s="3">
        <v>598</v>
      </c>
      <c r="O542" s="3">
        <v>1570</v>
      </c>
      <c r="P542" t="str">
        <f t="shared" si="16"/>
        <v>Wed</v>
      </c>
      <c r="Q542" t="str">
        <f t="shared" si="17"/>
        <v>Sedentary</v>
      </c>
    </row>
    <row r="543" spans="1:17">
      <c r="A543">
        <v>5553957443</v>
      </c>
      <c r="B543" s="1">
        <v>42502</v>
      </c>
      <c r="C543" s="3">
        <v>3121</v>
      </c>
      <c r="D543" s="2">
        <v>2.03999996185303</v>
      </c>
      <c r="E543" s="2">
        <v>2.03999996185303</v>
      </c>
      <c r="F543" s="2">
        <v>0</v>
      </c>
      <c r="G543" s="2">
        <v>0.57999998331069902</v>
      </c>
      <c r="H543" s="2">
        <v>0.40000000596046398</v>
      </c>
      <c r="I543" s="2">
        <v>1.0599999427795399</v>
      </c>
      <c r="J543" s="2">
        <v>0</v>
      </c>
      <c r="K543" s="3">
        <v>8</v>
      </c>
      <c r="L543" s="3">
        <v>6</v>
      </c>
      <c r="M543" s="3">
        <v>48</v>
      </c>
      <c r="N543" s="3">
        <v>222</v>
      </c>
      <c r="O543" s="3">
        <v>741</v>
      </c>
      <c r="P543" t="str">
        <f t="shared" si="16"/>
        <v>Thu</v>
      </c>
      <c r="Q543" t="str">
        <f t="shared" si="17"/>
        <v>Sedentary</v>
      </c>
    </row>
    <row r="544" spans="1:17">
      <c r="A544">
        <v>5553957443</v>
      </c>
      <c r="B544" s="1">
        <v>42478</v>
      </c>
      <c r="C544" s="3">
        <v>3727</v>
      </c>
      <c r="D544" s="2">
        <v>2.4300000667571999</v>
      </c>
      <c r="E544" s="2">
        <v>2.4300000667571999</v>
      </c>
      <c r="F544" s="2">
        <v>0</v>
      </c>
      <c r="G544" s="2">
        <v>0</v>
      </c>
      <c r="H544" s="2">
        <v>0</v>
      </c>
      <c r="I544" s="2">
        <v>2.4300000667571999</v>
      </c>
      <c r="J544" s="2">
        <v>0</v>
      </c>
      <c r="K544" s="3">
        <v>0</v>
      </c>
      <c r="L544" s="3">
        <v>0</v>
      </c>
      <c r="M544" s="3">
        <v>206</v>
      </c>
      <c r="N544" s="3">
        <v>622</v>
      </c>
      <c r="O544" s="3">
        <v>1683</v>
      </c>
      <c r="P544" t="str">
        <f t="shared" si="16"/>
        <v>Mon</v>
      </c>
      <c r="Q544" t="str">
        <f t="shared" si="17"/>
        <v>Sedentary</v>
      </c>
    </row>
    <row r="545" spans="1:17">
      <c r="A545">
        <v>5553957443</v>
      </c>
      <c r="B545" s="1">
        <v>42483</v>
      </c>
      <c r="C545" s="3">
        <v>4112</v>
      </c>
      <c r="D545" s="2">
        <v>2.6900000572204599</v>
      </c>
      <c r="E545" s="2">
        <v>2.6900000572204599</v>
      </c>
      <c r="F545" s="2">
        <v>0</v>
      </c>
      <c r="G545" s="2">
        <v>0</v>
      </c>
      <c r="H545" s="2">
        <v>0</v>
      </c>
      <c r="I545" s="2">
        <v>2.6800000667571999</v>
      </c>
      <c r="J545" s="2">
        <v>0</v>
      </c>
      <c r="K545" s="3">
        <v>0</v>
      </c>
      <c r="L545" s="3">
        <v>0</v>
      </c>
      <c r="M545" s="3">
        <v>272</v>
      </c>
      <c r="N545" s="3">
        <v>443</v>
      </c>
      <c r="O545" s="3">
        <v>1776</v>
      </c>
      <c r="P545" t="str">
        <f t="shared" si="16"/>
        <v>Sat</v>
      </c>
      <c r="Q545" t="str">
        <f t="shared" si="17"/>
        <v>Sedentary</v>
      </c>
    </row>
    <row r="546" spans="1:17">
      <c r="A546">
        <v>5553957443</v>
      </c>
      <c r="B546" s="1">
        <v>42494</v>
      </c>
      <c r="C546" s="3">
        <v>4249</v>
      </c>
      <c r="D546" s="2">
        <v>2.7699999809265101</v>
      </c>
      <c r="E546" s="2">
        <v>2.7699999809265101</v>
      </c>
      <c r="F546" s="2">
        <v>0</v>
      </c>
      <c r="G546" s="2">
        <v>0</v>
      </c>
      <c r="H546" s="2">
        <v>0</v>
      </c>
      <c r="I546" s="2">
        <v>2.7699999809265101</v>
      </c>
      <c r="J546" s="2">
        <v>0</v>
      </c>
      <c r="K546" s="3">
        <v>0</v>
      </c>
      <c r="L546" s="3">
        <v>0</v>
      </c>
      <c r="M546" s="3">
        <v>224</v>
      </c>
      <c r="N546" s="3">
        <v>651</v>
      </c>
      <c r="O546" s="3">
        <v>1698</v>
      </c>
      <c r="P546" t="str">
        <f t="shared" si="16"/>
        <v>Wed</v>
      </c>
      <c r="Q546" t="str">
        <f t="shared" si="17"/>
        <v>Sedentary</v>
      </c>
    </row>
    <row r="547" spans="1:17">
      <c r="A547">
        <v>5553957443</v>
      </c>
      <c r="B547" s="1">
        <v>42473</v>
      </c>
      <c r="C547" s="3">
        <v>4832</v>
      </c>
      <c r="D547" s="2">
        <v>3.1600000858306898</v>
      </c>
      <c r="E547" s="2">
        <v>3.1600000858306898</v>
      </c>
      <c r="F547" s="2">
        <v>0</v>
      </c>
      <c r="G547" s="2">
        <v>0</v>
      </c>
      <c r="H547" s="2">
        <v>0</v>
      </c>
      <c r="I547" s="2">
        <v>3.1600000858306898</v>
      </c>
      <c r="J547" s="2">
        <v>0</v>
      </c>
      <c r="K547" s="3">
        <v>0</v>
      </c>
      <c r="L547" s="3">
        <v>0</v>
      </c>
      <c r="M547" s="3">
        <v>226</v>
      </c>
      <c r="N547" s="3">
        <v>647</v>
      </c>
      <c r="O547" s="3">
        <v>1718</v>
      </c>
      <c r="P547" t="str">
        <f t="shared" si="16"/>
        <v>Wed</v>
      </c>
      <c r="Q547" t="str">
        <f t="shared" si="17"/>
        <v>Sedentary</v>
      </c>
    </row>
    <row r="548" spans="1:17">
      <c r="A548">
        <v>5553957443</v>
      </c>
      <c r="B548" s="1">
        <v>42501</v>
      </c>
      <c r="C548" s="3">
        <v>4926</v>
      </c>
      <c r="D548" s="2">
        <v>3.2200000286102299</v>
      </c>
      <c r="E548" s="2">
        <v>3.2200000286102299</v>
      </c>
      <c r="F548" s="2">
        <v>0</v>
      </c>
      <c r="G548" s="2">
        <v>0</v>
      </c>
      <c r="H548" s="2">
        <v>0</v>
      </c>
      <c r="I548" s="2">
        <v>3.2200000286102299</v>
      </c>
      <c r="J548" s="2">
        <v>0</v>
      </c>
      <c r="K548" s="3">
        <v>0</v>
      </c>
      <c r="L548" s="3">
        <v>0</v>
      </c>
      <c r="M548" s="3">
        <v>195</v>
      </c>
      <c r="N548" s="3">
        <v>628</v>
      </c>
      <c r="O548" s="3">
        <v>1693</v>
      </c>
      <c r="P548" t="str">
        <f t="shared" si="16"/>
        <v>Wed</v>
      </c>
      <c r="Q548" t="str">
        <f t="shared" si="17"/>
        <v>Sedentary</v>
      </c>
    </row>
    <row r="549" spans="1:17">
      <c r="A549">
        <v>5553957443</v>
      </c>
      <c r="B549" s="1">
        <v>42491</v>
      </c>
      <c r="C549" s="3">
        <v>5164</v>
      </c>
      <c r="D549" s="2">
        <v>3.3699998855590798</v>
      </c>
      <c r="E549" s="2">
        <v>3.3699998855590798</v>
      </c>
      <c r="F549" s="2">
        <v>0</v>
      </c>
      <c r="G549" s="2">
        <v>0</v>
      </c>
      <c r="H549" s="2">
        <v>0</v>
      </c>
      <c r="I549" s="2">
        <v>3.3699998855590798</v>
      </c>
      <c r="J549" s="2">
        <v>0</v>
      </c>
      <c r="K549" s="3">
        <v>0</v>
      </c>
      <c r="L549" s="3">
        <v>0</v>
      </c>
      <c r="M549" s="3">
        <v>237</v>
      </c>
      <c r="N549" s="3">
        <v>436</v>
      </c>
      <c r="O549" s="3">
        <v>1747</v>
      </c>
      <c r="P549" t="str">
        <f t="shared" si="16"/>
        <v>Sun</v>
      </c>
      <c r="Q549" t="str">
        <f t="shared" si="17"/>
        <v>Lightly Active</v>
      </c>
    </row>
    <row r="550" spans="1:17">
      <c r="A550">
        <v>5553957443</v>
      </c>
      <c r="B550" s="1">
        <v>42476</v>
      </c>
      <c r="C550" s="3">
        <v>5771</v>
      </c>
      <c r="D550" s="2">
        <v>3.7699999809265101</v>
      </c>
      <c r="E550" s="2">
        <v>3.7699999809265101</v>
      </c>
      <c r="F550" s="2">
        <v>0</v>
      </c>
      <c r="G550" s="2">
        <v>0</v>
      </c>
      <c r="H550" s="2">
        <v>0</v>
      </c>
      <c r="I550" s="2">
        <v>3.7699999809265101</v>
      </c>
      <c r="J550" s="2">
        <v>0</v>
      </c>
      <c r="K550" s="3">
        <v>0</v>
      </c>
      <c r="L550" s="3">
        <v>0</v>
      </c>
      <c r="M550" s="3">
        <v>288</v>
      </c>
      <c r="N550" s="3">
        <v>521</v>
      </c>
      <c r="O550" s="3">
        <v>1831</v>
      </c>
      <c r="P550" t="str">
        <f t="shared" si="16"/>
        <v>Sat</v>
      </c>
      <c r="Q550" t="str">
        <f t="shared" si="17"/>
        <v>Lightly Active</v>
      </c>
    </row>
    <row r="551" spans="1:17">
      <c r="A551">
        <v>5553957443</v>
      </c>
      <c r="B551" s="1">
        <v>42498</v>
      </c>
      <c r="C551" s="3">
        <v>6083</v>
      </c>
      <c r="D551" s="2">
        <v>4</v>
      </c>
      <c r="E551" s="2">
        <v>4</v>
      </c>
      <c r="F551" s="2">
        <v>0</v>
      </c>
      <c r="G551" s="2">
        <v>0.21999999880790699</v>
      </c>
      <c r="H551" s="2">
        <v>0.46999999880790699</v>
      </c>
      <c r="I551" s="2">
        <v>3.2999999523162802</v>
      </c>
      <c r="J551" s="2">
        <v>0</v>
      </c>
      <c r="K551" s="3">
        <v>3</v>
      </c>
      <c r="L551" s="3">
        <v>8</v>
      </c>
      <c r="M551" s="3">
        <v>210</v>
      </c>
      <c r="N551" s="3">
        <v>505</v>
      </c>
      <c r="O551" s="3">
        <v>1762</v>
      </c>
      <c r="P551" t="str">
        <f t="shared" si="16"/>
        <v>Sun</v>
      </c>
      <c r="Q551" t="str">
        <f t="shared" si="17"/>
        <v>Lightly Active</v>
      </c>
    </row>
    <row r="552" spans="1:17">
      <c r="A552">
        <v>5553957443</v>
      </c>
      <c r="B552" s="1">
        <v>42496</v>
      </c>
      <c r="C552" s="3">
        <v>9632</v>
      </c>
      <c r="D552" s="2">
        <v>6.28999996185303</v>
      </c>
      <c r="E552" s="2">
        <v>6.28999996185303</v>
      </c>
      <c r="F552" s="2">
        <v>0</v>
      </c>
      <c r="G552" s="2">
        <v>1.5199999809265099</v>
      </c>
      <c r="H552" s="2">
        <v>0.54000002145767201</v>
      </c>
      <c r="I552" s="2">
        <v>4.2300000190734899</v>
      </c>
      <c r="J552" s="2">
        <v>0</v>
      </c>
      <c r="K552" s="3">
        <v>21</v>
      </c>
      <c r="L552" s="3">
        <v>9</v>
      </c>
      <c r="M552" s="3">
        <v>229</v>
      </c>
      <c r="N552" s="3">
        <v>761</v>
      </c>
      <c r="O552" s="3">
        <v>1916</v>
      </c>
      <c r="P552" t="str">
        <f t="shared" si="16"/>
        <v>Fri</v>
      </c>
      <c r="Q552" t="str">
        <f t="shared" si="17"/>
        <v>Fairly Active</v>
      </c>
    </row>
    <row r="553" spans="1:17">
      <c r="A553">
        <v>5553957443</v>
      </c>
      <c r="B553" s="1">
        <v>42492</v>
      </c>
      <c r="C553" s="3">
        <v>9769</v>
      </c>
      <c r="D553" s="2">
        <v>6.3800001144409197</v>
      </c>
      <c r="E553" s="2">
        <v>6.3800001144409197</v>
      </c>
      <c r="F553" s="2">
        <v>0</v>
      </c>
      <c r="G553" s="2">
        <v>1.0599999427795399</v>
      </c>
      <c r="H553" s="2">
        <v>0.40999999642372098</v>
      </c>
      <c r="I553" s="2">
        <v>4.9000000953674299</v>
      </c>
      <c r="J553" s="2">
        <v>0</v>
      </c>
      <c r="K553" s="3">
        <v>23</v>
      </c>
      <c r="L553" s="3">
        <v>9</v>
      </c>
      <c r="M553" s="3">
        <v>227</v>
      </c>
      <c r="N553" s="3">
        <v>724</v>
      </c>
      <c r="O553" s="3">
        <v>1996</v>
      </c>
      <c r="P553" t="str">
        <f t="shared" si="16"/>
        <v>Mon</v>
      </c>
      <c r="Q553" t="str">
        <f t="shared" si="17"/>
        <v>Fairly Active</v>
      </c>
    </row>
    <row r="554" spans="1:17">
      <c r="A554">
        <v>5553957443</v>
      </c>
      <c r="B554" s="1">
        <v>42487</v>
      </c>
      <c r="C554" s="3">
        <v>10538</v>
      </c>
      <c r="D554" s="2">
        <v>6.8800001144409197</v>
      </c>
      <c r="E554" s="2">
        <v>6.8800001144409197</v>
      </c>
      <c r="F554" s="2">
        <v>0</v>
      </c>
      <c r="G554" s="2">
        <v>1.1399999856948899</v>
      </c>
      <c r="H554" s="2">
        <v>1</v>
      </c>
      <c r="I554" s="2">
        <v>4.7399997711181596</v>
      </c>
      <c r="J554" s="2">
        <v>0</v>
      </c>
      <c r="K554" s="3">
        <v>16</v>
      </c>
      <c r="L554" s="3">
        <v>16</v>
      </c>
      <c r="M554" s="3">
        <v>206</v>
      </c>
      <c r="N554" s="3">
        <v>745</v>
      </c>
      <c r="O554" s="3">
        <v>1922</v>
      </c>
      <c r="P554" t="str">
        <f t="shared" si="16"/>
        <v>Wed</v>
      </c>
      <c r="Q554" t="str">
        <f t="shared" si="17"/>
        <v>Vey Active</v>
      </c>
    </row>
    <row r="555" spans="1:17">
      <c r="A555">
        <v>5553957443</v>
      </c>
      <c r="B555" s="1">
        <v>42485</v>
      </c>
      <c r="C555" s="3">
        <v>10946</v>
      </c>
      <c r="D555" s="2">
        <v>7.1900000572204599</v>
      </c>
      <c r="E555" s="2">
        <v>7.1900000572204599</v>
      </c>
      <c r="F555" s="2">
        <v>0</v>
      </c>
      <c r="G555" s="2">
        <v>2.9300000667571999</v>
      </c>
      <c r="H555" s="2">
        <v>0.56999999284744296</v>
      </c>
      <c r="I555" s="2">
        <v>3.6900000572204599</v>
      </c>
      <c r="J555" s="2">
        <v>0</v>
      </c>
      <c r="K555" s="3">
        <v>51</v>
      </c>
      <c r="L555" s="3">
        <v>11</v>
      </c>
      <c r="M555" s="3">
        <v>201</v>
      </c>
      <c r="N555" s="3">
        <v>732</v>
      </c>
      <c r="O555" s="3">
        <v>2033</v>
      </c>
      <c r="P555" t="str">
        <f t="shared" si="16"/>
        <v>Mon</v>
      </c>
      <c r="Q555" t="str">
        <f t="shared" si="17"/>
        <v>Vey Active</v>
      </c>
    </row>
    <row r="556" spans="1:17">
      <c r="A556">
        <v>5553957443</v>
      </c>
      <c r="B556" s="1">
        <v>42488</v>
      </c>
      <c r="C556" s="3">
        <v>11393</v>
      </c>
      <c r="D556" s="2">
        <v>7.6300001144409197</v>
      </c>
      <c r="E556" s="2">
        <v>7.6300001144409197</v>
      </c>
      <c r="F556" s="2">
        <v>0</v>
      </c>
      <c r="G556" s="2">
        <v>3.71000003814697</v>
      </c>
      <c r="H556" s="2">
        <v>0.75</v>
      </c>
      <c r="I556" s="2">
        <v>3.1700000762939502</v>
      </c>
      <c r="J556" s="2">
        <v>0</v>
      </c>
      <c r="K556" s="3">
        <v>49</v>
      </c>
      <c r="L556" s="3">
        <v>13</v>
      </c>
      <c r="M556" s="3">
        <v>165</v>
      </c>
      <c r="N556" s="3">
        <v>727</v>
      </c>
      <c r="O556" s="3">
        <v>1999</v>
      </c>
      <c r="P556" t="str">
        <f t="shared" si="16"/>
        <v>Thu</v>
      </c>
      <c r="Q556" t="str">
        <f t="shared" si="17"/>
        <v>Vey Active</v>
      </c>
    </row>
    <row r="557" spans="1:17">
      <c r="A557">
        <v>5553957443</v>
      </c>
      <c r="B557" s="1">
        <v>42472</v>
      </c>
      <c r="C557" s="3">
        <v>11596</v>
      </c>
      <c r="D557" s="2">
        <v>7.5700001716613796</v>
      </c>
      <c r="E557" s="2">
        <v>7.5700001716613796</v>
      </c>
      <c r="F557" s="2">
        <v>0</v>
      </c>
      <c r="G557" s="2">
        <v>1.37000000476837</v>
      </c>
      <c r="H557" s="2">
        <v>0.79000002145767201</v>
      </c>
      <c r="I557" s="2">
        <v>5.4099998474121103</v>
      </c>
      <c r="J557" s="2">
        <v>0</v>
      </c>
      <c r="K557" s="3">
        <v>19</v>
      </c>
      <c r="L557" s="3">
        <v>13</v>
      </c>
      <c r="M557" s="3">
        <v>277</v>
      </c>
      <c r="N557" s="3">
        <v>767</v>
      </c>
      <c r="O557" s="3">
        <v>2026</v>
      </c>
      <c r="P557" t="str">
        <f t="shared" si="16"/>
        <v>Tue</v>
      </c>
      <c r="Q557" t="str">
        <f t="shared" si="17"/>
        <v>Vey Active</v>
      </c>
    </row>
    <row r="558" spans="1:17">
      <c r="A558">
        <v>5553957443</v>
      </c>
      <c r="B558" s="1">
        <v>42499</v>
      </c>
      <c r="C558" s="3">
        <v>11611</v>
      </c>
      <c r="D558" s="2">
        <v>7.5799999237060502</v>
      </c>
      <c r="E558" s="2">
        <v>7.5799999237060502</v>
      </c>
      <c r="F558" s="2">
        <v>0</v>
      </c>
      <c r="G558" s="2">
        <v>2.1300001144409202</v>
      </c>
      <c r="H558" s="2">
        <v>0.88999998569488503</v>
      </c>
      <c r="I558" s="2">
        <v>4.5599999427795401</v>
      </c>
      <c r="J558" s="2">
        <v>0</v>
      </c>
      <c r="K558" s="3">
        <v>59</v>
      </c>
      <c r="L558" s="3">
        <v>22</v>
      </c>
      <c r="M558" s="3">
        <v>251</v>
      </c>
      <c r="N558" s="3">
        <v>667</v>
      </c>
      <c r="O558" s="3">
        <v>2272</v>
      </c>
      <c r="P558" t="str">
        <f t="shared" si="16"/>
        <v>Mon</v>
      </c>
      <c r="Q558" t="str">
        <f t="shared" si="17"/>
        <v>Vey Active</v>
      </c>
    </row>
    <row r="559" spans="1:17">
      <c r="A559">
        <v>5553957443</v>
      </c>
      <c r="B559" s="1">
        <v>42482</v>
      </c>
      <c r="C559" s="3">
        <v>11682</v>
      </c>
      <c r="D559" s="2">
        <v>7.6300001144409197</v>
      </c>
      <c r="E559" s="2">
        <v>7.6300001144409197</v>
      </c>
      <c r="F559" s="2">
        <v>0</v>
      </c>
      <c r="G559" s="2">
        <v>1.37999999523163</v>
      </c>
      <c r="H559" s="2">
        <v>0.62999999523162797</v>
      </c>
      <c r="I559" s="2">
        <v>5.5999999046325701</v>
      </c>
      <c r="J559" s="2">
        <v>0</v>
      </c>
      <c r="K559" s="3">
        <v>25</v>
      </c>
      <c r="L559" s="3">
        <v>16</v>
      </c>
      <c r="M559" s="3">
        <v>270</v>
      </c>
      <c r="N559" s="3">
        <v>781</v>
      </c>
      <c r="O559" s="3">
        <v>2105</v>
      </c>
      <c r="P559" t="str">
        <f t="shared" si="16"/>
        <v>Fri</v>
      </c>
      <c r="Q559" t="str">
        <f t="shared" si="17"/>
        <v>Vey Active</v>
      </c>
    </row>
    <row r="560" spans="1:17">
      <c r="A560">
        <v>5553957443</v>
      </c>
      <c r="B560" s="1">
        <v>42486</v>
      </c>
      <c r="C560" s="3">
        <v>11886</v>
      </c>
      <c r="D560" s="2">
        <v>7.7600002288818404</v>
      </c>
      <c r="E560" s="2">
        <v>7.7600002288818404</v>
      </c>
      <c r="F560" s="2">
        <v>0</v>
      </c>
      <c r="G560" s="2">
        <v>2.3699998855590798</v>
      </c>
      <c r="H560" s="2">
        <v>0.93000000715255704</v>
      </c>
      <c r="I560" s="2">
        <v>4.46000003814697</v>
      </c>
      <c r="J560" s="2">
        <v>0</v>
      </c>
      <c r="K560" s="3">
        <v>40</v>
      </c>
      <c r="L560" s="3">
        <v>18</v>
      </c>
      <c r="M560" s="3">
        <v>238</v>
      </c>
      <c r="N560" s="3">
        <v>750</v>
      </c>
      <c r="O560" s="3">
        <v>2093</v>
      </c>
      <c r="P560" t="str">
        <f t="shared" si="16"/>
        <v>Tue</v>
      </c>
      <c r="Q560" t="str">
        <f t="shared" si="17"/>
        <v>Vey Active</v>
      </c>
    </row>
    <row r="561" spans="1:17">
      <c r="A561">
        <v>5553957443</v>
      </c>
      <c r="B561" s="1">
        <v>42481</v>
      </c>
      <c r="C561" s="3">
        <v>12346</v>
      </c>
      <c r="D561" s="2">
        <v>8.0600004196166992</v>
      </c>
      <c r="E561" s="2">
        <v>8.0600004196166992</v>
      </c>
      <c r="F561" s="2">
        <v>0</v>
      </c>
      <c r="G561" s="2">
        <v>2.9500000476837198</v>
      </c>
      <c r="H561" s="2">
        <v>2.1600000858306898</v>
      </c>
      <c r="I561" s="2">
        <v>2.96000003814697</v>
      </c>
      <c r="J561" s="2">
        <v>0</v>
      </c>
      <c r="K561" s="3">
        <v>47</v>
      </c>
      <c r="L561" s="3">
        <v>42</v>
      </c>
      <c r="M561" s="3">
        <v>177</v>
      </c>
      <c r="N561" s="3">
        <v>801</v>
      </c>
      <c r="O561" s="3">
        <v>2066</v>
      </c>
      <c r="P561" t="str">
        <f t="shared" si="16"/>
        <v>Thu</v>
      </c>
      <c r="Q561" t="str">
        <f t="shared" si="17"/>
        <v>Vey Active</v>
      </c>
    </row>
    <row r="562" spans="1:17">
      <c r="A562">
        <v>5553957443</v>
      </c>
      <c r="B562" s="1">
        <v>42489</v>
      </c>
      <c r="C562" s="3">
        <v>12764</v>
      </c>
      <c r="D562" s="2">
        <v>8.3299999237060494</v>
      </c>
      <c r="E562" s="2">
        <v>8.3299999237060494</v>
      </c>
      <c r="F562" s="2">
        <v>0</v>
      </c>
      <c r="G562" s="2">
        <v>2.78999996185303</v>
      </c>
      <c r="H562" s="2">
        <v>0.63999998569488503</v>
      </c>
      <c r="I562" s="2">
        <v>4.9099998474121103</v>
      </c>
      <c r="J562" s="2">
        <v>0</v>
      </c>
      <c r="K562" s="3">
        <v>46</v>
      </c>
      <c r="L562" s="3">
        <v>15</v>
      </c>
      <c r="M562" s="3">
        <v>270</v>
      </c>
      <c r="N562" s="3">
        <v>709</v>
      </c>
      <c r="O562" s="3">
        <v>2169</v>
      </c>
      <c r="P562" t="str">
        <f t="shared" si="16"/>
        <v>Fri</v>
      </c>
      <c r="Q562" t="str">
        <f t="shared" si="17"/>
        <v>Vey Active</v>
      </c>
    </row>
    <row r="563" spans="1:17">
      <c r="A563">
        <v>5553957443</v>
      </c>
      <c r="B563" s="1">
        <v>42493</v>
      </c>
      <c r="C563" s="3">
        <v>12848</v>
      </c>
      <c r="D563" s="2">
        <v>8.3900003433227504</v>
      </c>
      <c r="E563" s="2">
        <v>8.3900003433227504</v>
      </c>
      <c r="F563" s="2">
        <v>0</v>
      </c>
      <c r="G563" s="2">
        <v>1.5</v>
      </c>
      <c r="H563" s="2">
        <v>1.20000004768372</v>
      </c>
      <c r="I563" s="2">
        <v>5.6799998283386204</v>
      </c>
      <c r="J563" s="2">
        <v>0</v>
      </c>
      <c r="K563" s="3">
        <v>26</v>
      </c>
      <c r="L563" s="3">
        <v>29</v>
      </c>
      <c r="M563" s="3">
        <v>247</v>
      </c>
      <c r="N563" s="3">
        <v>812</v>
      </c>
      <c r="O563" s="3">
        <v>2116</v>
      </c>
      <c r="P563" t="str">
        <f t="shared" si="16"/>
        <v>Tue</v>
      </c>
      <c r="Q563" t="str">
        <f t="shared" si="17"/>
        <v>Vey Active</v>
      </c>
    </row>
    <row r="564" spans="1:17">
      <c r="A564">
        <v>5553957443</v>
      </c>
      <c r="B564" s="1">
        <v>42495</v>
      </c>
      <c r="C564" s="3">
        <v>14331</v>
      </c>
      <c r="D564" s="2">
        <v>9.5100002288818395</v>
      </c>
      <c r="E564" s="2">
        <v>9.5100002288818395</v>
      </c>
      <c r="F564" s="2">
        <v>0</v>
      </c>
      <c r="G564" s="2">
        <v>3.4300000667571999</v>
      </c>
      <c r="H564" s="2">
        <v>1.6599999666214</v>
      </c>
      <c r="I564" s="2">
        <v>4.4299998283386204</v>
      </c>
      <c r="J564" s="2">
        <v>0</v>
      </c>
      <c r="K564" s="3">
        <v>44</v>
      </c>
      <c r="L564" s="3">
        <v>29</v>
      </c>
      <c r="M564" s="3">
        <v>241</v>
      </c>
      <c r="N564" s="3">
        <v>692</v>
      </c>
      <c r="O564" s="3">
        <v>2156</v>
      </c>
      <c r="P564" t="str">
        <f t="shared" si="16"/>
        <v>Thu</v>
      </c>
      <c r="Q564" t="str">
        <f t="shared" si="17"/>
        <v>Vey Active</v>
      </c>
    </row>
    <row r="565" spans="1:17">
      <c r="A565">
        <v>5553957443</v>
      </c>
      <c r="B565" s="1">
        <v>42479</v>
      </c>
      <c r="C565" s="3">
        <v>15482</v>
      </c>
      <c r="D565" s="2">
        <v>10.1099996566772</v>
      </c>
      <c r="E565" s="2">
        <v>10.1099996566772</v>
      </c>
      <c r="F565" s="2">
        <v>0</v>
      </c>
      <c r="G565" s="2">
        <v>4.2800002098083496</v>
      </c>
      <c r="H565" s="2">
        <v>1.6599999666214</v>
      </c>
      <c r="I565" s="2">
        <v>4.1799998283386204</v>
      </c>
      <c r="J565" s="2">
        <v>0</v>
      </c>
      <c r="K565" s="3">
        <v>69</v>
      </c>
      <c r="L565" s="3">
        <v>28</v>
      </c>
      <c r="M565" s="3">
        <v>249</v>
      </c>
      <c r="N565" s="3">
        <v>756</v>
      </c>
      <c r="O565" s="3">
        <v>2284</v>
      </c>
      <c r="P565" t="str">
        <f t="shared" si="16"/>
        <v>Tue</v>
      </c>
      <c r="Q565" t="str">
        <f t="shared" si="17"/>
        <v>Vey Active</v>
      </c>
    </row>
    <row r="566" spans="1:17">
      <c r="A566">
        <v>5553957443</v>
      </c>
      <c r="B566" s="1">
        <v>42500</v>
      </c>
      <c r="C566" s="3">
        <v>16358</v>
      </c>
      <c r="D566" s="2">
        <v>10.710000038146999</v>
      </c>
      <c r="E566" s="2">
        <v>10.710000038146999</v>
      </c>
      <c r="F566" s="2">
        <v>0</v>
      </c>
      <c r="G566" s="2">
        <v>3.8699998855590798</v>
      </c>
      <c r="H566" s="2">
        <v>1.6100000143051101</v>
      </c>
      <c r="I566" s="2">
        <v>5.1999998092651403</v>
      </c>
      <c r="J566" s="2">
        <v>0</v>
      </c>
      <c r="K566" s="3">
        <v>61</v>
      </c>
      <c r="L566" s="3">
        <v>40</v>
      </c>
      <c r="M566" s="3">
        <v>265</v>
      </c>
      <c r="N566" s="3">
        <v>707</v>
      </c>
      <c r="O566" s="3">
        <v>2335</v>
      </c>
      <c r="P566" t="str">
        <f t="shared" si="16"/>
        <v>Tue</v>
      </c>
      <c r="Q566" t="str">
        <f t="shared" si="17"/>
        <v>Vey Active</v>
      </c>
    </row>
    <row r="567" spans="1:17">
      <c r="A567">
        <v>5553957443</v>
      </c>
      <c r="B567" s="1">
        <v>42475</v>
      </c>
      <c r="C567" s="3">
        <v>16556</v>
      </c>
      <c r="D567" s="2">
        <v>10.8599996566772</v>
      </c>
      <c r="E567" s="2">
        <v>10.8599996566772</v>
      </c>
      <c r="F567" s="2">
        <v>0</v>
      </c>
      <c r="G567" s="2">
        <v>4.1599998474121103</v>
      </c>
      <c r="H567" s="2">
        <v>1.9800000190734901</v>
      </c>
      <c r="I567" s="2">
        <v>4.71000003814697</v>
      </c>
      <c r="J567" s="2">
        <v>0</v>
      </c>
      <c r="K567" s="3">
        <v>58</v>
      </c>
      <c r="L567" s="3">
        <v>38</v>
      </c>
      <c r="M567" s="3">
        <v>239</v>
      </c>
      <c r="N567" s="3">
        <v>689</v>
      </c>
      <c r="O567" s="3">
        <v>2254</v>
      </c>
      <c r="P567" t="str">
        <f t="shared" si="16"/>
        <v>Fri</v>
      </c>
      <c r="Q567" t="str">
        <f t="shared" si="17"/>
        <v>Vey Active</v>
      </c>
    </row>
    <row r="568" spans="1:17">
      <c r="A568">
        <v>5553957443</v>
      </c>
      <c r="B568" s="1">
        <v>42474</v>
      </c>
      <c r="C568" s="3">
        <v>17022</v>
      </c>
      <c r="D568" s="2">
        <v>11.1199998855591</v>
      </c>
      <c r="E568" s="2">
        <v>11.1199998855591</v>
      </c>
      <c r="F568" s="2">
        <v>0</v>
      </c>
      <c r="G568" s="2">
        <v>4</v>
      </c>
      <c r="H568" s="2">
        <v>2.4500000476837198</v>
      </c>
      <c r="I568" s="2">
        <v>4.6700000762939498</v>
      </c>
      <c r="J568" s="2">
        <v>0</v>
      </c>
      <c r="K568" s="3">
        <v>61</v>
      </c>
      <c r="L568" s="3">
        <v>41</v>
      </c>
      <c r="M568" s="3">
        <v>256</v>
      </c>
      <c r="N568" s="3">
        <v>693</v>
      </c>
      <c r="O568" s="3">
        <v>2324</v>
      </c>
      <c r="P568" t="str">
        <f t="shared" si="16"/>
        <v>Thu</v>
      </c>
      <c r="Q568" t="str">
        <f t="shared" si="17"/>
        <v>Vey Active</v>
      </c>
    </row>
    <row r="569" spans="1:17">
      <c r="A569">
        <v>5577150313</v>
      </c>
      <c r="B569" s="1">
        <v>42497</v>
      </c>
      <c r="C569" s="3">
        <v>0</v>
      </c>
      <c r="D569" s="2">
        <v>0</v>
      </c>
      <c r="E569" s="2">
        <v>0</v>
      </c>
      <c r="F569" s="2">
        <v>0</v>
      </c>
      <c r="G569" s="2">
        <v>0</v>
      </c>
      <c r="H569" s="2">
        <v>0</v>
      </c>
      <c r="I569" s="2">
        <v>0</v>
      </c>
      <c r="J569" s="2">
        <v>0</v>
      </c>
      <c r="K569" s="3">
        <v>0</v>
      </c>
      <c r="L569" s="3">
        <v>0</v>
      </c>
      <c r="M569" s="3">
        <v>0</v>
      </c>
      <c r="N569" s="3">
        <v>1440</v>
      </c>
      <c r="O569" s="3">
        <v>1819</v>
      </c>
      <c r="P569" t="str">
        <f t="shared" si="16"/>
        <v>Sat</v>
      </c>
      <c r="Q569" t="str">
        <f t="shared" si="17"/>
        <v>Sedentary</v>
      </c>
    </row>
    <row r="570" spans="1:17">
      <c r="A570">
        <v>5577150313</v>
      </c>
      <c r="B570" s="1">
        <v>42498</v>
      </c>
      <c r="C570" s="3">
        <v>0</v>
      </c>
      <c r="D570" s="2">
        <v>0</v>
      </c>
      <c r="E570" s="2">
        <v>0</v>
      </c>
      <c r="F570" s="2">
        <v>0</v>
      </c>
      <c r="G570" s="2">
        <v>0</v>
      </c>
      <c r="H570" s="2">
        <v>0</v>
      </c>
      <c r="I570" s="2">
        <v>0</v>
      </c>
      <c r="J570" s="2">
        <v>0</v>
      </c>
      <c r="K570" s="3">
        <v>0</v>
      </c>
      <c r="L570" s="3">
        <v>0</v>
      </c>
      <c r="M570" s="3">
        <v>0</v>
      </c>
      <c r="N570" s="3">
        <v>1440</v>
      </c>
      <c r="O570" s="3">
        <v>1819</v>
      </c>
      <c r="P570" t="str">
        <f t="shared" si="16"/>
        <v>Sun</v>
      </c>
      <c r="Q570" t="str">
        <f t="shared" si="17"/>
        <v>Sedentary</v>
      </c>
    </row>
    <row r="571" spans="1:17">
      <c r="A571">
        <v>5577150313</v>
      </c>
      <c r="B571" s="1">
        <v>42499</v>
      </c>
      <c r="C571" s="3">
        <v>3421</v>
      </c>
      <c r="D571" s="2">
        <v>2.5599999427795401</v>
      </c>
      <c r="E571" s="2">
        <v>2.5599999427795401</v>
      </c>
      <c r="F571" s="2">
        <v>0</v>
      </c>
      <c r="G571" s="2">
        <v>1.4299999475479099</v>
      </c>
      <c r="H571" s="2">
        <v>0.140000000596046</v>
      </c>
      <c r="I571" s="2">
        <v>0.99000000953674305</v>
      </c>
      <c r="J571" s="2">
        <v>0</v>
      </c>
      <c r="K571" s="3">
        <v>34</v>
      </c>
      <c r="L571" s="3">
        <v>11</v>
      </c>
      <c r="M571" s="3">
        <v>70</v>
      </c>
      <c r="N571" s="3">
        <v>1099</v>
      </c>
      <c r="O571" s="3">
        <v>2489</v>
      </c>
      <c r="P571" t="str">
        <f t="shared" si="16"/>
        <v>Mon</v>
      </c>
      <c r="Q571" t="str">
        <f t="shared" si="17"/>
        <v>Sedentary</v>
      </c>
    </row>
    <row r="572" spans="1:17">
      <c r="A572">
        <v>5577150313</v>
      </c>
      <c r="B572" s="1">
        <v>42501</v>
      </c>
      <c r="C572" s="3">
        <v>4038</v>
      </c>
      <c r="D572" s="2">
        <v>3.03999996185303</v>
      </c>
      <c r="E572" s="2">
        <v>3.03999996185303</v>
      </c>
      <c r="F572" s="2">
        <v>0</v>
      </c>
      <c r="G572" s="2">
        <v>1.83000004291534</v>
      </c>
      <c r="H572" s="2">
        <v>0.30000001192092901</v>
      </c>
      <c r="I572" s="2">
        <v>0.88999998569488503</v>
      </c>
      <c r="J572" s="2">
        <v>0</v>
      </c>
      <c r="K572" s="3">
        <v>45</v>
      </c>
      <c r="L572" s="3">
        <v>15</v>
      </c>
      <c r="M572" s="3">
        <v>63</v>
      </c>
      <c r="N572" s="3">
        <v>257</v>
      </c>
      <c r="O572" s="3">
        <v>1665</v>
      </c>
      <c r="P572" t="str">
        <f t="shared" si="16"/>
        <v>Wed</v>
      </c>
      <c r="Q572" t="str">
        <f t="shared" si="17"/>
        <v>Sedentary</v>
      </c>
    </row>
    <row r="573" spans="1:17">
      <c r="A573">
        <v>5577150313</v>
      </c>
      <c r="B573" s="1">
        <v>42496</v>
      </c>
      <c r="C573" s="3">
        <v>4950</v>
      </c>
      <c r="D573" s="2">
        <v>3.7000000476837198</v>
      </c>
      <c r="E573" s="2">
        <v>3.7000000476837198</v>
      </c>
      <c r="F573" s="2">
        <v>0</v>
      </c>
      <c r="G573" s="2">
        <v>1.9299999475479099</v>
      </c>
      <c r="H573" s="2">
        <v>0.31999999284744302</v>
      </c>
      <c r="I573" s="2">
        <v>1.45000004768372</v>
      </c>
      <c r="J573" s="2">
        <v>0</v>
      </c>
      <c r="K573" s="3">
        <v>41</v>
      </c>
      <c r="L573" s="3">
        <v>16</v>
      </c>
      <c r="M573" s="3">
        <v>79</v>
      </c>
      <c r="N573" s="3">
        <v>1304</v>
      </c>
      <c r="O573" s="3">
        <v>2643</v>
      </c>
      <c r="P573" t="str">
        <f t="shared" si="16"/>
        <v>Fri</v>
      </c>
      <c r="Q573" t="str">
        <f t="shared" si="17"/>
        <v>Sedentary</v>
      </c>
    </row>
    <row r="574" spans="1:17">
      <c r="A574">
        <v>5577150313</v>
      </c>
      <c r="B574" s="1">
        <v>42473</v>
      </c>
      <c r="C574" s="3">
        <v>5077</v>
      </c>
      <c r="D574" s="2">
        <v>3.78999996185303</v>
      </c>
      <c r="E574" s="2">
        <v>3.78999996185303</v>
      </c>
      <c r="F574" s="2">
        <v>0</v>
      </c>
      <c r="G574" s="2">
        <v>0.31999999284744302</v>
      </c>
      <c r="H574" s="2">
        <v>0.21999999880790699</v>
      </c>
      <c r="I574" s="2">
        <v>3.25</v>
      </c>
      <c r="J574" s="2">
        <v>0</v>
      </c>
      <c r="K574" s="3">
        <v>15</v>
      </c>
      <c r="L574" s="3">
        <v>11</v>
      </c>
      <c r="M574" s="3">
        <v>144</v>
      </c>
      <c r="N574" s="3">
        <v>776</v>
      </c>
      <c r="O574" s="3">
        <v>2551</v>
      </c>
      <c r="P574" t="str">
        <f t="shared" si="16"/>
        <v>Wed</v>
      </c>
      <c r="Q574" t="str">
        <f t="shared" si="17"/>
        <v>Lightly Active</v>
      </c>
    </row>
    <row r="575" spans="1:17">
      <c r="A575">
        <v>5577150313</v>
      </c>
      <c r="B575" s="1">
        <v>42494</v>
      </c>
      <c r="C575" s="3">
        <v>5206</v>
      </c>
      <c r="D575" s="2">
        <v>3.8900001049041699</v>
      </c>
      <c r="E575" s="2">
        <v>3.8900001049041699</v>
      </c>
      <c r="F575" s="2">
        <v>0</v>
      </c>
      <c r="G575" s="2">
        <v>1.5599999427795399</v>
      </c>
      <c r="H575" s="2">
        <v>0.25</v>
      </c>
      <c r="I575" s="2">
        <v>2.0799999237060498</v>
      </c>
      <c r="J575" s="2">
        <v>0</v>
      </c>
      <c r="K575" s="3">
        <v>25</v>
      </c>
      <c r="L575" s="3">
        <v>9</v>
      </c>
      <c r="M575" s="3">
        <v>141</v>
      </c>
      <c r="N575" s="3">
        <v>631</v>
      </c>
      <c r="O575" s="3">
        <v>2755</v>
      </c>
      <c r="P575" t="str">
        <f t="shared" si="16"/>
        <v>Wed</v>
      </c>
      <c r="Q575" t="str">
        <f t="shared" si="17"/>
        <v>Lightly Active</v>
      </c>
    </row>
    <row r="576" spans="1:17">
      <c r="A576">
        <v>5577150313</v>
      </c>
      <c r="B576" s="1">
        <v>42486</v>
      </c>
      <c r="C576" s="3">
        <v>5325</v>
      </c>
      <c r="D576" s="2">
        <v>3.9800000190734899</v>
      </c>
      <c r="E576" s="2">
        <v>3.9800000190734899</v>
      </c>
      <c r="F576" s="2">
        <v>0</v>
      </c>
      <c r="G576" s="2">
        <v>0.85000002384185802</v>
      </c>
      <c r="H576" s="2">
        <v>0.64999997615814198</v>
      </c>
      <c r="I576" s="2">
        <v>2.4700000286102299</v>
      </c>
      <c r="J576" s="2">
        <v>0</v>
      </c>
      <c r="K576" s="3">
        <v>38</v>
      </c>
      <c r="L576" s="3">
        <v>32</v>
      </c>
      <c r="M576" s="3">
        <v>181</v>
      </c>
      <c r="N576" s="3">
        <v>759</v>
      </c>
      <c r="O576" s="3">
        <v>3088</v>
      </c>
      <c r="P576" t="str">
        <f t="shared" si="16"/>
        <v>Tue</v>
      </c>
      <c r="Q576" t="str">
        <f t="shared" si="17"/>
        <v>Lightly Active</v>
      </c>
    </row>
    <row r="577" spans="1:17">
      <c r="A577">
        <v>5577150313</v>
      </c>
      <c r="B577" s="1">
        <v>42485</v>
      </c>
      <c r="C577" s="3">
        <v>6393</v>
      </c>
      <c r="D577" s="2">
        <v>4.7800002098083496</v>
      </c>
      <c r="E577" s="2">
        <v>4.7800002098083496</v>
      </c>
      <c r="F577" s="2">
        <v>0</v>
      </c>
      <c r="G577" s="2">
        <v>1.3500000238418599</v>
      </c>
      <c r="H577" s="2">
        <v>0.67000001668930098</v>
      </c>
      <c r="I577" s="2">
        <v>2.7599999904632599</v>
      </c>
      <c r="J577" s="2">
        <v>0</v>
      </c>
      <c r="K577" s="3">
        <v>61</v>
      </c>
      <c r="L577" s="3">
        <v>38</v>
      </c>
      <c r="M577" s="3">
        <v>214</v>
      </c>
      <c r="N577" s="3">
        <v>743</v>
      </c>
      <c r="O577" s="3">
        <v>3374</v>
      </c>
      <c r="P577" t="str">
        <f t="shared" si="16"/>
        <v>Mon</v>
      </c>
      <c r="Q577" t="str">
        <f t="shared" si="17"/>
        <v>Lightly Active</v>
      </c>
    </row>
    <row r="578" spans="1:17">
      <c r="A578">
        <v>5577150313</v>
      </c>
      <c r="B578" s="1">
        <v>42487</v>
      </c>
      <c r="C578" s="3">
        <v>6805</v>
      </c>
      <c r="D578" s="2">
        <v>5.1399998664856001</v>
      </c>
      <c r="E578" s="2">
        <v>5.1399998664856001</v>
      </c>
      <c r="F578" s="2">
        <v>0</v>
      </c>
      <c r="G578" s="2">
        <v>1.8099999427795399</v>
      </c>
      <c r="H578" s="2">
        <v>0.40000000596046398</v>
      </c>
      <c r="I578" s="2">
        <v>2.9300000667571999</v>
      </c>
      <c r="J578" s="2">
        <v>0</v>
      </c>
      <c r="K578" s="3">
        <v>63</v>
      </c>
      <c r="L578" s="3">
        <v>16</v>
      </c>
      <c r="M578" s="3">
        <v>190</v>
      </c>
      <c r="N578" s="3">
        <v>773</v>
      </c>
      <c r="O578" s="3">
        <v>3294</v>
      </c>
      <c r="P578" t="str">
        <f t="shared" ref="P578:P641" si="18">TEXT(B578, "ddd")</f>
        <v>Wed</v>
      </c>
      <c r="Q578" t="str">
        <f t="shared" ref="Q578:Q641" si="19">IF(C578&lt;5000, "Sedentary", IF(C578&lt;7500, "Lightly Active",IF(C578&lt;10000, "Fairly Active", "Vey Active")))</f>
        <v>Lightly Active</v>
      </c>
    </row>
    <row r="579" spans="1:17">
      <c r="A579">
        <v>5577150313</v>
      </c>
      <c r="B579" s="1">
        <v>42492</v>
      </c>
      <c r="C579" s="3">
        <v>7439</v>
      </c>
      <c r="D579" s="2">
        <v>5.5599999427795401</v>
      </c>
      <c r="E579" s="2">
        <v>5.5599999427795401</v>
      </c>
      <c r="F579" s="2">
        <v>0</v>
      </c>
      <c r="G579" s="2">
        <v>1.12000000476837</v>
      </c>
      <c r="H579" s="2">
        <v>0.34999999403953602</v>
      </c>
      <c r="I579" s="2">
        <v>4.0700001716613796</v>
      </c>
      <c r="J579" s="2">
        <v>0</v>
      </c>
      <c r="K579" s="3">
        <v>37</v>
      </c>
      <c r="L579" s="3">
        <v>20</v>
      </c>
      <c r="M579" s="3">
        <v>235</v>
      </c>
      <c r="N579" s="3">
        <v>732</v>
      </c>
      <c r="O579" s="3">
        <v>3014</v>
      </c>
      <c r="P579" t="str">
        <f t="shared" si="18"/>
        <v>Mon</v>
      </c>
      <c r="Q579" t="str">
        <f t="shared" si="19"/>
        <v>Lightly Active</v>
      </c>
    </row>
    <row r="580" spans="1:17">
      <c r="A580">
        <v>5577150313</v>
      </c>
      <c r="B580" s="1">
        <v>42495</v>
      </c>
      <c r="C580" s="3">
        <v>7550</v>
      </c>
      <c r="D580" s="2">
        <v>5.6399998664856001</v>
      </c>
      <c r="E580" s="2">
        <v>5.6399998664856001</v>
      </c>
      <c r="F580" s="2">
        <v>0</v>
      </c>
      <c r="G580" s="2">
        <v>2.5</v>
      </c>
      <c r="H580" s="2">
        <v>0.46999999880790699</v>
      </c>
      <c r="I580" s="2">
        <v>2.6700000762939502</v>
      </c>
      <c r="J580" s="2">
        <v>0</v>
      </c>
      <c r="K580" s="3">
        <v>45</v>
      </c>
      <c r="L580" s="3">
        <v>21</v>
      </c>
      <c r="M580" s="3">
        <v>143</v>
      </c>
      <c r="N580" s="3">
        <v>1153</v>
      </c>
      <c r="O580" s="3">
        <v>3004</v>
      </c>
      <c r="P580" t="str">
        <f t="shared" si="18"/>
        <v>Thu</v>
      </c>
      <c r="Q580" t="str">
        <f t="shared" si="19"/>
        <v>Fairly Active</v>
      </c>
    </row>
    <row r="581" spans="1:17">
      <c r="A581">
        <v>5577150313</v>
      </c>
      <c r="B581" s="1">
        <v>42483</v>
      </c>
      <c r="C581" s="3">
        <v>7638</v>
      </c>
      <c r="D581" s="2">
        <v>5.71000003814697</v>
      </c>
      <c r="E581" s="2">
        <v>5.71000003814697</v>
      </c>
      <c r="F581" s="2">
        <v>0</v>
      </c>
      <c r="G581" s="2">
        <v>1.21000003814697</v>
      </c>
      <c r="H581" s="2">
        <v>0.36000001430511502</v>
      </c>
      <c r="I581" s="2">
        <v>4.1399998664856001</v>
      </c>
      <c r="J581" s="2">
        <v>0</v>
      </c>
      <c r="K581" s="3">
        <v>24</v>
      </c>
      <c r="L581" s="3">
        <v>24</v>
      </c>
      <c r="M581" s="3">
        <v>223</v>
      </c>
      <c r="N581" s="3">
        <v>627</v>
      </c>
      <c r="O581" s="3">
        <v>3152</v>
      </c>
      <c r="P581" t="str">
        <f t="shared" si="18"/>
        <v>Sat</v>
      </c>
      <c r="Q581" t="str">
        <f t="shared" si="19"/>
        <v>Fairly Active</v>
      </c>
    </row>
    <row r="582" spans="1:17">
      <c r="A582">
        <v>5577150313</v>
      </c>
      <c r="B582" s="1">
        <v>42489</v>
      </c>
      <c r="C582" s="3">
        <v>7924</v>
      </c>
      <c r="D582" s="2">
        <v>5.9200000762939498</v>
      </c>
      <c r="E582" s="2">
        <v>5.9200000762939498</v>
      </c>
      <c r="F582" s="2">
        <v>0</v>
      </c>
      <c r="G582" s="2">
        <v>2.8399999141693102</v>
      </c>
      <c r="H582" s="2">
        <v>0.61000001430511497</v>
      </c>
      <c r="I582" s="2">
        <v>2.4700000286102299</v>
      </c>
      <c r="J582" s="2">
        <v>0</v>
      </c>
      <c r="K582" s="3">
        <v>97</v>
      </c>
      <c r="L582" s="3">
        <v>36</v>
      </c>
      <c r="M582" s="3">
        <v>165</v>
      </c>
      <c r="N582" s="3">
        <v>739</v>
      </c>
      <c r="O582" s="3">
        <v>3544</v>
      </c>
      <c r="P582" t="str">
        <f t="shared" si="18"/>
        <v>Fri</v>
      </c>
      <c r="Q582" t="str">
        <f t="shared" si="19"/>
        <v>Fairly Active</v>
      </c>
    </row>
    <row r="583" spans="1:17">
      <c r="A583">
        <v>5577150313</v>
      </c>
      <c r="B583" s="1">
        <v>42472</v>
      </c>
      <c r="C583" s="3">
        <v>8135</v>
      </c>
      <c r="D583" s="2">
        <v>6.0799999237060502</v>
      </c>
      <c r="E583" s="2">
        <v>6.0799999237060502</v>
      </c>
      <c r="F583" s="2">
        <v>0</v>
      </c>
      <c r="G583" s="2">
        <v>3.5999999046325701</v>
      </c>
      <c r="H583" s="2">
        <v>0.37999999523162797</v>
      </c>
      <c r="I583" s="2">
        <v>2.0999999046325701</v>
      </c>
      <c r="J583" s="2">
        <v>0</v>
      </c>
      <c r="K583" s="3">
        <v>86</v>
      </c>
      <c r="L583" s="3">
        <v>16</v>
      </c>
      <c r="M583" s="3">
        <v>140</v>
      </c>
      <c r="N583" s="3">
        <v>728</v>
      </c>
      <c r="O583" s="3">
        <v>3405</v>
      </c>
      <c r="P583" t="str">
        <f t="shared" si="18"/>
        <v>Tue</v>
      </c>
      <c r="Q583" t="str">
        <f t="shared" si="19"/>
        <v>Fairly Active</v>
      </c>
    </row>
    <row r="584" spans="1:17">
      <c r="A584">
        <v>5577150313</v>
      </c>
      <c r="B584" s="1">
        <v>42480</v>
      </c>
      <c r="C584" s="3">
        <v>8330</v>
      </c>
      <c r="D584" s="2">
        <v>6.2199997901916504</v>
      </c>
      <c r="E584" s="2">
        <v>6.2199997901916504</v>
      </c>
      <c r="F584" s="2">
        <v>0</v>
      </c>
      <c r="G584" s="2">
        <v>4.1199998855590803</v>
      </c>
      <c r="H584" s="2">
        <v>0.34000000357627902</v>
      </c>
      <c r="I584" s="2">
        <v>1.7599999904632599</v>
      </c>
      <c r="J584" s="2">
        <v>0</v>
      </c>
      <c r="K584" s="3">
        <v>87</v>
      </c>
      <c r="L584" s="3">
        <v>16</v>
      </c>
      <c r="M584" s="3">
        <v>113</v>
      </c>
      <c r="N584" s="3">
        <v>773</v>
      </c>
      <c r="O584" s="3">
        <v>3192</v>
      </c>
      <c r="P584" t="str">
        <f t="shared" si="18"/>
        <v>Wed</v>
      </c>
      <c r="Q584" t="str">
        <f t="shared" si="19"/>
        <v>Fairly Active</v>
      </c>
    </row>
    <row r="585" spans="1:17">
      <c r="A585">
        <v>5577150313</v>
      </c>
      <c r="B585" s="1">
        <v>42474</v>
      </c>
      <c r="C585" s="3">
        <v>8596</v>
      </c>
      <c r="D585" s="2">
        <v>6.4200000762939498</v>
      </c>
      <c r="E585" s="2">
        <v>6.4200000762939498</v>
      </c>
      <c r="F585" s="2">
        <v>0</v>
      </c>
      <c r="G585" s="2">
        <v>3.3299999237060498</v>
      </c>
      <c r="H585" s="2">
        <v>0.31000000238418601</v>
      </c>
      <c r="I585" s="2">
        <v>2.7799999713897701</v>
      </c>
      <c r="J585" s="2">
        <v>0</v>
      </c>
      <c r="K585" s="3">
        <v>118</v>
      </c>
      <c r="L585" s="3">
        <v>30</v>
      </c>
      <c r="M585" s="3">
        <v>176</v>
      </c>
      <c r="N585" s="3">
        <v>662</v>
      </c>
      <c r="O585" s="3">
        <v>4022</v>
      </c>
      <c r="P585" t="str">
        <f t="shared" si="18"/>
        <v>Thu</v>
      </c>
      <c r="Q585" t="str">
        <f t="shared" si="19"/>
        <v>Fairly Active</v>
      </c>
    </row>
    <row r="586" spans="1:17">
      <c r="A586">
        <v>5577150313</v>
      </c>
      <c r="B586" s="1">
        <v>42500</v>
      </c>
      <c r="C586" s="3">
        <v>8869</v>
      </c>
      <c r="D586" s="2">
        <v>6.6500000953674299</v>
      </c>
      <c r="E586" s="2">
        <v>6.6500000953674299</v>
      </c>
      <c r="F586" s="2">
        <v>0</v>
      </c>
      <c r="G586" s="2">
        <v>2.5599999427795401</v>
      </c>
      <c r="H586" s="2">
        <v>0.75</v>
      </c>
      <c r="I586" s="2">
        <v>3.3499999046325701</v>
      </c>
      <c r="J586" s="2">
        <v>0</v>
      </c>
      <c r="K586" s="3">
        <v>104</v>
      </c>
      <c r="L586" s="3">
        <v>37</v>
      </c>
      <c r="M586" s="3">
        <v>194</v>
      </c>
      <c r="N586" s="3">
        <v>639</v>
      </c>
      <c r="O586" s="3">
        <v>3841</v>
      </c>
      <c r="P586" t="str">
        <f t="shared" si="18"/>
        <v>Tue</v>
      </c>
      <c r="Q586" t="str">
        <f t="shared" si="19"/>
        <v>Fairly Active</v>
      </c>
    </row>
    <row r="587" spans="1:17">
      <c r="A587">
        <v>5577150313</v>
      </c>
      <c r="B587" s="1">
        <v>42482</v>
      </c>
      <c r="C587" s="3">
        <v>9172</v>
      </c>
      <c r="D587" s="2">
        <v>6.8499999046325701</v>
      </c>
      <c r="E587" s="2">
        <v>6.8499999046325701</v>
      </c>
      <c r="F587" s="2">
        <v>0</v>
      </c>
      <c r="G587" s="2">
        <v>2.4200000762939502</v>
      </c>
      <c r="H587" s="2">
        <v>0.79000002145767201</v>
      </c>
      <c r="I587" s="2">
        <v>3.2999999523162802</v>
      </c>
      <c r="J587" s="2">
        <v>0</v>
      </c>
      <c r="K587" s="3">
        <v>62</v>
      </c>
      <c r="L587" s="3">
        <v>30</v>
      </c>
      <c r="M587" s="3">
        <v>200</v>
      </c>
      <c r="N587" s="3">
        <v>823</v>
      </c>
      <c r="O587" s="3">
        <v>3329</v>
      </c>
      <c r="P587" t="str">
        <f t="shared" si="18"/>
        <v>Fri</v>
      </c>
      <c r="Q587" t="str">
        <f t="shared" si="19"/>
        <v>Fairly Active</v>
      </c>
    </row>
    <row r="588" spans="1:17">
      <c r="A588">
        <v>5577150313</v>
      </c>
      <c r="B588" s="1">
        <v>42488</v>
      </c>
      <c r="C588" s="3">
        <v>9841</v>
      </c>
      <c r="D588" s="2">
        <v>7.4299998283386204</v>
      </c>
      <c r="E588" s="2">
        <v>7.4299998283386204</v>
      </c>
      <c r="F588" s="2">
        <v>0</v>
      </c>
      <c r="G588" s="2">
        <v>3.25</v>
      </c>
      <c r="H588" s="2">
        <v>1.16999995708466</v>
      </c>
      <c r="I588" s="2">
        <v>3.0099999904632599</v>
      </c>
      <c r="J588" s="2">
        <v>0</v>
      </c>
      <c r="K588" s="3">
        <v>99</v>
      </c>
      <c r="L588" s="3">
        <v>51</v>
      </c>
      <c r="M588" s="3">
        <v>141</v>
      </c>
      <c r="N588" s="3">
        <v>692</v>
      </c>
      <c r="O588" s="3">
        <v>3580</v>
      </c>
      <c r="P588" t="str">
        <f t="shared" si="18"/>
        <v>Thu</v>
      </c>
      <c r="Q588" t="str">
        <f t="shared" si="19"/>
        <v>Fairly Active</v>
      </c>
    </row>
    <row r="589" spans="1:17">
      <c r="A589">
        <v>5577150313</v>
      </c>
      <c r="B589" s="1">
        <v>42478</v>
      </c>
      <c r="C589" s="3">
        <v>9893</v>
      </c>
      <c r="D589" s="2">
        <v>7.3899998664856001</v>
      </c>
      <c r="E589" s="2">
        <v>7.3899998664856001</v>
      </c>
      <c r="F589" s="2">
        <v>0</v>
      </c>
      <c r="G589" s="2">
        <v>4.8600001335143999</v>
      </c>
      <c r="H589" s="2">
        <v>0.72000002861022905</v>
      </c>
      <c r="I589" s="2">
        <v>1.8200000524520901</v>
      </c>
      <c r="J589" s="2">
        <v>0</v>
      </c>
      <c r="K589" s="3">
        <v>114</v>
      </c>
      <c r="L589" s="3">
        <v>32</v>
      </c>
      <c r="M589" s="3">
        <v>130</v>
      </c>
      <c r="N589" s="3">
        <v>623</v>
      </c>
      <c r="O589" s="3">
        <v>3625</v>
      </c>
      <c r="P589" t="str">
        <f t="shared" si="18"/>
        <v>Mon</v>
      </c>
      <c r="Q589" t="str">
        <f t="shared" si="19"/>
        <v>Fairly Active</v>
      </c>
    </row>
    <row r="590" spans="1:17">
      <c r="A590">
        <v>5577150313</v>
      </c>
      <c r="B590" s="1">
        <v>42481</v>
      </c>
      <c r="C590" s="3">
        <v>10830</v>
      </c>
      <c r="D590" s="2">
        <v>8.0900001525878906</v>
      </c>
      <c r="E590" s="2">
        <v>8.0900001525878906</v>
      </c>
      <c r="F590" s="2">
        <v>0</v>
      </c>
      <c r="G590" s="2">
        <v>3.6500000953674299</v>
      </c>
      <c r="H590" s="2">
        <v>1.6599999666214</v>
      </c>
      <c r="I590" s="2">
        <v>2.7799999713897701</v>
      </c>
      <c r="J590" s="2">
        <v>0</v>
      </c>
      <c r="K590" s="3">
        <v>110</v>
      </c>
      <c r="L590" s="3">
        <v>74</v>
      </c>
      <c r="M590" s="3">
        <v>175</v>
      </c>
      <c r="N590" s="3">
        <v>670</v>
      </c>
      <c r="O590" s="3">
        <v>4018</v>
      </c>
      <c r="P590" t="str">
        <f t="shared" si="18"/>
        <v>Thu</v>
      </c>
      <c r="Q590" t="str">
        <f t="shared" si="19"/>
        <v>Vey Active</v>
      </c>
    </row>
    <row r="591" spans="1:17">
      <c r="A591">
        <v>5577150313</v>
      </c>
      <c r="B591" s="1">
        <v>42493</v>
      </c>
      <c r="C591" s="3">
        <v>11045</v>
      </c>
      <c r="D591" s="2">
        <v>8.25</v>
      </c>
      <c r="E591" s="2">
        <v>8.25</v>
      </c>
      <c r="F591" s="2">
        <v>0</v>
      </c>
      <c r="G591" s="2">
        <v>4.5199999809265101</v>
      </c>
      <c r="H591" s="2">
        <v>0.15000000596046401</v>
      </c>
      <c r="I591" s="2">
        <v>3.5699999332428001</v>
      </c>
      <c r="J591" s="2">
        <v>0</v>
      </c>
      <c r="K591" s="3">
        <v>97</v>
      </c>
      <c r="L591" s="3">
        <v>8</v>
      </c>
      <c r="M591" s="3">
        <v>212</v>
      </c>
      <c r="N591" s="3">
        <v>580</v>
      </c>
      <c r="O591" s="3">
        <v>3795</v>
      </c>
      <c r="P591" t="str">
        <f t="shared" si="18"/>
        <v>Tue</v>
      </c>
      <c r="Q591" t="str">
        <f t="shared" si="19"/>
        <v>Vey Active</v>
      </c>
    </row>
    <row r="592" spans="1:17">
      <c r="A592">
        <v>5577150313</v>
      </c>
      <c r="B592" s="1">
        <v>42475</v>
      </c>
      <c r="C592" s="3">
        <v>12087</v>
      </c>
      <c r="D592" s="2">
        <v>9.0799999237060494</v>
      </c>
      <c r="E592" s="2">
        <v>9.0799999237060494</v>
      </c>
      <c r="F592" s="2">
        <v>0</v>
      </c>
      <c r="G592" s="2">
        <v>3.9200000762939502</v>
      </c>
      <c r="H592" s="2">
        <v>1.6000000238418599</v>
      </c>
      <c r="I592" s="2">
        <v>3.5599999427795401</v>
      </c>
      <c r="J592" s="2">
        <v>0</v>
      </c>
      <c r="K592" s="3">
        <v>115</v>
      </c>
      <c r="L592" s="3">
        <v>54</v>
      </c>
      <c r="M592" s="3">
        <v>199</v>
      </c>
      <c r="N592" s="3">
        <v>695</v>
      </c>
      <c r="O592" s="3">
        <v>4005</v>
      </c>
      <c r="P592" t="str">
        <f t="shared" si="18"/>
        <v>Fri</v>
      </c>
      <c r="Q592" t="str">
        <f t="shared" si="19"/>
        <v>Vey Active</v>
      </c>
    </row>
    <row r="593" spans="1:17">
      <c r="A593">
        <v>5577150313</v>
      </c>
      <c r="B593" s="1">
        <v>42477</v>
      </c>
      <c r="C593" s="3">
        <v>12231</v>
      </c>
      <c r="D593" s="2">
        <v>9.1400003433227504</v>
      </c>
      <c r="E593" s="2">
        <v>9.1400003433227504</v>
      </c>
      <c r="F593" s="2">
        <v>0</v>
      </c>
      <c r="G593" s="2">
        <v>5.9800000190734899</v>
      </c>
      <c r="H593" s="2">
        <v>0.82999998331069902</v>
      </c>
      <c r="I593" s="2">
        <v>2.3199999332428001</v>
      </c>
      <c r="J593" s="2">
        <v>0</v>
      </c>
      <c r="K593" s="3">
        <v>200</v>
      </c>
      <c r="L593" s="3">
        <v>37</v>
      </c>
      <c r="M593" s="3">
        <v>159</v>
      </c>
      <c r="N593" s="3">
        <v>525</v>
      </c>
      <c r="O593" s="3">
        <v>4552</v>
      </c>
      <c r="P593" t="str">
        <f t="shared" si="18"/>
        <v>Sun</v>
      </c>
      <c r="Q593" t="str">
        <f t="shared" si="19"/>
        <v>Vey Active</v>
      </c>
    </row>
    <row r="594" spans="1:17">
      <c r="A594">
        <v>5577150313</v>
      </c>
      <c r="B594" s="1">
        <v>42490</v>
      </c>
      <c r="C594" s="3">
        <v>12363</v>
      </c>
      <c r="D594" s="2">
        <v>9.2399997711181605</v>
      </c>
      <c r="E594" s="2">
        <v>9.2399997711181605</v>
      </c>
      <c r="F594" s="2">
        <v>0</v>
      </c>
      <c r="G594" s="2">
        <v>5.8299999237060502</v>
      </c>
      <c r="H594" s="2">
        <v>0.79000002145767201</v>
      </c>
      <c r="I594" s="2">
        <v>2.6099998950958301</v>
      </c>
      <c r="J594" s="2">
        <v>0</v>
      </c>
      <c r="K594" s="3">
        <v>207</v>
      </c>
      <c r="L594" s="3">
        <v>45</v>
      </c>
      <c r="M594" s="3">
        <v>163</v>
      </c>
      <c r="N594" s="3">
        <v>621</v>
      </c>
      <c r="O594" s="3">
        <v>4501</v>
      </c>
      <c r="P594" t="str">
        <f t="shared" si="18"/>
        <v>Sat</v>
      </c>
      <c r="Q594" t="str">
        <f t="shared" si="19"/>
        <v>Vey Active</v>
      </c>
    </row>
    <row r="595" spans="1:17">
      <c r="A595">
        <v>5577150313</v>
      </c>
      <c r="B595" s="1">
        <v>42479</v>
      </c>
      <c r="C595" s="3">
        <v>12574</v>
      </c>
      <c r="D595" s="2">
        <v>9.4200000762939506</v>
      </c>
      <c r="E595" s="2">
        <v>9.4200000762939506</v>
      </c>
      <c r="F595" s="2">
        <v>0</v>
      </c>
      <c r="G595" s="2">
        <v>7.0199999809265101</v>
      </c>
      <c r="H595" s="2">
        <v>0.63999998569488503</v>
      </c>
      <c r="I595" s="2">
        <v>1.7599999904632599</v>
      </c>
      <c r="J595" s="2">
        <v>0</v>
      </c>
      <c r="K595" s="3">
        <v>108</v>
      </c>
      <c r="L595" s="3">
        <v>23</v>
      </c>
      <c r="M595" s="3">
        <v>111</v>
      </c>
      <c r="N595" s="3">
        <v>733</v>
      </c>
      <c r="O595" s="3">
        <v>3501</v>
      </c>
      <c r="P595" t="str">
        <f t="shared" si="18"/>
        <v>Tue</v>
      </c>
      <c r="Q595" t="str">
        <f t="shared" si="19"/>
        <v>Vey Active</v>
      </c>
    </row>
    <row r="596" spans="1:17">
      <c r="A596">
        <v>5577150313</v>
      </c>
      <c r="B596" s="1">
        <v>42491</v>
      </c>
      <c r="C596" s="3">
        <v>13368</v>
      </c>
      <c r="D596" s="2">
        <v>9.9899997711181605</v>
      </c>
      <c r="E596" s="2">
        <v>9.9899997711181605</v>
      </c>
      <c r="F596" s="2">
        <v>0</v>
      </c>
      <c r="G596" s="2">
        <v>5.3099999427795401</v>
      </c>
      <c r="H596" s="2">
        <v>1.4400000572204601</v>
      </c>
      <c r="I596" s="2">
        <v>3.2400000095367401</v>
      </c>
      <c r="J596" s="2">
        <v>0</v>
      </c>
      <c r="K596" s="3">
        <v>194</v>
      </c>
      <c r="L596" s="3">
        <v>72</v>
      </c>
      <c r="M596" s="3">
        <v>178</v>
      </c>
      <c r="N596" s="3">
        <v>499</v>
      </c>
      <c r="O596" s="3">
        <v>4546</v>
      </c>
      <c r="P596" t="str">
        <f t="shared" si="18"/>
        <v>Sun</v>
      </c>
      <c r="Q596" t="str">
        <f t="shared" si="19"/>
        <v>Vey Active</v>
      </c>
    </row>
    <row r="597" spans="1:17">
      <c r="A597">
        <v>5577150313</v>
      </c>
      <c r="B597" s="1">
        <v>42476</v>
      </c>
      <c r="C597" s="3">
        <v>14269</v>
      </c>
      <c r="D597" s="2">
        <v>10.6599998474121</v>
      </c>
      <c r="E597" s="2">
        <v>10.6599998474121</v>
      </c>
      <c r="F597" s="2">
        <v>0</v>
      </c>
      <c r="G597" s="2">
        <v>6.6399998664856001</v>
      </c>
      <c r="H597" s="2">
        <v>1.2799999713897701</v>
      </c>
      <c r="I597" s="2">
        <v>2.7300000190734899</v>
      </c>
      <c r="J597" s="2">
        <v>0</v>
      </c>
      <c r="K597" s="3">
        <v>184</v>
      </c>
      <c r="L597" s="3">
        <v>56</v>
      </c>
      <c r="M597" s="3">
        <v>158</v>
      </c>
      <c r="N597" s="3">
        <v>472</v>
      </c>
      <c r="O597" s="3">
        <v>4274</v>
      </c>
      <c r="P597" t="str">
        <f t="shared" si="18"/>
        <v>Sat</v>
      </c>
      <c r="Q597" t="str">
        <f t="shared" si="19"/>
        <v>Vey Active</v>
      </c>
    </row>
    <row r="598" spans="1:17">
      <c r="A598">
        <v>5577150313</v>
      </c>
      <c r="B598" s="1">
        <v>42484</v>
      </c>
      <c r="C598" s="3">
        <v>15764</v>
      </c>
      <c r="D598" s="2">
        <v>11.7799997329712</v>
      </c>
      <c r="E598" s="2">
        <v>11.7799997329712</v>
      </c>
      <c r="F598" s="2">
        <v>0</v>
      </c>
      <c r="G598" s="2">
        <v>7.6500000953674299</v>
      </c>
      <c r="H598" s="2">
        <v>2.1500000953674299</v>
      </c>
      <c r="I598" s="2">
        <v>1.9800000190734901</v>
      </c>
      <c r="J598" s="2">
        <v>0</v>
      </c>
      <c r="K598" s="3">
        <v>210</v>
      </c>
      <c r="L598" s="3">
        <v>65</v>
      </c>
      <c r="M598" s="3">
        <v>141</v>
      </c>
      <c r="N598" s="3">
        <v>425</v>
      </c>
      <c r="O598" s="3">
        <v>4392</v>
      </c>
      <c r="P598" t="str">
        <f t="shared" si="18"/>
        <v>Sun</v>
      </c>
      <c r="Q598" t="str">
        <f t="shared" si="19"/>
        <v>Vey Active</v>
      </c>
    </row>
    <row r="599" spans="1:17">
      <c r="A599">
        <v>6117666160</v>
      </c>
      <c r="B599" s="1">
        <v>42472</v>
      </c>
      <c r="C599" s="3">
        <v>0</v>
      </c>
      <c r="D599" s="2">
        <v>0</v>
      </c>
      <c r="E599" s="2">
        <v>0</v>
      </c>
      <c r="F599" s="2">
        <v>0</v>
      </c>
      <c r="G599" s="2">
        <v>0</v>
      </c>
      <c r="H599" s="2">
        <v>0</v>
      </c>
      <c r="I599" s="2">
        <v>0</v>
      </c>
      <c r="J599" s="2">
        <v>0</v>
      </c>
      <c r="K599" s="3">
        <v>0</v>
      </c>
      <c r="L599" s="3">
        <v>0</v>
      </c>
      <c r="M599" s="3">
        <v>0</v>
      </c>
      <c r="N599" s="3">
        <v>1440</v>
      </c>
      <c r="O599" s="3">
        <v>1496</v>
      </c>
      <c r="P599" t="str">
        <f t="shared" si="18"/>
        <v>Tue</v>
      </c>
      <c r="Q599" t="str">
        <f t="shared" si="19"/>
        <v>Sedentary</v>
      </c>
    </row>
    <row r="600" spans="1:17">
      <c r="A600">
        <v>6117666160</v>
      </c>
      <c r="B600" s="1">
        <v>42473</v>
      </c>
      <c r="C600" s="3">
        <v>0</v>
      </c>
      <c r="D600" s="2">
        <v>0</v>
      </c>
      <c r="E600" s="2">
        <v>0</v>
      </c>
      <c r="F600" s="2">
        <v>0</v>
      </c>
      <c r="G600" s="2">
        <v>0</v>
      </c>
      <c r="H600" s="2">
        <v>0</v>
      </c>
      <c r="I600" s="2">
        <v>0</v>
      </c>
      <c r="J600" s="2">
        <v>0</v>
      </c>
      <c r="K600" s="3">
        <v>0</v>
      </c>
      <c r="L600" s="3">
        <v>0</v>
      </c>
      <c r="M600" s="3">
        <v>0</v>
      </c>
      <c r="N600" s="3">
        <v>1440</v>
      </c>
      <c r="O600" s="3">
        <v>1496</v>
      </c>
      <c r="P600" t="str">
        <f t="shared" si="18"/>
        <v>Wed</v>
      </c>
      <c r="Q600" t="str">
        <f t="shared" si="19"/>
        <v>Sedentary</v>
      </c>
    </row>
    <row r="601" spans="1:17">
      <c r="A601">
        <v>6117666160</v>
      </c>
      <c r="B601" s="1">
        <v>42474</v>
      </c>
      <c r="C601" s="3">
        <v>0</v>
      </c>
      <c r="D601" s="2">
        <v>0</v>
      </c>
      <c r="E601" s="2">
        <v>0</v>
      </c>
      <c r="F601" s="2">
        <v>0</v>
      </c>
      <c r="G601" s="2">
        <v>0</v>
      </c>
      <c r="H601" s="2">
        <v>0</v>
      </c>
      <c r="I601" s="2">
        <v>0</v>
      </c>
      <c r="J601" s="2">
        <v>0</v>
      </c>
      <c r="K601" s="3">
        <v>0</v>
      </c>
      <c r="L601" s="3">
        <v>0</v>
      </c>
      <c r="M601" s="3">
        <v>0</v>
      </c>
      <c r="N601" s="3">
        <v>1440</v>
      </c>
      <c r="O601" s="3">
        <v>1496</v>
      </c>
      <c r="P601" t="str">
        <f t="shared" si="18"/>
        <v>Thu</v>
      </c>
      <c r="Q601" t="str">
        <f t="shared" si="19"/>
        <v>Sedentary</v>
      </c>
    </row>
    <row r="602" spans="1:17">
      <c r="A602">
        <v>6117666160</v>
      </c>
      <c r="B602" s="1">
        <v>42485</v>
      </c>
      <c r="C602" s="3">
        <v>0</v>
      </c>
      <c r="D602" s="2">
        <v>0</v>
      </c>
      <c r="E602" s="2">
        <v>0</v>
      </c>
      <c r="F602" s="2">
        <v>0</v>
      </c>
      <c r="G602" s="2">
        <v>0</v>
      </c>
      <c r="H602" s="2">
        <v>0</v>
      </c>
      <c r="I602" s="2">
        <v>0</v>
      </c>
      <c r="J602" s="2">
        <v>0</v>
      </c>
      <c r="K602" s="3">
        <v>0</v>
      </c>
      <c r="L602" s="3">
        <v>0</v>
      </c>
      <c r="M602" s="3">
        <v>0</v>
      </c>
      <c r="N602" s="3">
        <v>1440</v>
      </c>
      <c r="O602" s="3">
        <v>1497</v>
      </c>
      <c r="P602" t="str">
        <f t="shared" si="18"/>
        <v>Mon</v>
      </c>
      <c r="Q602" t="str">
        <f t="shared" si="19"/>
        <v>Sedentary</v>
      </c>
    </row>
    <row r="603" spans="1:17">
      <c r="A603">
        <v>6117666160</v>
      </c>
      <c r="B603" s="1">
        <v>42493</v>
      </c>
      <c r="C603" s="3">
        <v>0</v>
      </c>
      <c r="D603" s="2">
        <v>0</v>
      </c>
      <c r="E603" s="2">
        <v>0</v>
      </c>
      <c r="F603" s="2">
        <v>0</v>
      </c>
      <c r="G603" s="2">
        <v>0</v>
      </c>
      <c r="H603" s="2">
        <v>0</v>
      </c>
      <c r="I603" s="2">
        <v>0</v>
      </c>
      <c r="J603" s="2">
        <v>0</v>
      </c>
      <c r="K603" s="3">
        <v>0</v>
      </c>
      <c r="L603" s="3">
        <v>0</v>
      </c>
      <c r="M603" s="3">
        <v>0</v>
      </c>
      <c r="N603" s="3">
        <v>1440</v>
      </c>
      <c r="O603" s="3">
        <v>1496</v>
      </c>
      <c r="P603" t="str">
        <f t="shared" si="18"/>
        <v>Tue</v>
      </c>
      <c r="Q603" t="str">
        <f t="shared" si="19"/>
        <v>Sedentary</v>
      </c>
    </row>
    <row r="604" spans="1:17">
      <c r="A604">
        <v>6117666160</v>
      </c>
      <c r="B604" s="1">
        <v>42494</v>
      </c>
      <c r="C604" s="3">
        <v>2997</v>
      </c>
      <c r="D604" s="2">
        <v>2.2599999904632599</v>
      </c>
      <c r="E604" s="2">
        <v>2.2599999904632599</v>
      </c>
      <c r="F604" s="2">
        <v>0</v>
      </c>
      <c r="G604" s="2">
        <v>0</v>
      </c>
      <c r="H604" s="2">
        <v>0</v>
      </c>
      <c r="I604" s="2">
        <v>2.2599999904632599</v>
      </c>
      <c r="J604" s="2">
        <v>0</v>
      </c>
      <c r="K604" s="3">
        <v>0</v>
      </c>
      <c r="L604" s="3">
        <v>0</v>
      </c>
      <c r="M604" s="3">
        <v>156</v>
      </c>
      <c r="N604" s="3">
        <v>1279</v>
      </c>
      <c r="O604" s="3">
        <v>1902</v>
      </c>
      <c r="P604" t="str">
        <f t="shared" si="18"/>
        <v>Wed</v>
      </c>
      <c r="Q604" t="str">
        <f t="shared" si="19"/>
        <v>Sedentary</v>
      </c>
    </row>
    <row r="605" spans="1:17">
      <c r="A605">
        <v>6117666160</v>
      </c>
      <c r="B605" s="1">
        <v>42496</v>
      </c>
      <c r="C605" s="3">
        <v>3365</v>
      </c>
      <c r="D605" s="2">
        <v>2.6800000667571999</v>
      </c>
      <c r="E605" s="2">
        <v>2.6800000667571999</v>
      </c>
      <c r="F605" s="2">
        <v>0</v>
      </c>
      <c r="G605" s="2">
        <v>0</v>
      </c>
      <c r="H605" s="2">
        <v>0</v>
      </c>
      <c r="I605" s="2">
        <v>2.6800000667571999</v>
      </c>
      <c r="J605" s="2">
        <v>0</v>
      </c>
      <c r="K605" s="3">
        <v>0</v>
      </c>
      <c r="L605" s="3">
        <v>0</v>
      </c>
      <c r="M605" s="3">
        <v>133</v>
      </c>
      <c r="N605" s="3">
        <v>673</v>
      </c>
      <c r="O605" s="3">
        <v>1838</v>
      </c>
      <c r="P605" t="str">
        <f t="shared" si="18"/>
        <v>Fri</v>
      </c>
      <c r="Q605" t="str">
        <f t="shared" si="19"/>
        <v>Sedentary</v>
      </c>
    </row>
    <row r="606" spans="1:17">
      <c r="A606">
        <v>6117666160</v>
      </c>
      <c r="B606" s="1">
        <v>42488</v>
      </c>
      <c r="C606" s="3">
        <v>3403</v>
      </c>
      <c r="D606" s="2">
        <v>2.5999999046325701</v>
      </c>
      <c r="E606" s="2">
        <v>2.5999999046325701</v>
      </c>
      <c r="F606" s="2">
        <v>0</v>
      </c>
      <c r="G606" s="2">
        <v>0</v>
      </c>
      <c r="H606" s="2">
        <v>0</v>
      </c>
      <c r="I606" s="2">
        <v>2.5999999046325701</v>
      </c>
      <c r="J606" s="2">
        <v>0</v>
      </c>
      <c r="K606" s="3">
        <v>0</v>
      </c>
      <c r="L606" s="3">
        <v>0</v>
      </c>
      <c r="M606" s="3">
        <v>141</v>
      </c>
      <c r="N606" s="3">
        <v>758</v>
      </c>
      <c r="O606" s="3">
        <v>1879</v>
      </c>
      <c r="P606" t="str">
        <f t="shared" si="18"/>
        <v>Thu</v>
      </c>
      <c r="Q606" t="str">
        <f t="shared" si="19"/>
        <v>Sedentary</v>
      </c>
    </row>
    <row r="607" spans="1:17">
      <c r="A607">
        <v>6117666160</v>
      </c>
      <c r="B607" s="1">
        <v>42499</v>
      </c>
      <c r="C607" s="3">
        <v>4477</v>
      </c>
      <c r="D607" s="2">
        <v>3.3800001144409202</v>
      </c>
      <c r="E607" s="2">
        <v>3.3800001144409202</v>
      </c>
      <c r="F607" s="2">
        <v>0</v>
      </c>
      <c r="G607" s="2">
        <v>0</v>
      </c>
      <c r="H607" s="2">
        <v>0</v>
      </c>
      <c r="I607" s="2">
        <v>3.3800001144409202</v>
      </c>
      <c r="J607" s="2">
        <v>0</v>
      </c>
      <c r="K607" s="3">
        <v>0</v>
      </c>
      <c r="L607" s="3">
        <v>0</v>
      </c>
      <c r="M607" s="3">
        <v>197</v>
      </c>
      <c r="N607" s="3">
        <v>125</v>
      </c>
      <c r="O607" s="3">
        <v>1248</v>
      </c>
      <c r="P607" t="str">
        <f t="shared" si="18"/>
        <v>Mon</v>
      </c>
      <c r="Q607" t="str">
        <f t="shared" si="19"/>
        <v>Sedentary</v>
      </c>
    </row>
    <row r="608" spans="1:17">
      <c r="A608">
        <v>6117666160</v>
      </c>
      <c r="B608" s="1">
        <v>42492</v>
      </c>
      <c r="C608" s="3">
        <v>4933</v>
      </c>
      <c r="D608" s="2">
        <v>3.7300000190734899</v>
      </c>
      <c r="E608" s="2">
        <v>3.7300000190734899</v>
      </c>
      <c r="F608" s="2">
        <v>0</v>
      </c>
      <c r="G608" s="2">
        <v>0</v>
      </c>
      <c r="H608" s="2">
        <v>0</v>
      </c>
      <c r="I608" s="2">
        <v>3.7300000190734899</v>
      </c>
      <c r="J608" s="2">
        <v>0</v>
      </c>
      <c r="K608" s="3">
        <v>0</v>
      </c>
      <c r="L608" s="3">
        <v>0</v>
      </c>
      <c r="M608" s="3">
        <v>236</v>
      </c>
      <c r="N608" s="3">
        <v>1204</v>
      </c>
      <c r="O608" s="3">
        <v>2044</v>
      </c>
      <c r="P608" t="str">
        <f t="shared" si="18"/>
        <v>Mon</v>
      </c>
      <c r="Q608" t="str">
        <f t="shared" si="19"/>
        <v>Sedentary</v>
      </c>
    </row>
    <row r="609" spans="1:17">
      <c r="A609">
        <v>6117666160</v>
      </c>
      <c r="B609" s="1">
        <v>42478</v>
      </c>
      <c r="C609" s="3">
        <v>5153</v>
      </c>
      <c r="D609" s="2">
        <v>3.9100000858306898</v>
      </c>
      <c r="E609" s="2">
        <v>3.9100000858306898</v>
      </c>
      <c r="F609" s="2">
        <v>0</v>
      </c>
      <c r="G609" s="2">
        <v>0</v>
      </c>
      <c r="H609" s="2">
        <v>0</v>
      </c>
      <c r="I609" s="2">
        <v>3.8900001049041699</v>
      </c>
      <c r="J609" s="2">
        <v>0</v>
      </c>
      <c r="K609" s="3">
        <v>0</v>
      </c>
      <c r="L609" s="3">
        <v>0</v>
      </c>
      <c r="M609" s="3">
        <v>241</v>
      </c>
      <c r="N609" s="3">
        <v>759</v>
      </c>
      <c r="O609" s="3">
        <v>2018</v>
      </c>
      <c r="P609" t="str">
        <f t="shared" si="18"/>
        <v>Mon</v>
      </c>
      <c r="Q609" t="str">
        <f t="shared" si="19"/>
        <v>Lightly Active</v>
      </c>
    </row>
    <row r="610" spans="1:17">
      <c r="A610">
        <v>6117666160</v>
      </c>
      <c r="B610" s="1">
        <v>42490</v>
      </c>
      <c r="C610" s="3">
        <v>6987</v>
      </c>
      <c r="D610" s="2">
        <v>5.2800002098083496</v>
      </c>
      <c r="E610" s="2">
        <v>5.2800002098083496</v>
      </c>
      <c r="F610" s="2">
        <v>0</v>
      </c>
      <c r="G610" s="2">
        <v>0</v>
      </c>
      <c r="H610" s="2">
        <v>0</v>
      </c>
      <c r="I610" s="2">
        <v>5.2800002098083496</v>
      </c>
      <c r="J610" s="2">
        <v>0</v>
      </c>
      <c r="K610" s="3">
        <v>0</v>
      </c>
      <c r="L610" s="3">
        <v>0</v>
      </c>
      <c r="M610" s="3">
        <v>343</v>
      </c>
      <c r="N610" s="3">
        <v>1040</v>
      </c>
      <c r="O610" s="3">
        <v>2275</v>
      </c>
      <c r="P610" t="str">
        <f t="shared" si="18"/>
        <v>Sat</v>
      </c>
      <c r="Q610" t="str">
        <f t="shared" si="19"/>
        <v>Lightly Active</v>
      </c>
    </row>
    <row r="611" spans="1:17">
      <c r="A611">
        <v>6117666160</v>
      </c>
      <c r="B611" s="1">
        <v>42477</v>
      </c>
      <c r="C611" s="3">
        <v>7150</v>
      </c>
      <c r="D611" s="2">
        <v>5.4000000953674299</v>
      </c>
      <c r="E611" s="2">
        <v>5.4000000953674299</v>
      </c>
      <c r="F611" s="2">
        <v>0</v>
      </c>
      <c r="G611" s="2">
        <v>0</v>
      </c>
      <c r="H611" s="2">
        <v>0</v>
      </c>
      <c r="I611" s="2">
        <v>5.4000000953674299</v>
      </c>
      <c r="J611" s="2">
        <v>0</v>
      </c>
      <c r="K611" s="3">
        <v>0</v>
      </c>
      <c r="L611" s="3">
        <v>0</v>
      </c>
      <c r="M611" s="3">
        <v>312</v>
      </c>
      <c r="N611" s="3">
        <v>702</v>
      </c>
      <c r="O611" s="3">
        <v>2225</v>
      </c>
      <c r="P611" t="str">
        <f t="shared" si="18"/>
        <v>Sun</v>
      </c>
      <c r="Q611" t="str">
        <f t="shared" si="19"/>
        <v>Lightly Active</v>
      </c>
    </row>
    <row r="612" spans="1:17">
      <c r="A612">
        <v>6117666160</v>
      </c>
      <c r="B612" s="1">
        <v>42498</v>
      </c>
      <c r="C612" s="3">
        <v>7328</v>
      </c>
      <c r="D612" s="2">
        <v>5.5300002098083496</v>
      </c>
      <c r="E612" s="2">
        <v>5.5300002098083496</v>
      </c>
      <c r="F612" s="2">
        <v>0</v>
      </c>
      <c r="G612" s="2">
        <v>0</v>
      </c>
      <c r="H612" s="2">
        <v>0</v>
      </c>
      <c r="I612" s="2">
        <v>5.5300002098083496</v>
      </c>
      <c r="J612" s="2">
        <v>0</v>
      </c>
      <c r="K612" s="3">
        <v>0</v>
      </c>
      <c r="L612" s="3">
        <v>0</v>
      </c>
      <c r="M612" s="3">
        <v>318</v>
      </c>
      <c r="N612" s="3">
        <v>517</v>
      </c>
      <c r="O612" s="3">
        <v>2250</v>
      </c>
      <c r="P612" t="str">
        <f t="shared" si="18"/>
        <v>Sun</v>
      </c>
      <c r="Q612" t="str">
        <f t="shared" si="19"/>
        <v>Lightly Active</v>
      </c>
    </row>
    <row r="613" spans="1:17">
      <c r="A613">
        <v>6117666160</v>
      </c>
      <c r="B613" s="1">
        <v>42497</v>
      </c>
      <c r="C613" s="3">
        <v>7336</v>
      </c>
      <c r="D613" s="2">
        <v>5.53999996185303</v>
      </c>
      <c r="E613" s="2">
        <v>5.53999996185303</v>
      </c>
      <c r="F613" s="2">
        <v>0</v>
      </c>
      <c r="G613" s="2">
        <v>0</v>
      </c>
      <c r="H613" s="2">
        <v>0</v>
      </c>
      <c r="I613" s="2">
        <v>5.53999996185303</v>
      </c>
      <c r="J613" s="2">
        <v>0</v>
      </c>
      <c r="K613" s="3">
        <v>0</v>
      </c>
      <c r="L613" s="3">
        <v>0</v>
      </c>
      <c r="M613" s="3">
        <v>412</v>
      </c>
      <c r="N613" s="3">
        <v>456</v>
      </c>
      <c r="O613" s="3">
        <v>2469</v>
      </c>
      <c r="P613" t="str">
        <f t="shared" si="18"/>
        <v>Sat</v>
      </c>
      <c r="Q613" t="str">
        <f t="shared" si="19"/>
        <v>Lightly Active</v>
      </c>
    </row>
    <row r="614" spans="1:17">
      <c r="A614">
        <v>6117666160</v>
      </c>
      <c r="B614" s="1">
        <v>42484</v>
      </c>
      <c r="C614" s="3">
        <v>7623</v>
      </c>
      <c r="D614" s="2">
        <v>5.7600002288818404</v>
      </c>
      <c r="E614" s="2">
        <v>5.7600002288818404</v>
      </c>
      <c r="F614" s="2">
        <v>0</v>
      </c>
      <c r="G614" s="2">
        <v>0</v>
      </c>
      <c r="H614" s="2">
        <v>0</v>
      </c>
      <c r="I614" s="2">
        <v>5.7600002288818404</v>
      </c>
      <c r="J614" s="2">
        <v>0</v>
      </c>
      <c r="K614" s="3">
        <v>0</v>
      </c>
      <c r="L614" s="3">
        <v>0</v>
      </c>
      <c r="M614" s="3">
        <v>362</v>
      </c>
      <c r="N614" s="3">
        <v>711</v>
      </c>
      <c r="O614" s="3">
        <v>2305</v>
      </c>
      <c r="P614" t="str">
        <f t="shared" si="18"/>
        <v>Sun</v>
      </c>
      <c r="Q614" t="str">
        <f t="shared" si="19"/>
        <v>Fairly Active</v>
      </c>
    </row>
    <row r="615" spans="1:17">
      <c r="A615">
        <v>6117666160</v>
      </c>
      <c r="B615" s="1">
        <v>42482</v>
      </c>
      <c r="C615" s="3">
        <v>8206</v>
      </c>
      <c r="D615" s="2">
        <v>6.1999998092651403</v>
      </c>
      <c r="E615" s="2">
        <v>6.1999998092651403</v>
      </c>
      <c r="F615" s="2">
        <v>0</v>
      </c>
      <c r="G615" s="2">
        <v>0</v>
      </c>
      <c r="H615" s="2">
        <v>0</v>
      </c>
      <c r="I615" s="2">
        <v>6.1999998092651403</v>
      </c>
      <c r="J615" s="2">
        <v>0</v>
      </c>
      <c r="K615" s="3">
        <v>0</v>
      </c>
      <c r="L615" s="3">
        <v>0</v>
      </c>
      <c r="M615" s="3">
        <v>402</v>
      </c>
      <c r="N615" s="3">
        <v>413</v>
      </c>
      <c r="O615" s="3">
        <v>2409</v>
      </c>
      <c r="P615" t="str">
        <f t="shared" si="18"/>
        <v>Fri</v>
      </c>
      <c r="Q615" t="str">
        <f t="shared" si="19"/>
        <v>Fairly Active</v>
      </c>
    </row>
    <row r="616" spans="1:17">
      <c r="A616">
        <v>6117666160</v>
      </c>
      <c r="B616" s="1">
        <v>42491</v>
      </c>
      <c r="C616" s="3">
        <v>8915</v>
      </c>
      <c r="D616" s="2">
        <v>6.7300000190734899</v>
      </c>
      <c r="E616" s="2">
        <v>6.7300000190734899</v>
      </c>
      <c r="F616" s="2">
        <v>0</v>
      </c>
      <c r="G616" s="2">
        <v>0</v>
      </c>
      <c r="H616" s="2">
        <v>0</v>
      </c>
      <c r="I616" s="2">
        <v>6.7300000190734899</v>
      </c>
      <c r="J616" s="2">
        <v>0</v>
      </c>
      <c r="K616" s="3">
        <v>0</v>
      </c>
      <c r="L616" s="3">
        <v>0</v>
      </c>
      <c r="M616" s="3">
        <v>397</v>
      </c>
      <c r="N616" s="3">
        <v>525</v>
      </c>
      <c r="O616" s="3">
        <v>2361</v>
      </c>
      <c r="P616" t="str">
        <f t="shared" si="18"/>
        <v>Sun</v>
      </c>
      <c r="Q616" t="str">
        <f t="shared" si="19"/>
        <v>Fairly Active</v>
      </c>
    </row>
    <row r="617" spans="1:17">
      <c r="A617">
        <v>6117666160</v>
      </c>
      <c r="B617" s="1">
        <v>42487</v>
      </c>
      <c r="C617" s="3">
        <v>9411</v>
      </c>
      <c r="D617" s="2">
        <v>7.1100001335143999</v>
      </c>
      <c r="E617" s="2">
        <v>7.1100001335143999</v>
      </c>
      <c r="F617" s="2">
        <v>0</v>
      </c>
      <c r="G617" s="2">
        <v>0</v>
      </c>
      <c r="H617" s="2">
        <v>0</v>
      </c>
      <c r="I617" s="2">
        <v>7.1100001335143999</v>
      </c>
      <c r="J617" s="2">
        <v>0</v>
      </c>
      <c r="K617" s="3">
        <v>0</v>
      </c>
      <c r="L617" s="3">
        <v>0</v>
      </c>
      <c r="M617" s="3">
        <v>458</v>
      </c>
      <c r="N617" s="3">
        <v>417</v>
      </c>
      <c r="O617" s="3">
        <v>2576</v>
      </c>
      <c r="P617" t="str">
        <f t="shared" si="18"/>
        <v>Wed</v>
      </c>
      <c r="Q617" t="str">
        <f t="shared" si="19"/>
        <v>Fairly Active</v>
      </c>
    </row>
    <row r="618" spans="1:17">
      <c r="A618">
        <v>6117666160</v>
      </c>
      <c r="B618" s="1">
        <v>42486</v>
      </c>
      <c r="C618" s="3">
        <v>9543</v>
      </c>
      <c r="D618" s="2">
        <v>7.21000003814697</v>
      </c>
      <c r="E618" s="2">
        <v>7.21000003814697</v>
      </c>
      <c r="F618" s="2">
        <v>0</v>
      </c>
      <c r="G618" s="2">
        <v>0</v>
      </c>
      <c r="H618" s="2">
        <v>0.34000000357627902</v>
      </c>
      <c r="I618" s="2">
        <v>6.8699998855590803</v>
      </c>
      <c r="J618" s="2">
        <v>0</v>
      </c>
      <c r="K618" s="3">
        <v>0</v>
      </c>
      <c r="L618" s="3">
        <v>7</v>
      </c>
      <c r="M618" s="3">
        <v>352</v>
      </c>
      <c r="N618" s="3">
        <v>1077</v>
      </c>
      <c r="O618" s="3">
        <v>2450</v>
      </c>
      <c r="P618" t="str">
        <f t="shared" si="18"/>
        <v>Tue</v>
      </c>
      <c r="Q618" t="str">
        <f t="shared" si="19"/>
        <v>Fairly Active</v>
      </c>
    </row>
    <row r="619" spans="1:17">
      <c r="A619">
        <v>6117666160</v>
      </c>
      <c r="B619" s="1">
        <v>42489</v>
      </c>
      <c r="C619" s="3">
        <v>9592</v>
      </c>
      <c r="D619" s="2">
        <v>7.2399997711181596</v>
      </c>
      <c r="E619" s="2">
        <v>7.2399997711181596</v>
      </c>
      <c r="F619" s="2">
        <v>0</v>
      </c>
      <c r="G619" s="2">
        <v>0</v>
      </c>
      <c r="H619" s="2">
        <v>0</v>
      </c>
      <c r="I619" s="2">
        <v>7.2399997711181596</v>
      </c>
      <c r="J619" s="2">
        <v>0</v>
      </c>
      <c r="K619" s="3">
        <v>0</v>
      </c>
      <c r="L619" s="3">
        <v>0</v>
      </c>
      <c r="M619" s="3">
        <v>461</v>
      </c>
      <c r="N619" s="3">
        <v>479</v>
      </c>
      <c r="O619" s="3">
        <v>2560</v>
      </c>
      <c r="P619" t="str">
        <f t="shared" si="18"/>
        <v>Fri</v>
      </c>
      <c r="Q619" t="str">
        <f t="shared" si="19"/>
        <v>Fairly Active</v>
      </c>
    </row>
    <row r="620" spans="1:17">
      <c r="A620">
        <v>6117666160</v>
      </c>
      <c r="B620" s="1">
        <v>42495</v>
      </c>
      <c r="C620" s="3">
        <v>9799</v>
      </c>
      <c r="D620" s="2">
        <v>7.4000000953674299</v>
      </c>
      <c r="E620" s="2">
        <v>7.4000000953674299</v>
      </c>
      <c r="F620" s="2">
        <v>0</v>
      </c>
      <c r="G620" s="2">
        <v>0</v>
      </c>
      <c r="H620" s="2">
        <v>0</v>
      </c>
      <c r="I620" s="2">
        <v>7.4000000953674299</v>
      </c>
      <c r="J620" s="2">
        <v>0</v>
      </c>
      <c r="K620" s="3">
        <v>0</v>
      </c>
      <c r="L620" s="3">
        <v>0</v>
      </c>
      <c r="M620" s="3">
        <v>487</v>
      </c>
      <c r="N620" s="3">
        <v>479</v>
      </c>
      <c r="O620" s="3">
        <v>2636</v>
      </c>
      <c r="P620" t="str">
        <f t="shared" si="18"/>
        <v>Thu</v>
      </c>
      <c r="Q620" t="str">
        <f t="shared" si="19"/>
        <v>Fairly Active</v>
      </c>
    </row>
    <row r="621" spans="1:17">
      <c r="A621">
        <v>6117666160</v>
      </c>
      <c r="B621" s="1">
        <v>42480</v>
      </c>
      <c r="C621" s="3">
        <v>10449</v>
      </c>
      <c r="D621" s="2">
        <v>8.0200004577636701</v>
      </c>
      <c r="E621" s="2">
        <v>8.0200004577636701</v>
      </c>
      <c r="F621" s="2">
        <v>0</v>
      </c>
      <c r="G621" s="2">
        <v>2.0299999713897701</v>
      </c>
      <c r="H621" s="2">
        <v>0.479999989271164</v>
      </c>
      <c r="I621" s="2">
        <v>5.5199999809265101</v>
      </c>
      <c r="J621" s="2">
        <v>0</v>
      </c>
      <c r="K621" s="3">
        <v>26</v>
      </c>
      <c r="L621" s="3">
        <v>10</v>
      </c>
      <c r="M621" s="3">
        <v>349</v>
      </c>
      <c r="N621" s="3">
        <v>587</v>
      </c>
      <c r="O621" s="3">
        <v>2536</v>
      </c>
      <c r="P621" t="str">
        <f t="shared" si="18"/>
        <v>Wed</v>
      </c>
      <c r="Q621" t="str">
        <f t="shared" si="19"/>
        <v>Vey Active</v>
      </c>
    </row>
    <row r="622" spans="1:17">
      <c r="A622">
        <v>6117666160</v>
      </c>
      <c r="B622" s="1">
        <v>42479</v>
      </c>
      <c r="C622" s="3">
        <v>11135</v>
      </c>
      <c r="D622" s="2">
        <v>8.4099998474121094</v>
      </c>
      <c r="E622" s="2">
        <v>8.4099998474121094</v>
      </c>
      <c r="F622" s="2">
        <v>0</v>
      </c>
      <c r="G622" s="2">
        <v>0</v>
      </c>
      <c r="H622" s="2">
        <v>0</v>
      </c>
      <c r="I622" s="2">
        <v>8.4099998474121094</v>
      </c>
      <c r="J622" s="2">
        <v>0</v>
      </c>
      <c r="K622" s="3">
        <v>0</v>
      </c>
      <c r="L622" s="3">
        <v>0</v>
      </c>
      <c r="M622" s="3">
        <v>480</v>
      </c>
      <c r="N622" s="3">
        <v>425</v>
      </c>
      <c r="O622" s="3">
        <v>2606</v>
      </c>
      <c r="P622" t="str">
        <f t="shared" si="18"/>
        <v>Tue</v>
      </c>
      <c r="Q622" t="str">
        <f t="shared" si="19"/>
        <v>Vey Active</v>
      </c>
    </row>
    <row r="623" spans="1:17">
      <c r="A623">
        <v>6117666160</v>
      </c>
      <c r="B623" s="1">
        <v>42483</v>
      </c>
      <c r="C623" s="3">
        <v>11495</v>
      </c>
      <c r="D623" s="2">
        <v>8.6800003051757795</v>
      </c>
      <c r="E623" s="2">
        <v>8.6800003051757795</v>
      </c>
      <c r="F623" s="2">
        <v>0</v>
      </c>
      <c r="G623" s="2">
        <v>0</v>
      </c>
      <c r="H623" s="2">
        <v>0</v>
      </c>
      <c r="I623" s="2">
        <v>8.6800003051757795</v>
      </c>
      <c r="J623" s="2">
        <v>0</v>
      </c>
      <c r="K623" s="3">
        <v>0</v>
      </c>
      <c r="L623" s="3">
        <v>0</v>
      </c>
      <c r="M623" s="3">
        <v>512</v>
      </c>
      <c r="N623" s="3">
        <v>468</v>
      </c>
      <c r="O623" s="3">
        <v>2651</v>
      </c>
      <c r="P623" t="str">
        <f t="shared" si="18"/>
        <v>Sat</v>
      </c>
      <c r="Q623" t="str">
        <f t="shared" si="19"/>
        <v>Vey Active</v>
      </c>
    </row>
    <row r="624" spans="1:17">
      <c r="A624">
        <v>6117666160</v>
      </c>
      <c r="B624" s="1">
        <v>42475</v>
      </c>
      <c r="C624" s="3">
        <v>14019</v>
      </c>
      <c r="D624" s="2">
        <v>10.5900001525879</v>
      </c>
      <c r="E624" s="2">
        <v>10.5900001525879</v>
      </c>
      <c r="F624" s="2">
        <v>0</v>
      </c>
      <c r="G624" s="2">
        <v>0</v>
      </c>
      <c r="H624" s="2">
        <v>0.28000000119209301</v>
      </c>
      <c r="I624" s="2">
        <v>10.300000190734901</v>
      </c>
      <c r="J624" s="2">
        <v>0</v>
      </c>
      <c r="K624" s="3">
        <v>0</v>
      </c>
      <c r="L624" s="3">
        <v>6</v>
      </c>
      <c r="M624" s="3">
        <v>513</v>
      </c>
      <c r="N624" s="3">
        <v>921</v>
      </c>
      <c r="O624" s="3">
        <v>2865</v>
      </c>
      <c r="P624" t="str">
        <f t="shared" si="18"/>
        <v>Fri</v>
      </c>
      <c r="Q624" t="str">
        <f t="shared" si="19"/>
        <v>Vey Active</v>
      </c>
    </row>
    <row r="625" spans="1:17">
      <c r="A625">
        <v>6117666160</v>
      </c>
      <c r="B625" s="1">
        <v>42476</v>
      </c>
      <c r="C625" s="3">
        <v>14450</v>
      </c>
      <c r="D625" s="2">
        <v>10.9099998474121</v>
      </c>
      <c r="E625" s="2">
        <v>10.9099998474121</v>
      </c>
      <c r="F625" s="2">
        <v>0</v>
      </c>
      <c r="G625" s="2">
        <v>0.57999998331069902</v>
      </c>
      <c r="H625" s="2">
        <v>0.85000002384185802</v>
      </c>
      <c r="I625" s="2">
        <v>9.4799995422363299</v>
      </c>
      <c r="J625" s="2">
        <v>0</v>
      </c>
      <c r="K625" s="3">
        <v>7</v>
      </c>
      <c r="L625" s="3">
        <v>15</v>
      </c>
      <c r="M625" s="3">
        <v>518</v>
      </c>
      <c r="N625" s="3">
        <v>502</v>
      </c>
      <c r="O625" s="3">
        <v>2828</v>
      </c>
      <c r="P625" t="str">
        <f t="shared" si="18"/>
        <v>Sat</v>
      </c>
      <c r="Q625" t="str">
        <f t="shared" si="19"/>
        <v>Vey Active</v>
      </c>
    </row>
    <row r="626" spans="1:17">
      <c r="A626">
        <v>6117666160</v>
      </c>
      <c r="B626" s="1">
        <v>42481</v>
      </c>
      <c r="C626" s="3">
        <v>19542</v>
      </c>
      <c r="D626" s="2">
        <v>15.0100002288818</v>
      </c>
      <c r="E626" s="2">
        <v>15.0100002288818</v>
      </c>
      <c r="F626" s="2">
        <v>0</v>
      </c>
      <c r="G626" s="2">
        <v>0.980000019073486</v>
      </c>
      <c r="H626" s="2">
        <v>0.40000000596046398</v>
      </c>
      <c r="I626" s="2">
        <v>5.6199998855590803</v>
      </c>
      <c r="J626" s="2">
        <v>0</v>
      </c>
      <c r="K626" s="3">
        <v>11</v>
      </c>
      <c r="L626" s="3">
        <v>19</v>
      </c>
      <c r="M626" s="3">
        <v>294</v>
      </c>
      <c r="N626" s="3">
        <v>579</v>
      </c>
      <c r="O626" s="3">
        <v>4900</v>
      </c>
      <c r="P626" t="str">
        <f t="shared" si="18"/>
        <v>Thu</v>
      </c>
      <c r="Q626" t="str">
        <f t="shared" si="19"/>
        <v>Vey Active</v>
      </c>
    </row>
    <row r="627" spans="1:17">
      <c r="A627">
        <v>6290855005</v>
      </c>
      <c r="B627" s="1">
        <v>42481</v>
      </c>
      <c r="C627" s="3">
        <v>0</v>
      </c>
      <c r="D627" s="2">
        <v>0</v>
      </c>
      <c r="E627" s="2">
        <v>0</v>
      </c>
      <c r="F627" s="2">
        <v>0</v>
      </c>
      <c r="G627" s="2">
        <v>0</v>
      </c>
      <c r="H627" s="2">
        <v>0</v>
      </c>
      <c r="I627" s="2">
        <v>0</v>
      </c>
      <c r="J627" s="2">
        <v>0</v>
      </c>
      <c r="K627" s="3">
        <v>0</v>
      </c>
      <c r="L627" s="3">
        <v>0</v>
      </c>
      <c r="M627" s="3">
        <v>0</v>
      </c>
      <c r="N627" s="3">
        <v>1440</v>
      </c>
      <c r="O627" s="3">
        <v>2060</v>
      </c>
      <c r="P627" t="str">
        <f t="shared" si="18"/>
        <v>Thu</v>
      </c>
      <c r="Q627" t="str">
        <f t="shared" si="19"/>
        <v>Sedentary</v>
      </c>
    </row>
    <row r="628" spans="1:17">
      <c r="A628">
        <v>6290855005</v>
      </c>
      <c r="B628" s="1">
        <v>42483</v>
      </c>
      <c r="C628" s="3">
        <v>0</v>
      </c>
      <c r="D628" s="2">
        <v>0</v>
      </c>
      <c r="E628" s="2">
        <v>0</v>
      </c>
      <c r="F628" s="2">
        <v>0</v>
      </c>
      <c r="G628" s="2">
        <v>0</v>
      </c>
      <c r="H628" s="2">
        <v>0</v>
      </c>
      <c r="I628" s="2">
        <v>0</v>
      </c>
      <c r="J628" s="2">
        <v>0</v>
      </c>
      <c r="K628" s="3">
        <v>33</v>
      </c>
      <c r="L628" s="3">
        <v>0</v>
      </c>
      <c r="M628" s="3">
        <v>0</v>
      </c>
      <c r="N628" s="3">
        <v>1407</v>
      </c>
      <c r="O628" s="3">
        <v>2664</v>
      </c>
      <c r="P628" t="str">
        <f t="shared" si="18"/>
        <v>Sat</v>
      </c>
      <c r="Q628" t="str">
        <f t="shared" si="19"/>
        <v>Sedentary</v>
      </c>
    </row>
    <row r="629" spans="1:17">
      <c r="A629">
        <v>6290855005</v>
      </c>
      <c r="B629" s="1">
        <v>42486</v>
      </c>
      <c r="C629" s="3">
        <v>0</v>
      </c>
      <c r="D629" s="2">
        <v>0</v>
      </c>
      <c r="E629" s="2">
        <v>0</v>
      </c>
      <c r="F629" s="2">
        <v>0</v>
      </c>
      <c r="G629" s="2">
        <v>0</v>
      </c>
      <c r="H629" s="2">
        <v>0</v>
      </c>
      <c r="I629" s="2">
        <v>0</v>
      </c>
      <c r="J629" s="2">
        <v>0</v>
      </c>
      <c r="K629" s="3">
        <v>0</v>
      </c>
      <c r="L629" s="3">
        <v>0</v>
      </c>
      <c r="M629" s="3">
        <v>0</v>
      </c>
      <c r="N629" s="3">
        <v>1440</v>
      </c>
      <c r="O629" s="3">
        <v>2060</v>
      </c>
      <c r="P629" t="str">
        <f t="shared" si="18"/>
        <v>Tue</v>
      </c>
      <c r="Q629" t="str">
        <f t="shared" si="19"/>
        <v>Sedentary</v>
      </c>
    </row>
    <row r="630" spans="1:17">
      <c r="A630">
        <v>6290855005</v>
      </c>
      <c r="B630" s="1">
        <v>42489</v>
      </c>
      <c r="C630" s="3">
        <v>0</v>
      </c>
      <c r="D630" s="2">
        <v>0</v>
      </c>
      <c r="E630" s="2">
        <v>0</v>
      </c>
      <c r="F630" s="2">
        <v>0</v>
      </c>
      <c r="G630" s="2">
        <v>0</v>
      </c>
      <c r="H630" s="2">
        <v>0</v>
      </c>
      <c r="I630" s="2">
        <v>0</v>
      </c>
      <c r="J630" s="2">
        <v>0</v>
      </c>
      <c r="K630" s="3">
        <v>0</v>
      </c>
      <c r="L630" s="3">
        <v>0</v>
      </c>
      <c r="M630" s="3">
        <v>0</v>
      </c>
      <c r="N630" s="3">
        <v>1440</v>
      </c>
      <c r="O630" s="3">
        <v>2060</v>
      </c>
      <c r="P630" t="str">
        <f t="shared" si="18"/>
        <v>Fri</v>
      </c>
      <c r="Q630" t="str">
        <f t="shared" si="19"/>
        <v>Sedentary</v>
      </c>
    </row>
    <row r="631" spans="1:17">
      <c r="A631">
        <v>6290855005</v>
      </c>
      <c r="B631" s="1">
        <v>42500</v>
      </c>
      <c r="C631" s="3">
        <v>0</v>
      </c>
      <c r="D631" s="2">
        <v>0</v>
      </c>
      <c r="E631" s="2">
        <v>0</v>
      </c>
      <c r="F631" s="2">
        <v>0</v>
      </c>
      <c r="G631" s="2">
        <v>0</v>
      </c>
      <c r="H631" s="2">
        <v>0</v>
      </c>
      <c r="I631" s="2">
        <v>0</v>
      </c>
      <c r="J631" s="2">
        <v>0</v>
      </c>
      <c r="K631" s="3">
        <v>0</v>
      </c>
      <c r="L631" s="3">
        <v>0</v>
      </c>
      <c r="M631" s="3">
        <v>0</v>
      </c>
      <c r="N631" s="3">
        <v>1440</v>
      </c>
      <c r="O631" s="3">
        <v>0</v>
      </c>
      <c r="P631" t="str">
        <f t="shared" si="18"/>
        <v>Tue</v>
      </c>
      <c r="Q631" t="str">
        <f t="shared" si="19"/>
        <v>Sedentary</v>
      </c>
    </row>
    <row r="632" spans="1:17">
      <c r="A632">
        <v>6290855005</v>
      </c>
      <c r="B632" s="1">
        <v>42472</v>
      </c>
      <c r="C632" s="3">
        <v>4562</v>
      </c>
      <c r="D632" s="2">
        <v>3.4500000476837198</v>
      </c>
      <c r="E632" s="2">
        <v>3.4500000476837198</v>
      </c>
      <c r="F632" s="2">
        <v>0</v>
      </c>
      <c r="G632" s="2">
        <v>0</v>
      </c>
      <c r="H632" s="2">
        <v>0</v>
      </c>
      <c r="I632" s="2">
        <v>3.4500000476837198</v>
      </c>
      <c r="J632" s="2">
        <v>0</v>
      </c>
      <c r="K632" s="3">
        <v>0</v>
      </c>
      <c r="L632" s="3">
        <v>0</v>
      </c>
      <c r="M632" s="3">
        <v>199</v>
      </c>
      <c r="N632" s="3">
        <v>1241</v>
      </c>
      <c r="O632" s="3">
        <v>2560</v>
      </c>
      <c r="P632" t="str">
        <f t="shared" si="18"/>
        <v>Tue</v>
      </c>
      <c r="Q632" t="str">
        <f t="shared" si="19"/>
        <v>Sedentary</v>
      </c>
    </row>
    <row r="633" spans="1:17">
      <c r="A633">
        <v>6290855005</v>
      </c>
      <c r="B633" s="1">
        <v>42497</v>
      </c>
      <c r="C633" s="3">
        <v>5510</v>
      </c>
      <c r="D633" s="2">
        <v>4.1700000762939498</v>
      </c>
      <c r="E633" s="2">
        <v>4.1700000762939498</v>
      </c>
      <c r="F633" s="2">
        <v>0</v>
      </c>
      <c r="G633" s="2">
        <v>0</v>
      </c>
      <c r="H633" s="2">
        <v>0</v>
      </c>
      <c r="I633" s="2">
        <v>4.1599998474121103</v>
      </c>
      <c r="J633" s="2">
        <v>0</v>
      </c>
      <c r="K633" s="3">
        <v>0</v>
      </c>
      <c r="L633" s="3">
        <v>0</v>
      </c>
      <c r="M633" s="3">
        <v>227</v>
      </c>
      <c r="N633" s="3">
        <v>1213</v>
      </c>
      <c r="O633" s="3">
        <v>2613</v>
      </c>
      <c r="P633" t="str">
        <f t="shared" si="18"/>
        <v>Sat</v>
      </c>
      <c r="Q633" t="str">
        <f t="shared" si="19"/>
        <v>Lightly Active</v>
      </c>
    </row>
    <row r="634" spans="1:17">
      <c r="A634">
        <v>6290855005</v>
      </c>
      <c r="B634" s="1">
        <v>42487</v>
      </c>
      <c r="C634" s="3">
        <v>5565</v>
      </c>
      <c r="D634" s="2">
        <v>4.21000003814697</v>
      </c>
      <c r="E634" s="2">
        <v>4.21000003814697</v>
      </c>
      <c r="F634" s="2">
        <v>0</v>
      </c>
      <c r="G634" s="2">
        <v>0</v>
      </c>
      <c r="H634" s="2">
        <v>0</v>
      </c>
      <c r="I634" s="2">
        <v>4.1799998283386204</v>
      </c>
      <c r="J634" s="2">
        <v>2.9999999329447701E-2</v>
      </c>
      <c r="K634" s="3">
        <v>0</v>
      </c>
      <c r="L634" s="3">
        <v>0</v>
      </c>
      <c r="M634" s="3">
        <v>287</v>
      </c>
      <c r="N634" s="3">
        <v>1153</v>
      </c>
      <c r="O634" s="3">
        <v>2743</v>
      </c>
      <c r="P634" t="str">
        <f t="shared" si="18"/>
        <v>Wed</v>
      </c>
      <c r="Q634" t="str">
        <f t="shared" si="19"/>
        <v>Lightly Active</v>
      </c>
    </row>
    <row r="635" spans="1:17">
      <c r="A635">
        <v>6290855005</v>
      </c>
      <c r="B635" s="1">
        <v>42488</v>
      </c>
      <c r="C635" s="3">
        <v>5731</v>
      </c>
      <c r="D635" s="2">
        <v>4.3299999237060502</v>
      </c>
      <c r="E635" s="2">
        <v>4.3299999237060502</v>
      </c>
      <c r="F635" s="2">
        <v>0</v>
      </c>
      <c r="G635" s="2">
        <v>0</v>
      </c>
      <c r="H635" s="2">
        <v>0</v>
      </c>
      <c r="I635" s="2">
        <v>4.3299999237060502</v>
      </c>
      <c r="J635" s="2">
        <v>0</v>
      </c>
      <c r="K635" s="3">
        <v>0</v>
      </c>
      <c r="L635" s="3">
        <v>0</v>
      </c>
      <c r="M635" s="3">
        <v>255</v>
      </c>
      <c r="N635" s="3">
        <v>1185</v>
      </c>
      <c r="O635" s="3">
        <v>2687</v>
      </c>
      <c r="P635" t="str">
        <f t="shared" si="18"/>
        <v>Thu</v>
      </c>
      <c r="Q635" t="str">
        <f t="shared" si="19"/>
        <v>Lightly Active</v>
      </c>
    </row>
    <row r="636" spans="1:17">
      <c r="A636">
        <v>6290855005</v>
      </c>
      <c r="B636" s="1">
        <v>42494</v>
      </c>
      <c r="C636" s="3">
        <v>5832</v>
      </c>
      <c r="D636" s="2">
        <v>4.4099998474121103</v>
      </c>
      <c r="E636" s="2">
        <v>4.4099998474121103</v>
      </c>
      <c r="F636" s="2">
        <v>0</v>
      </c>
      <c r="G636" s="2">
        <v>0</v>
      </c>
      <c r="H636" s="2">
        <v>0</v>
      </c>
      <c r="I636" s="2">
        <v>4.4000000953674299</v>
      </c>
      <c r="J636" s="2">
        <v>9.9999997764825804E-3</v>
      </c>
      <c r="K636" s="3">
        <v>0</v>
      </c>
      <c r="L636" s="3">
        <v>0</v>
      </c>
      <c r="M636" s="3">
        <v>272</v>
      </c>
      <c r="N636" s="3">
        <v>1168</v>
      </c>
      <c r="O636" s="3">
        <v>2718</v>
      </c>
      <c r="P636" t="str">
        <f t="shared" si="18"/>
        <v>Wed</v>
      </c>
      <c r="Q636" t="str">
        <f t="shared" si="19"/>
        <v>Lightly Active</v>
      </c>
    </row>
    <row r="637" spans="1:17">
      <c r="A637">
        <v>6290855005</v>
      </c>
      <c r="B637" s="1">
        <v>42484</v>
      </c>
      <c r="C637" s="3">
        <v>5896</v>
      </c>
      <c r="D637" s="2">
        <v>4.46000003814697</v>
      </c>
      <c r="E637" s="2">
        <v>4.46000003814697</v>
      </c>
      <c r="F637" s="2">
        <v>0</v>
      </c>
      <c r="G637" s="2">
        <v>0</v>
      </c>
      <c r="H637" s="2">
        <v>0</v>
      </c>
      <c r="I637" s="2">
        <v>4.46000003814697</v>
      </c>
      <c r="J637" s="2">
        <v>0</v>
      </c>
      <c r="K637" s="3">
        <v>0</v>
      </c>
      <c r="L637" s="3">
        <v>0</v>
      </c>
      <c r="M637" s="3">
        <v>258</v>
      </c>
      <c r="N637" s="3">
        <v>1182</v>
      </c>
      <c r="O637" s="3">
        <v>2703</v>
      </c>
      <c r="P637" t="str">
        <f t="shared" si="18"/>
        <v>Sun</v>
      </c>
      <c r="Q637" t="str">
        <f t="shared" si="19"/>
        <v>Lightly Active</v>
      </c>
    </row>
    <row r="638" spans="1:17">
      <c r="A638">
        <v>6290855005</v>
      </c>
      <c r="B638" s="1">
        <v>42493</v>
      </c>
      <c r="C638" s="3">
        <v>6047</v>
      </c>
      <c r="D638" s="2">
        <v>4.5700001716613796</v>
      </c>
      <c r="E638" s="2">
        <v>4.5700001716613796</v>
      </c>
      <c r="F638" s="2">
        <v>0</v>
      </c>
      <c r="G638" s="2">
        <v>0</v>
      </c>
      <c r="H638" s="2">
        <v>0</v>
      </c>
      <c r="I638" s="2">
        <v>4.5700001716613796</v>
      </c>
      <c r="J638" s="2">
        <v>0</v>
      </c>
      <c r="K638" s="3">
        <v>0</v>
      </c>
      <c r="L638" s="3">
        <v>0</v>
      </c>
      <c r="M638" s="3">
        <v>240</v>
      </c>
      <c r="N638" s="3">
        <v>1200</v>
      </c>
      <c r="O638" s="3">
        <v>2671</v>
      </c>
      <c r="P638" t="str">
        <f t="shared" si="18"/>
        <v>Tue</v>
      </c>
      <c r="Q638" t="str">
        <f t="shared" si="19"/>
        <v>Lightly Active</v>
      </c>
    </row>
    <row r="639" spans="1:17">
      <c r="A639">
        <v>6290855005</v>
      </c>
      <c r="B639" s="1">
        <v>42496</v>
      </c>
      <c r="C639" s="3">
        <v>6116</v>
      </c>
      <c r="D639" s="2">
        <v>4.6199998855590803</v>
      </c>
      <c r="E639" s="2">
        <v>4.6199998855590803</v>
      </c>
      <c r="F639" s="2">
        <v>0</v>
      </c>
      <c r="G639" s="2">
        <v>0</v>
      </c>
      <c r="H639" s="2">
        <v>0</v>
      </c>
      <c r="I639" s="2">
        <v>4.5900001525878897</v>
      </c>
      <c r="J639" s="2">
        <v>2.9999999329447701E-2</v>
      </c>
      <c r="K639" s="3">
        <v>0</v>
      </c>
      <c r="L639" s="3">
        <v>0</v>
      </c>
      <c r="M639" s="3">
        <v>305</v>
      </c>
      <c r="N639" s="3">
        <v>1135</v>
      </c>
      <c r="O639" s="3">
        <v>2806</v>
      </c>
      <c r="P639" t="str">
        <f t="shared" si="18"/>
        <v>Fri</v>
      </c>
      <c r="Q639" t="str">
        <f t="shared" si="19"/>
        <v>Lightly Active</v>
      </c>
    </row>
    <row r="640" spans="1:17">
      <c r="A640">
        <v>6290855005</v>
      </c>
      <c r="B640" s="1">
        <v>42482</v>
      </c>
      <c r="C640" s="3">
        <v>6238</v>
      </c>
      <c r="D640" s="2">
        <v>4.7199997901916504</v>
      </c>
      <c r="E640" s="2">
        <v>4.7199997901916504</v>
      </c>
      <c r="F640" s="2">
        <v>0</v>
      </c>
      <c r="G640" s="2">
        <v>0</v>
      </c>
      <c r="H640" s="2">
        <v>0</v>
      </c>
      <c r="I640" s="2">
        <v>4.7199997901916504</v>
      </c>
      <c r="J640" s="2">
        <v>0</v>
      </c>
      <c r="K640" s="3">
        <v>0</v>
      </c>
      <c r="L640" s="3">
        <v>0</v>
      </c>
      <c r="M640" s="3">
        <v>302</v>
      </c>
      <c r="N640" s="3">
        <v>1138</v>
      </c>
      <c r="O640" s="3">
        <v>2796</v>
      </c>
      <c r="P640" t="str">
        <f t="shared" si="18"/>
        <v>Fri</v>
      </c>
      <c r="Q640" t="str">
        <f t="shared" si="19"/>
        <v>Lightly Active</v>
      </c>
    </row>
    <row r="641" spans="1:17">
      <c r="A641">
        <v>6290855005</v>
      </c>
      <c r="B641" s="1">
        <v>42499</v>
      </c>
      <c r="C641" s="3">
        <v>6277</v>
      </c>
      <c r="D641" s="2">
        <v>4.75</v>
      </c>
      <c r="E641" s="2">
        <v>4.75</v>
      </c>
      <c r="F641" s="2">
        <v>0</v>
      </c>
      <c r="G641" s="2">
        <v>0</v>
      </c>
      <c r="H641" s="2">
        <v>0</v>
      </c>
      <c r="I641" s="2">
        <v>4.7300000190734899</v>
      </c>
      <c r="J641" s="2">
        <v>1.9999999552965199E-2</v>
      </c>
      <c r="K641" s="3">
        <v>0</v>
      </c>
      <c r="L641" s="3">
        <v>0</v>
      </c>
      <c r="M641" s="3">
        <v>264</v>
      </c>
      <c r="N641" s="3">
        <v>800</v>
      </c>
      <c r="O641" s="3">
        <v>2175</v>
      </c>
      <c r="P641" t="str">
        <f t="shared" si="18"/>
        <v>Mon</v>
      </c>
      <c r="Q641" t="str">
        <f t="shared" si="19"/>
        <v>Lightly Active</v>
      </c>
    </row>
    <row r="642" spans="1:17">
      <c r="A642">
        <v>6290855005</v>
      </c>
      <c r="B642" s="1">
        <v>42495</v>
      </c>
      <c r="C642" s="3">
        <v>6339</v>
      </c>
      <c r="D642" s="2">
        <v>4.78999996185303</v>
      </c>
      <c r="E642" s="2">
        <v>4.78999996185303</v>
      </c>
      <c r="F642" s="2">
        <v>0</v>
      </c>
      <c r="G642" s="2">
        <v>0</v>
      </c>
      <c r="H642" s="2">
        <v>0</v>
      </c>
      <c r="I642" s="2">
        <v>4.78999996185303</v>
      </c>
      <c r="J642" s="2">
        <v>0</v>
      </c>
      <c r="K642" s="3">
        <v>0</v>
      </c>
      <c r="L642" s="3">
        <v>0</v>
      </c>
      <c r="M642" s="3">
        <v>239</v>
      </c>
      <c r="N642" s="3">
        <v>1201</v>
      </c>
      <c r="O642" s="3">
        <v>2682</v>
      </c>
      <c r="P642" t="str">
        <f t="shared" ref="P642:P705" si="20">TEXT(B642, "ddd")</f>
        <v>Thu</v>
      </c>
      <c r="Q642" t="str">
        <f t="shared" ref="Q642:Q705" si="21">IF(C642&lt;5000, "Sedentary", IF(C642&lt;7500, "Lightly Active",IF(C642&lt;10000, "Fairly Active", "Vey Active")))</f>
        <v>Lightly Active</v>
      </c>
    </row>
    <row r="643" spans="1:17">
      <c r="A643">
        <v>6290855005</v>
      </c>
      <c r="B643" s="1">
        <v>42480</v>
      </c>
      <c r="C643" s="3">
        <v>6361</v>
      </c>
      <c r="D643" s="2">
        <v>4.8099999427795401</v>
      </c>
      <c r="E643" s="2">
        <v>4.8099999427795401</v>
      </c>
      <c r="F643" s="2">
        <v>0</v>
      </c>
      <c r="G643" s="2">
        <v>0</v>
      </c>
      <c r="H643" s="2">
        <v>0</v>
      </c>
      <c r="I643" s="2">
        <v>4.8000001907348597</v>
      </c>
      <c r="J643" s="2">
        <v>9.9999997764825804E-3</v>
      </c>
      <c r="K643" s="3">
        <v>0</v>
      </c>
      <c r="L643" s="3">
        <v>0</v>
      </c>
      <c r="M643" s="3">
        <v>258</v>
      </c>
      <c r="N643" s="3">
        <v>1182</v>
      </c>
      <c r="O643" s="3">
        <v>2701</v>
      </c>
      <c r="P643" t="str">
        <f t="shared" si="20"/>
        <v>Wed</v>
      </c>
      <c r="Q643" t="str">
        <f t="shared" si="21"/>
        <v>Lightly Active</v>
      </c>
    </row>
    <row r="644" spans="1:17">
      <c r="A644">
        <v>6290855005</v>
      </c>
      <c r="B644" s="1">
        <v>42490</v>
      </c>
      <c r="C644" s="3">
        <v>6744</v>
      </c>
      <c r="D644" s="2">
        <v>5.0999999046325701</v>
      </c>
      <c r="E644" s="2">
        <v>5.0999999046325701</v>
      </c>
      <c r="F644" s="2">
        <v>0</v>
      </c>
      <c r="G644" s="2">
        <v>0</v>
      </c>
      <c r="H644" s="2">
        <v>0</v>
      </c>
      <c r="I644" s="2">
        <v>5.0900001525878897</v>
      </c>
      <c r="J644" s="2">
        <v>9.9999997764825804E-3</v>
      </c>
      <c r="K644" s="3">
        <v>0</v>
      </c>
      <c r="L644" s="3">
        <v>0</v>
      </c>
      <c r="M644" s="3">
        <v>324</v>
      </c>
      <c r="N644" s="3">
        <v>1116</v>
      </c>
      <c r="O644" s="3">
        <v>2843</v>
      </c>
      <c r="P644" t="str">
        <f t="shared" si="20"/>
        <v>Sat</v>
      </c>
      <c r="Q644" t="str">
        <f t="shared" si="21"/>
        <v>Lightly Active</v>
      </c>
    </row>
    <row r="645" spans="1:17">
      <c r="A645">
        <v>6290855005</v>
      </c>
      <c r="B645" s="1">
        <v>42492</v>
      </c>
      <c r="C645" s="3">
        <v>6781</v>
      </c>
      <c r="D645" s="2">
        <v>5.1300001144409197</v>
      </c>
      <c r="E645" s="2">
        <v>5.1300001144409197</v>
      </c>
      <c r="F645" s="2">
        <v>0</v>
      </c>
      <c r="G645" s="2">
        <v>0</v>
      </c>
      <c r="H645" s="2">
        <v>0</v>
      </c>
      <c r="I645" s="2">
        <v>5.1100001335143999</v>
      </c>
      <c r="J645" s="2">
        <v>1.9999999552965199E-2</v>
      </c>
      <c r="K645" s="3">
        <v>0</v>
      </c>
      <c r="L645" s="3">
        <v>0</v>
      </c>
      <c r="M645" s="3">
        <v>268</v>
      </c>
      <c r="N645" s="3">
        <v>1172</v>
      </c>
      <c r="O645" s="3">
        <v>2725</v>
      </c>
      <c r="P645" t="str">
        <f t="shared" si="20"/>
        <v>Mon</v>
      </c>
      <c r="Q645" t="str">
        <f t="shared" si="21"/>
        <v>Lightly Active</v>
      </c>
    </row>
    <row r="646" spans="1:17">
      <c r="A646">
        <v>6290855005</v>
      </c>
      <c r="B646" s="1">
        <v>42478</v>
      </c>
      <c r="C646" s="3">
        <v>6885</v>
      </c>
      <c r="D646" s="2">
        <v>5.21000003814697</v>
      </c>
      <c r="E646" s="2">
        <v>5.21000003814697</v>
      </c>
      <c r="F646" s="2">
        <v>0</v>
      </c>
      <c r="G646" s="2">
        <v>0</v>
      </c>
      <c r="H646" s="2">
        <v>0</v>
      </c>
      <c r="I646" s="2">
        <v>5.1900000572204599</v>
      </c>
      <c r="J646" s="2">
        <v>1.9999999552965199E-2</v>
      </c>
      <c r="K646" s="3">
        <v>0</v>
      </c>
      <c r="L646" s="3">
        <v>0</v>
      </c>
      <c r="M646" s="3">
        <v>271</v>
      </c>
      <c r="N646" s="3">
        <v>1169</v>
      </c>
      <c r="O646" s="3">
        <v>2766</v>
      </c>
      <c r="P646" t="str">
        <f t="shared" si="20"/>
        <v>Mon</v>
      </c>
      <c r="Q646" t="str">
        <f t="shared" si="21"/>
        <v>Lightly Active</v>
      </c>
    </row>
    <row r="647" spans="1:17">
      <c r="A647">
        <v>6290855005</v>
      </c>
      <c r="B647" s="1">
        <v>42473</v>
      </c>
      <c r="C647" s="3">
        <v>7142</v>
      </c>
      <c r="D647" s="2">
        <v>5.4000000953674299</v>
      </c>
      <c r="E647" s="2">
        <v>5.4000000953674299</v>
      </c>
      <c r="F647" s="2">
        <v>0</v>
      </c>
      <c r="G647" s="2">
        <v>0</v>
      </c>
      <c r="H647" s="2">
        <v>0</v>
      </c>
      <c r="I647" s="2">
        <v>5.3899998664856001</v>
      </c>
      <c r="J647" s="2">
        <v>9.9999997764825804E-3</v>
      </c>
      <c r="K647" s="3">
        <v>0</v>
      </c>
      <c r="L647" s="3">
        <v>0</v>
      </c>
      <c r="M647" s="3">
        <v>350</v>
      </c>
      <c r="N647" s="3">
        <v>1090</v>
      </c>
      <c r="O647" s="3">
        <v>2905</v>
      </c>
      <c r="P647" t="str">
        <f t="shared" si="20"/>
        <v>Wed</v>
      </c>
      <c r="Q647" t="str">
        <f t="shared" si="21"/>
        <v>Lightly Active</v>
      </c>
    </row>
    <row r="648" spans="1:17">
      <c r="A648">
        <v>6290855005</v>
      </c>
      <c r="B648" s="1">
        <v>42479</v>
      </c>
      <c r="C648" s="3">
        <v>7142</v>
      </c>
      <c r="D648" s="2">
        <v>5.4000000953674299</v>
      </c>
      <c r="E648" s="2">
        <v>5.4000000953674299</v>
      </c>
      <c r="F648" s="2">
        <v>0</v>
      </c>
      <c r="G648" s="2">
        <v>0</v>
      </c>
      <c r="H648" s="2">
        <v>0</v>
      </c>
      <c r="I648" s="2">
        <v>5.3899998664856001</v>
      </c>
      <c r="J648" s="2">
        <v>9.9999997764825804E-3</v>
      </c>
      <c r="K648" s="3">
        <v>0</v>
      </c>
      <c r="L648" s="3">
        <v>0</v>
      </c>
      <c r="M648" s="3">
        <v>321</v>
      </c>
      <c r="N648" s="3">
        <v>1119</v>
      </c>
      <c r="O648" s="3">
        <v>2839</v>
      </c>
      <c r="P648" t="str">
        <f t="shared" si="20"/>
        <v>Tue</v>
      </c>
      <c r="Q648" t="str">
        <f t="shared" si="21"/>
        <v>Lightly Active</v>
      </c>
    </row>
    <row r="649" spans="1:17">
      <c r="A649">
        <v>6290855005</v>
      </c>
      <c r="B649" s="1">
        <v>42474</v>
      </c>
      <c r="C649" s="3">
        <v>7671</v>
      </c>
      <c r="D649" s="2">
        <v>5.8000001907348597</v>
      </c>
      <c r="E649" s="2">
        <v>5.8000001907348597</v>
      </c>
      <c r="F649" s="2">
        <v>0</v>
      </c>
      <c r="G649" s="2">
        <v>0</v>
      </c>
      <c r="H649" s="2">
        <v>0</v>
      </c>
      <c r="I649" s="2">
        <v>5.7699999809265101</v>
      </c>
      <c r="J649" s="2">
        <v>2.9999999329447701E-2</v>
      </c>
      <c r="K649" s="3">
        <v>0</v>
      </c>
      <c r="L649" s="3">
        <v>0</v>
      </c>
      <c r="M649" s="3">
        <v>363</v>
      </c>
      <c r="N649" s="3">
        <v>1077</v>
      </c>
      <c r="O649" s="3">
        <v>2952</v>
      </c>
      <c r="P649" t="str">
        <f t="shared" si="20"/>
        <v>Thu</v>
      </c>
      <c r="Q649" t="str">
        <f t="shared" si="21"/>
        <v>Fairly Active</v>
      </c>
    </row>
    <row r="650" spans="1:17">
      <c r="A650">
        <v>6290855005</v>
      </c>
      <c r="B650" s="1">
        <v>42498</v>
      </c>
      <c r="C650" s="3">
        <v>7706</v>
      </c>
      <c r="D650" s="2">
        <v>5.8299999237060502</v>
      </c>
      <c r="E650" s="2">
        <v>5.8299999237060502</v>
      </c>
      <c r="F650" s="2">
        <v>0</v>
      </c>
      <c r="G650" s="2">
        <v>0</v>
      </c>
      <c r="H650" s="2">
        <v>0</v>
      </c>
      <c r="I650" s="2">
        <v>5.8200001716613796</v>
      </c>
      <c r="J650" s="2">
        <v>0</v>
      </c>
      <c r="K650" s="3">
        <v>0</v>
      </c>
      <c r="L650" s="3">
        <v>0</v>
      </c>
      <c r="M650" s="3">
        <v>251</v>
      </c>
      <c r="N650" s="3">
        <v>1189</v>
      </c>
      <c r="O650" s="3">
        <v>2712</v>
      </c>
      <c r="P650" t="str">
        <f t="shared" si="20"/>
        <v>Sun</v>
      </c>
      <c r="Q650" t="str">
        <f t="shared" si="21"/>
        <v>Fairly Active</v>
      </c>
    </row>
    <row r="651" spans="1:17">
      <c r="A651">
        <v>6290855005</v>
      </c>
      <c r="B651" s="1">
        <v>42485</v>
      </c>
      <c r="C651" s="3">
        <v>7802</v>
      </c>
      <c r="D651" s="2">
        <v>5.9000000953674299</v>
      </c>
      <c r="E651" s="2">
        <v>5.9000000953674299</v>
      </c>
      <c r="F651" s="2">
        <v>0</v>
      </c>
      <c r="G651" s="2">
        <v>0.68000000715255704</v>
      </c>
      <c r="H651" s="2">
        <v>0.18000000715255701</v>
      </c>
      <c r="I651" s="2">
        <v>5.0300002098083496</v>
      </c>
      <c r="J651" s="2">
        <v>9.9999997764825804E-3</v>
      </c>
      <c r="K651" s="3">
        <v>8</v>
      </c>
      <c r="L651" s="3">
        <v>3</v>
      </c>
      <c r="M651" s="3">
        <v>249</v>
      </c>
      <c r="N651" s="3">
        <v>1180</v>
      </c>
      <c r="O651" s="3">
        <v>2771</v>
      </c>
      <c r="P651" t="str">
        <f t="shared" si="20"/>
        <v>Mon</v>
      </c>
      <c r="Q651" t="str">
        <f t="shared" si="21"/>
        <v>Fairly Active</v>
      </c>
    </row>
    <row r="652" spans="1:17">
      <c r="A652">
        <v>6290855005</v>
      </c>
      <c r="B652" s="1">
        <v>42477</v>
      </c>
      <c r="C652" s="3">
        <v>7851</v>
      </c>
      <c r="D652" s="2">
        <v>5.9400000572204599</v>
      </c>
      <c r="E652" s="2">
        <v>5.9400000572204599</v>
      </c>
      <c r="F652" s="2">
        <v>0</v>
      </c>
      <c r="G652" s="2">
        <v>1.1399999856948899</v>
      </c>
      <c r="H652" s="2">
        <v>0.79000002145767201</v>
      </c>
      <c r="I652" s="2">
        <v>4</v>
      </c>
      <c r="J652" s="2">
        <v>0</v>
      </c>
      <c r="K652" s="3">
        <v>31</v>
      </c>
      <c r="L652" s="3">
        <v>12</v>
      </c>
      <c r="M652" s="3">
        <v>225</v>
      </c>
      <c r="N652" s="3">
        <v>1172</v>
      </c>
      <c r="O652" s="3">
        <v>3171</v>
      </c>
      <c r="P652" t="str">
        <f t="shared" si="20"/>
        <v>Sun</v>
      </c>
      <c r="Q652" t="str">
        <f t="shared" si="21"/>
        <v>Fairly Active</v>
      </c>
    </row>
    <row r="653" spans="1:17">
      <c r="A653">
        <v>6290855005</v>
      </c>
      <c r="B653" s="1">
        <v>42476</v>
      </c>
      <c r="C653" s="3">
        <v>8301</v>
      </c>
      <c r="D653" s="2">
        <v>6.2800002098083496</v>
      </c>
      <c r="E653" s="2">
        <v>6.2800002098083496</v>
      </c>
      <c r="F653" s="2">
        <v>0</v>
      </c>
      <c r="G653" s="2">
        <v>0</v>
      </c>
      <c r="H653" s="2">
        <v>0</v>
      </c>
      <c r="I653" s="2">
        <v>6.2699999809265101</v>
      </c>
      <c r="J653" s="2">
        <v>9.9999997764825804E-3</v>
      </c>
      <c r="K653" s="3">
        <v>0</v>
      </c>
      <c r="L653" s="3">
        <v>0</v>
      </c>
      <c r="M653" s="3">
        <v>258</v>
      </c>
      <c r="N653" s="3">
        <v>1182</v>
      </c>
      <c r="O653" s="3">
        <v>2783</v>
      </c>
      <c r="P653" t="str">
        <f t="shared" si="20"/>
        <v>Sat</v>
      </c>
      <c r="Q653" t="str">
        <f t="shared" si="21"/>
        <v>Fairly Active</v>
      </c>
    </row>
    <row r="654" spans="1:17">
      <c r="A654">
        <v>6290855005</v>
      </c>
      <c r="B654" s="1">
        <v>42475</v>
      </c>
      <c r="C654" s="3">
        <v>9501</v>
      </c>
      <c r="D654" s="2">
        <v>7.1799998283386204</v>
      </c>
      <c r="E654" s="2">
        <v>7.1799998283386204</v>
      </c>
      <c r="F654" s="2">
        <v>0</v>
      </c>
      <c r="G654" s="2">
        <v>0</v>
      </c>
      <c r="H654" s="2">
        <v>0</v>
      </c>
      <c r="I654" s="2">
        <v>7.1700000762939498</v>
      </c>
      <c r="J654" s="2">
        <v>9.9999997764825804E-3</v>
      </c>
      <c r="K654" s="3">
        <v>0</v>
      </c>
      <c r="L654" s="3">
        <v>0</v>
      </c>
      <c r="M654" s="3">
        <v>328</v>
      </c>
      <c r="N654" s="3">
        <v>1112</v>
      </c>
      <c r="O654" s="3">
        <v>2896</v>
      </c>
      <c r="P654" t="str">
        <f t="shared" si="20"/>
        <v>Fri</v>
      </c>
      <c r="Q654" t="str">
        <f t="shared" si="21"/>
        <v>Fairly Active</v>
      </c>
    </row>
    <row r="655" spans="1:17">
      <c r="A655">
        <v>6290855005</v>
      </c>
      <c r="B655" s="1">
        <v>42491</v>
      </c>
      <c r="C655" s="3">
        <v>9837</v>
      </c>
      <c r="D655" s="2">
        <v>7.4400000572204599</v>
      </c>
      <c r="E655" s="2">
        <v>7.4400000572204599</v>
      </c>
      <c r="F655" s="2">
        <v>0</v>
      </c>
      <c r="G655" s="2">
        <v>0.66000002622604403</v>
      </c>
      <c r="H655" s="2">
        <v>2.75</v>
      </c>
      <c r="I655" s="2">
        <v>4</v>
      </c>
      <c r="J655" s="2">
        <v>1.9999999552965199E-2</v>
      </c>
      <c r="K655" s="3">
        <v>8</v>
      </c>
      <c r="L655" s="3">
        <v>95</v>
      </c>
      <c r="M655" s="3">
        <v>282</v>
      </c>
      <c r="N655" s="3">
        <v>1055</v>
      </c>
      <c r="O655" s="3">
        <v>3327</v>
      </c>
      <c r="P655" t="str">
        <f t="shared" si="20"/>
        <v>Sun</v>
      </c>
      <c r="Q655" t="str">
        <f t="shared" si="21"/>
        <v>Fairly Active</v>
      </c>
    </row>
    <row r="656" spans="1:17">
      <c r="A656">
        <v>6775888955</v>
      </c>
      <c r="B656" s="1">
        <v>42472</v>
      </c>
      <c r="C656" s="3">
        <v>0</v>
      </c>
      <c r="D656" s="2">
        <v>0</v>
      </c>
      <c r="E656" s="2">
        <v>0</v>
      </c>
      <c r="F656" s="2">
        <v>0</v>
      </c>
      <c r="G656" s="2">
        <v>0</v>
      </c>
      <c r="H656" s="2">
        <v>0</v>
      </c>
      <c r="I656" s="2">
        <v>0</v>
      </c>
      <c r="J656" s="2">
        <v>0</v>
      </c>
      <c r="K656" s="3">
        <v>0</v>
      </c>
      <c r="L656" s="3">
        <v>0</v>
      </c>
      <c r="M656" s="3">
        <v>0</v>
      </c>
      <c r="N656" s="3">
        <v>1440</v>
      </c>
      <c r="O656" s="3">
        <v>1841</v>
      </c>
      <c r="P656" t="str">
        <f t="shared" si="20"/>
        <v>Tue</v>
      </c>
      <c r="Q656" t="str">
        <f t="shared" si="21"/>
        <v>Sedentary</v>
      </c>
    </row>
    <row r="657" spans="1:17">
      <c r="A657">
        <v>6775888955</v>
      </c>
      <c r="B657" s="1">
        <v>42479</v>
      </c>
      <c r="C657" s="3">
        <v>0</v>
      </c>
      <c r="D657" s="2">
        <v>0</v>
      </c>
      <c r="E657" s="2">
        <v>0</v>
      </c>
      <c r="F657" s="2">
        <v>0</v>
      </c>
      <c r="G657" s="2">
        <v>0</v>
      </c>
      <c r="H657" s="2">
        <v>0</v>
      </c>
      <c r="I657" s="2">
        <v>0</v>
      </c>
      <c r="J657" s="2">
        <v>0</v>
      </c>
      <c r="K657" s="3">
        <v>0</v>
      </c>
      <c r="L657" s="3">
        <v>0</v>
      </c>
      <c r="M657" s="3">
        <v>0</v>
      </c>
      <c r="N657" s="3">
        <v>1440</v>
      </c>
      <c r="O657" s="3">
        <v>1841</v>
      </c>
      <c r="P657" t="str">
        <f t="shared" si="20"/>
        <v>Tue</v>
      </c>
      <c r="Q657" t="str">
        <f t="shared" si="21"/>
        <v>Sedentary</v>
      </c>
    </row>
    <row r="658" spans="1:17">
      <c r="A658">
        <v>6775888955</v>
      </c>
      <c r="B658" s="1">
        <v>42481</v>
      </c>
      <c r="C658" s="3">
        <v>0</v>
      </c>
      <c r="D658" s="2">
        <v>0</v>
      </c>
      <c r="E658" s="2">
        <v>0</v>
      </c>
      <c r="F658" s="2">
        <v>0</v>
      </c>
      <c r="G658" s="2">
        <v>0</v>
      </c>
      <c r="H658" s="2">
        <v>0</v>
      </c>
      <c r="I658" s="2">
        <v>0</v>
      </c>
      <c r="J658" s="2">
        <v>0</v>
      </c>
      <c r="K658" s="3">
        <v>0</v>
      </c>
      <c r="L658" s="3">
        <v>0</v>
      </c>
      <c r="M658" s="3">
        <v>0</v>
      </c>
      <c r="N658" s="3">
        <v>1440</v>
      </c>
      <c r="O658" s="3">
        <v>1841</v>
      </c>
      <c r="P658" t="str">
        <f t="shared" si="20"/>
        <v>Thu</v>
      </c>
      <c r="Q658" t="str">
        <f t="shared" si="21"/>
        <v>Sedentary</v>
      </c>
    </row>
    <row r="659" spans="1:17">
      <c r="A659">
        <v>6775888955</v>
      </c>
      <c r="B659" s="1">
        <v>42483</v>
      </c>
      <c r="C659" s="3">
        <v>0</v>
      </c>
      <c r="D659" s="2">
        <v>0</v>
      </c>
      <c r="E659" s="2">
        <v>0</v>
      </c>
      <c r="F659" s="2">
        <v>0</v>
      </c>
      <c r="G659" s="2">
        <v>0</v>
      </c>
      <c r="H659" s="2">
        <v>0</v>
      </c>
      <c r="I659" s="2">
        <v>0</v>
      </c>
      <c r="J659" s="2">
        <v>0</v>
      </c>
      <c r="K659" s="3">
        <v>0</v>
      </c>
      <c r="L659" s="3">
        <v>0</v>
      </c>
      <c r="M659" s="3">
        <v>0</v>
      </c>
      <c r="N659" s="3">
        <v>1440</v>
      </c>
      <c r="O659" s="3">
        <v>1841</v>
      </c>
      <c r="P659" t="str">
        <f t="shared" si="20"/>
        <v>Sat</v>
      </c>
      <c r="Q659" t="str">
        <f t="shared" si="21"/>
        <v>Sedentary</v>
      </c>
    </row>
    <row r="660" spans="1:17">
      <c r="A660">
        <v>6775888955</v>
      </c>
      <c r="B660" s="1">
        <v>42487</v>
      </c>
      <c r="C660" s="3">
        <v>0</v>
      </c>
      <c r="D660" s="2">
        <v>0</v>
      </c>
      <c r="E660" s="2">
        <v>0</v>
      </c>
      <c r="F660" s="2">
        <v>0</v>
      </c>
      <c r="G660" s="2">
        <v>0</v>
      </c>
      <c r="H660" s="2">
        <v>0</v>
      </c>
      <c r="I660" s="2">
        <v>0</v>
      </c>
      <c r="J660" s="2">
        <v>0</v>
      </c>
      <c r="K660" s="3">
        <v>0</v>
      </c>
      <c r="L660" s="3">
        <v>0</v>
      </c>
      <c r="M660" s="3">
        <v>0</v>
      </c>
      <c r="N660" s="3">
        <v>1440</v>
      </c>
      <c r="O660" s="3">
        <v>1841</v>
      </c>
      <c r="P660" t="str">
        <f t="shared" si="20"/>
        <v>Wed</v>
      </c>
      <c r="Q660" t="str">
        <f t="shared" si="21"/>
        <v>Sedentary</v>
      </c>
    </row>
    <row r="661" spans="1:17">
      <c r="A661">
        <v>6775888955</v>
      </c>
      <c r="B661" s="1">
        <v>42489</v>
      </c>
      <c r="C661" s="3">
        <v>0</v>
      </c>
      <c r="D661" s="2">
        <v>0</v>
      </c>
      <c r="E661" s="2">
        <v>0</v>
      </c>
      <c r="F661" s="2">
        <v>0</v>
      </c>
      <c r="G661" s="2">
        <v>0</v>
      </c>
      <c r="H661" s="2">
        <v>0</v>
      </c>
      <c r="I661" s="2">
        <v>0</v>
      </c>
      <c r="J661" s="2">
        <v>0</v>
      </c>
      <c r="K661" s="3">
        <v>0</v>
      </c>
      <c r="L661" s="3">
        <v>0</v>
      </c>
      <c r="M661" s="3">
        <v>0</v>
      </c>
      <c r="N661" s="3">
        <v>1440</v>
      </c>
      <c r="O661" s="3">
        <v>1841</v>
      </c>
      <c r="P661" t="str">
        <f t="shared" si="20"/>
        <v>Fri</v>
      </c>
      <c r="Q661" t="str">
        <f t="shared" si="21"/>
        <v>Sedentary</v>
      </c>
    </row>
    <row r="662" spans="1:17">
      <c r="A662">
        <v>6775888955</v>
      </c>
      <c r="B662" s="1">
        <v>42492</v>
      </c>
      <c r="C662" s="3">
        <v>0</v>
      </c>
      <c r="D662" s="2">
        <v>0</v>
      </c>
      <c r="E662" s="2">
        <v>0</v>
      </c>
      <c r="F662" s="2">
        <v>0</v>
      </c>
      <c r="G662" s="2">
        <v>0</v>
      </c>
      <c r="H662" s="2">
        <v>0</v>
      </c>
      <c r="I662" s="2">
        <v>0</v>
      </c>
      <c r="J662" s="2">
        <v>0</v>
      </c>
      <c r="K662" s="3">
        <v>0</v>
      </c>
      <c r="L662" s="3">
        <v>0</v>
      </c>
      <c r="M662" s="3">
        <v>0</v>
      </c>
      <c r="N662" s="3">
        <v>1440</v>
      </c>
      <c r="O662" s="3">
        <v>1841</v>
      </c>
      <c r="P662" t="str">
        <f t="shared" si="20"/>
        <v>Mon</v>
      </c>
      <c r="Q662" t="str">
        <f t="shared" si="21"/>
        <v>Sedentary</v>
      </c>
    </row>
    <row r="663" spans="1:17">
      <c r="A663">
        <v>6775888955</v>
      </c>
      <c r="B663" s="1">
        <v>42494</v>
      </c>
      <c r="C663" s="3">
        <v>0</v>
      </c>
      <c r="D663" s="2">
        <v>0</v>
      </c>
      <c r="E663" s="2">
        <v>0</v>
      </c>
      <c r="F663" s="2">
        <v>0</v>
      </c>
      <c r="G663" s="2">
        <v>0</v>
      </c>
      <c r="H663" s="2">
        <v>0</v>
      </c>
      <c r="I663" s="2">
        <v>0</v>
      </c>
      <c r="J663" s="2">
        <v>0</v>
      </c>
      <c r="K663" s="3">
        <v>0</v>
      </c>
      <c r="L663" s="3">
        <v>0</v>
      </c>
      <c r="M663" s="3">
        <v>0</v>
      </c>
      <c r="N663" s="3">
        <v>1440</v>
      </c>
      <c r="O663" s="3">
        <v>1841</v>
      </c>
      <c r="P663" t="str">
        <f t="shared" si="20"/>
        <v>Wed</v>
      </c>
      <c r="Q663" t="str">
        <f t="shared" si="21"/>
        <v>Sedentary</v>
      </c>
    </row>
    <row r="664" spans="1:17">
      <c r="A664">
        <v>6775888955</v>
      </c>
      <c r="B664" s="1">
        <v>42495</v>
      </c>
      <c r="C664" s="3">
        <v>0</v>
      </c>
      <c r="D664" s="2">
        <v>0</v>
      </c>
      <c r="E664" s="2">
        <v>0</v>
      </c>
      <c r="F664" s="2">
        <v>0</v>
      </c>
      <c r="G664" s="2">
        <v>0</v>
      </c>
      <c r="H664" s="2">
        <v>0</v>
      </c>
      <c r="I664" s="2">
        <v>0</v>
      </c>
      <c r="J664" s="2">
        <v>0</v>
      </c>
      <c r="K664" s="3">
        <v>0</v>
      </c>
      <c r="L664" s="3">
        <v>0</v>
      </c>
      <c r="M664" s="3">
        <v>0</v>
      </c>
      <c r="N664" s="3">
        <v>1440</v>
      </c>
      <c r="O664" s="3">
        <v>1841</v>
      </c>
      <c r="P664" t="str">
        <f t="shared" si="20"/>
        <v>Thu</v>
      </c>
      <c r="Q664" t="str">
        <f t="shared" si="21"/>
        <v>Sedentary</v>
      </c>
    </row>
    <row r="665" spans="1:17">
      <c r="A665">
        <v>6775888955</v>
      </c>
      <c r="B665" s="1">
        <v>42493</v>
      </c>
      <c r="C665" s="3">
        <v>9</v>
      </c>
      <c r="D665" s="2">
        <v>9.9999997764825804E-3</v>
      </c>
      <c r="E665" s="2">
        <v>9.9999997764825804E-3</v>
      </c>
      <c r="F665" s="2">
        <v>0</v>
      </c>
      <c r="G665" s="2">
        <v>0</v>
      </c>
      <c r="H665" s="2">
        <v>0</v>
      </c>
      <c r="I665" s="2">
        <v>9.9999997764825804E-3</v>
      </c>
      <c r="J665" s="2">
        <v>0</v>
      </c>
      <c r="K665" s="3">
        <v>0</v>
      </c>
      <c r="L665" s="3">
        <v>0</v>
      </c>
      <c r="M665" s="3">
        <v>1</v>
      </c>
      <c r="N665" s="3">
        <v>1439</v>
      </c>
      <c r="O665" s="3">
        <v>1843</v>
      </c>
      <c r="P665" t="str">
        <f t="shared" si="20"/>
        <v>Tue</v>
      </c>
      <c r="Q665" t="str">
        <f t="shared" si="21"/>
        <v>Sedentary</v>
      </c>
    </row>
    <row r="666" spans="1:17">
      <c r="A666">
        <v>6775888955</v>
      </c>
      <c r="B666" s="1">
        <v>42482</v>
      </c>
      <c r="C666" s="3">
        <v>637</v>
      </c>
      <c r="D666" s="2">
        <v>0.46000000834464999</v>
      </c>
      <c r="E666" s="2">
        <v>0.46000000834464999</v>
      </c>
      <c r="F666" s="2">
        <v>0</v>
      </c>
      <c r="G666" s="2">
        <v>0</v>
      </c>
      <c r="H666" s="2">
        <v>0</v>
      </c>
      <c r="I666" s="2">
        <v>0.46000000834464999</v>
      </c>
      <c r="J666" s="2">
        <v>0</v>
      </c>
      <c r="K666" s="3">
        <v>0</v>
      </c>
      <c r="L666" s="3">
        <v>0</v>
      </c>
      <c r="M666" s="3">
        <v>20</v>
      </c>
      <c r="N666" s="3">
        <v>1420</v>
      </c>
      <c r="O666" s="3">
        <v>1922</v>
      </c>
      <c r="P666" t="str">
        <f t="shared" si="20"/>
        <v>Fri</v>
      </c>
      <c r="Q666" t="str">
        <f t="shared" si="21"/>
        <v>Sedentary</v>
      </c>
    </row>
    <row r="667" spans="1:17">
      <c r="A667">
        <v>6775888955</v>
      </c>
      <c r="B667" s="1">
        <v>42488</v>
      </c>
      <c r="C667" s="3">
        <v>703</v>
      </c>
      <c r="D667" s="2">
        <v>0.5</v>
      </c>
      <c r="E667" s="2">
        <v>0.5</v>
      </c>
      <c r="F667" s="2">
        <v>0</v>
      </c>
      <c r="G667" s="2">
        <v>5.9999998658895499E-2</v>
      </c>
      <c r="H667" s="2">
        <v>0.20000000298023199</v>
      </c>
      <c r="I667" s="2">
        <v>0.239999994635582</v>
      </c>
      <c r="J667" s="2">
        <v>0</v>
      </c>
      <c r="K667" s="3">
        <v>2</v>
      </c>
      <c r="L667" s="3">
        <v>13</v>
      </c>
      <c r="M667" s="3">
        <v>15</v>
      </c>
      <c r="N667" s="3">
        <v>1410</v>
      </c>
      <c r="O667" s="3">
        <v>1993</v>
      </c>
      <c r="P667" t="str">
        <f t="shared" si="20"/>
        <v>Thu</v>
      </c>
      <c r="Q667" t="str">
        <f t="shared" si="21"/>
        <v>Sedentary</v>
      </c>
    </row>
    <row r="668" spans="1:17">
      <c r="A668">
        <v>6775888955</v>
      </c>
      <c r="B668" s="1">
        <v>42475</v>
      </c>
      <c r="C668" s="3">
        <v>1282</v>
      </c>
      <c r="D668" s="2">
        <v>0.92000001668930098</v>
      </c>
      <c r="E668" s="2">
        <v>0.92000001668930098</v>
      </c>
      <c r="F668" s="2">
        <v>0</v>
      </c>
      <c r="G668" s="2">
        <v>0</v>
      </c>
      <c r="H668" s="2">
        <v>0</v>
      </c>
      <c r="I668" s="2">
        <v>0.92000001668930098</v>
      </c>
      <c r="J668" s="2">
        <v>0</v>
      </c>
      <c r="K668" s="3">
        <v>0</v>
      </c>
      <c r="L668" s="3">
        <v>0</v>
      </c>
      <c r="M668" s="3">
        <v>58</v>
      </c>
      <c r="N668" s="3">
        <v>976</v>
      </c>
      <c r="O668" s="3">
        <v>2127</v>
      </c>
      <c r="P668" t="str">
        <f t="shared" si="20"/>
        <v>Fri</v>
      </c>
      <c r="Q668" t="str">
        <f t="shared" si="21"/>
        <v>Sedentary</v>
      </c>
    </row>
    <row r="669" spans="1:17">
      <c r="A669">
        <v>6775888955</v>
      </c>
      <c r="B669" s="1">
        <v>42497</v>
      </c>
      <c r="C669" s="3">
        <v>1967</v>
      </c>
      <c r="D669" s="2">
        <v>1.4099999666214</v>
      </c>
      <c r="E669" s="2">
        <v>1.4099999666214</v>
      </c>
      <c r="F669" s="2">
        <v>0</v>
      </c>
      <c r="G669" s="2">
        <v>0.129999995231628</v>
      </c>
      <c r="H669" s="2">
        <v>0.239999994635582</v>
      </c>
      <c r="I669" s="2">
        <v>1.04999995231628</v>
      </c>
      <c r="J669" s="2">
        <v>0</v>
      </c>
      <c r="K669" s="3">
        <v>2</v>
      </c>
      <c r="L669" s="3">
        <v>5</v>
      </c>
      <c r="M669" s="3">
        <v>49</v>
      </c>
      <c r="N669" s="3">
        <v>551</v>
      </c>
      <c r="O669" s="3">
        <v>1032</v>
      </c>
      <c r="P669" t="str">
        <f t="shared" si="20"/>
        <v>Sat</v>
      </c>
      <c r="Q669" t="str">
        <f t="shared" si="21"/>
        <v>Sedentary</v>
      </c>
    </row>
    <row r="670" spans="1:17">
      <c r="A670">
        <v>6775888955</v>
      </c>
      <c r="B670" s="1">
        <v>42484</v>
      </c>
      <c r="C670" s="3">
        <v>2153</v>
      </c>
      <c r="D670" s="2">
        <v>1.53999996185303</v>
      </c>
      <c r="E670" s="2">
        <v>1.53999996185303</v>
      </c>
      <c r="F670" s="2">
        <v>0</v>
      </c>
      <c r="G670" s="2">
        <v>0.769999980926514</v>
      </c>
      <c r="H670" s="2">
        <v>0.62000000476837203</v>
      </c>
      <c r="I670" s="2">
        <v>0.15000000596046401</v>
      </c>
      <c r="J670" s="2">
        <v>0</v>
      </c>
      <c r="K670" s="3">
        <v>11</v>
      </c>
      <c r="L670" s="3">
        <v>18</v>
      </c>
      <c r="M670" s="3">
        <v>11</v>
      </c>
      <c r="N670" s="3">
        <v>1400</v>
      </c>
      <c r="O670" s="3">
        <v>2053</v>
      </c>
      <c r="P670" t="str">
        <f t="shared" si="20"/>
        <v>Sun</v>
      </c>
      <c r="Q670" t="str">
        <f t="shared" si="21"/>
        <v>Sedentary</v>
      </c>
    </row>
    <row r="671" spans="1:17">
      <c r="A671">
        <v>6775888955</v>
      </c>
      <c r="B671" s="1">
        <v>42491</v>
      </c>
      <c r="C671" s="3">
        <v>2487</v>
      </c>
      <c r="D671" s="2">
        <v>1.7799999713897701</v>
      </c>
      <c r="E671" s="2">
        <v>1.7799999713897701</v>
      </c>
      <c r="F671" s="2">
        <v>0</v>
      </c>
      <c r="G671" s="2">
        <v>0.479999989271164</v>
      </c>
      <c r="H671" s="2">
        <v>0.62000000476837203</v>
      </c>
      <c r="I671" s="2">
        <v>0.68000000715255704</v>
      </c>
      <c r="J671" s="2">
        <v>0</v>
      </c>
      <c r="K671" s="3">
        <v>9</v>
      </c>
      <c r="L671" s="3">
        <v>34</v>
      </c>
      <c r="M671" s="3">
        <v>50</v>
      </c>
      <c r="N671" s="3">
        <v>1347</v>
      </c>
      <c r="O671" s="3">
        <v>2319</v>
      </c>
      <c r="P671" t="str">
        <f t="shared" si="20"/>
        <v>Sun</v>
      </c>
      <c r="Q671" t="str">
        <f t="shared" si="21"/>
        <v>Sedentary</v>
      </c>
    </row>
    <row r="672" spans="1:17">
      <c r="A672">
        <v>6775888955</v>
      </c>
      <c r="B672" s="1">
        <v>42477</v>
      </c>
      <c r="C672" s="3">
        <v>2497</v>
      </c>
      <c r="D672" s="2">
        <v>1.78999996185303</v>
      </c>
      <c r="E672" s="2">
        <v>1.78999996185303</v>
      </c>
      <c r="F672" s="2">
        <v>0</v>
      </c>
      <c r="G672" s="2">
        <v>0.34999999403953602</v>
      </c>
      <c r="H672" s="2">
        <v>1.12999999523163</v>
      </c>
      <c r="I672" s="2">
        <v>0.31000000238418601</v>
      </c>
      <c r="J672" s="2">
        <v>0</v>
      </c>
      <c r="K672" s="3">
        <v>5</v>
      </c>
      <c r="L672" s="3">
        <v>24</v>
      </c>
      <c r="M672" s="3">
        <v>19</v>
      </c>
      <c r="N672" s="3">
        <v>1392</v>
      </c>
      <c r="O672" s="3">
        <v>2067</v>
      </c>
      <c r="P672" t="str">
        <f t="shared" si="20"/>
        <v>Sun</v>
      </c>
      <c r="Q672" t="str">
        <f t="shared" si="21"/>
        <v>Sedentary</v>
      </c>
    </row>
    <row r="673" spans="1:17">
      <c r="A673">
        <v>6775888955</v>
      </c>
      <c r="B673" s="1">
        <v>42490</v>
      </c>
      <c r="C673" s="3">
        <v>2503</v>
      </c>
      <c r="D673" s="2">
        <v>1.78999996185303</v>
      </c>
      <c r="E673" s="2">
        <v>1.78999996185303</v>
      </c>
      <c r="F673" s="2">
        <v>0</v>
      </c>
      <c r="G673" s="2">
        <v>0.15999999642372101</v>
      </c>
      <c r="H673" s="2">
        <v>0.15999999642372101</v>
      </c>
      <c r="I673" s="2">
        <v>1.4800000190734901</v>
      </c>
      <c r="J673" s="2">
        <v>0</v>
      </c>
      <c r="K673" s="3">
        <v>3</v>
      </c>
      <c r="L673" s="3">
        <v>9</v>
      </c>
      <c r="M673" s="3">
        <v>84</v>
      </c>
      <c r="N673" s="3">
        <v>1344</v>
      </c>
      <c r="O673" s="3">
        <v>2280</v>
      </c>
      <c r="P673" t="str">
        <f t="shared" si="20"/>
        <v>Sat</v>
      </c>
      <c r="Q673" t="str">
        <f t="shared" si="21"/>
        <v>Sedentary</v>
      </c>
    </row>
    <row r="674" spans="1:17">
      <c r="A674">
        <v>6775888955</v>
      </c>
      <c r="B674" s="1">
        <v>42473</v>
      </c>
      <c r="C674" s="3">
        <v>4053</v>
      </c>
      <c r="D674" s="2">
        <v>2.9100000858306898</v>
      </c>
      <c r="E674" s="2">
        <v>2.9100000858306898</v>
      </c>
      <c r="F674" s="2">
        <v>0</v>
      </c>
      <c r="G674" s="2">
        <v>1.1100000143051101</v>
      </c>
      <c r="H674" s="2">
        <v>0.57999998331069902</v>
      </c>
      <c r="I674" s="2">
        <v>1.2200000286102299</v>
      </c>
      <c r="J674" s="2">
        <v>0</v>
      </c>
      <c r="K674" s="3">
        <v>17</v>
      </c>
      <c r="L674" s="3">
        <v>18</v>
      </c>
      <c r="M674" s="3">
        <v>85</v>
      </c>
      <c r="N674" s="3">
        <v>1053</v>
      </c>
      <c r="O674" s="3">
        <v>2400</v>
      </c>
      <c r="P674" t="str">
        <f t="shared" si="20"/>
        <v>Wed</v>
      </c>
      <c r="Q674" t="str">
        <f t="shared" si="21"/>
        <v>Sedentary</v>
      </c>
    </row>
    <row r="675" spans="1:17">
      <c r="A675">
        <v>6775888955</v>
      </c>
      <c r="B675" s="1">
        <v>42496</v>
      </c>
      <c r="C675" s="3">
        <v>4697</v>
      </c>
      <c r="D675" s="2">
        <v>3.3699998855590798</v>
      </c>
      <c r="E675" s="2">
        <v>3.3699998855590798</v>
      </c>
      <c r="F675" s="2">
        <v>0</v>
      </c>
      <c r="G675" s="2">
        <v>0.46999999880790699</v>
      </c>
      <c r="H675" s="2">
        <v>0.93000000715255704</v>
      </c>
      <c r="I675" s="2">
        <v>1.9299999475479099</v>
      </c>
      <c r="J675" s="2">
        <v>0</v>
      </c>
      <c r="K675" s="3">
        <v>12</v>
      </c>
      <c r="L675" s="3">
        <v>35</v>
      </c>
      <c r="M675" s="3">
        <v>75</v>
      </c>
      <c r="N675" s="3">
        <v>1318</v>
      </c>
      <c r="O675" s="3">
        <v>2496</v>
      </c>
      <c r="P675" t="str">
        <f t="shared" si="20"/>
        <v>Fri</v>
      </c>
      <c r="Q675" t="str">
        <f t="shared" si="21"/>
        <v>Sedentary</v>
      </c>
    </row>
    <row r="676" spans="1:17">
      <c r="A676">
        <v>6775888955</v>
      </c>
      <c r="B676" s="1">
        <v>42476</v>
      </c>
      <c r="C676" s="3">
        <v>4732</v>
      </c>
      <c r="D676" s="2">
        <v>3.3900001049041699</v>
      </c>
      <c r="E676" s="2">
        <v>3.3900001049041699</v>
      </c>
      <c r="F676" s="2">
        <v>0</v>
      </c>
      <c r="G676" s="2">
        <v>2.5199999809265101</v>
      </c>
      <c r="H676" s="2">
        <v>0.81000000238418601</v>
      </c>
      <c r="I676" s="2">
        <v>5.9999998658895499E-2</v>
      </c>
      <c r="J676" s="2">
        <v>0</v>
      </c>
      <c r="K676" s="3">
        <v>36</v>
      </c>
      <c r="L676" s="3">
        <v>18</v>
      </c>
      <c r="M676" s="3">
        <v>9</v>
      </c>
      <c r="N676" s="3">
        <v>1377</v>
      </c>
      <c r="O676" s="3">
        <v>2225</v>
      </c>
      <c r="P676" t="str">
        <f t="shared" si="20"/>
        <v>Sat</v>
      </c>
      <c r="Q676" t="str">
        <f t="shared" si="21"/>
        <v>Sedentary</v>
      </c>
    </row>
    <row r="677" spans="1:17">
      <c r="A677">
        <v>6775888955</v>
      </c>
      <c r="B677" s="1">
        <v>42474</v>
      </c>
      <c r="C677" s="3">
        <v>5162</v>
      </c>
      <c r="D677" s="2">
        <v>3.7000000476837198</v>
      </c>
      <c r="E677" s="2">
        <v>3.7000000476837198</v>
      </c>
      <c r="F677" s="2">
        <v>0</v>
      </c>
      <c r="G677" s="2">
        <v>0.87000000476837203</v>
      </c>
      <c r="H677" s="2">
        <v>0.86000001430511497</v>
      </c>
      <c r="I677" s="2">
        <v>1.9700000286102299</v>
      </c>
      <c r="J677" s="2">
        <v>0</v>
      </c>
      <c r="K677" s="3">
        <v>14</v>
      </c>
      <c r="L677" s="3">
        <v>24</v>
      </c>
      <c r="M677" s="3">
        <v>105</v>
      </c>
      <c r="N677" s="3">
        <v>863</v>
      </c>
      <c r="O677" s="3">
        <v>2507</v>
      </c>
      <c r="P677" t="str">
        <f t="shared" si="20"/>
        <v>Thu</v>
      </c>
      <c r="Q677" t="str">
        <f t="shared" si="21"/>
        <v>Lightly Active</v>
      </c>
    </row>
    <row r="678" spans="1:17">
      <c r="A678">
        <v>6775888955</v>
      </c>
      <c r="B678" s="1">
        <v>42485</v>
      </c>
      <c r="C678" s="3">
        <v>6474</v>
      </c>
      <c r="D678" s="2">
        <v>4.6399998664856001</v>
      </c>
      <c r="E678" s="2">
        <v>4.6399998664856001</v>
      </c>
      <c r="F678" s="2">
        <v>0</v>
      </c>
      <c r="G678" s="2">
        <v>2.2699999809265101</v>
      </c>
      <c r="H678" s="2">
        <v>0.46000000834464999</v>
      </c>
      <c r="I678" s="2">
        <v>1.8999999761581401</v>
      </c>
      <c r="J678" s="2">
        <v>0</v>
      </c>
      <c r="K678" s="3">
        <v>33</v>
      </c>
      <c r="L678" s="3">
        <v>13</v>
      </c>
      <c r="M678" s="3">
        <v>92</v>
      </c>
      <c r="N678" s="3">
        <v>1302</v>
      </c>
      <c r="O678" s="3">
        <v>2484</v>
      </c>
      <c r="P678" t="str">
        <f t="shared" si="20"/>
        <v>Mon</v>
      </c>
      <c r="Q678" t="str">
        <f t="shared" si="21"/>
        <v>Lightly Active</v>
      </c>
    </row>
    <row r="679" spans="1:17">
      <c r="A679">
        <v>6775888955</v>
      </c>
      <c r="B679" s="1">
        <v>42486</v>
      </c>
      <c r="C679" s="3">
        <v>7091</v>
      </c>
      <c r="D679" s="2">
        <v>5.2699999809265101</v>
      </c>
      <c r="E679" s="2">
        <v>5.2699999809265101</v>
      </c>
      <c r="F679" s="2">
        <v>1.9595960378646899</v>
      </c>
      <c r="G679" s="2">
        <v>3.4800000190734899</v>
      </c>
      <c r="H679" s="2">
        <v>0.87000000476837203</v>
      </c>
      <c r="I679" s="2">
        <v>0.730000019073486</v>
      </c>
      <c r="J679" s="2">
        <v>0</v>
      </c>
      <c r="K679" s="3">
        <v>42</v>
      </c>
      <c r="L679" s="3">
        <v>30</v>
      </c>
      <c r="M679" s="3">
        <v>47</v>
      </c>
      <c r="N679" s="3">
        <v>1321</v>
      </c>
      <c r="O679" s="3">
        <v>2584</v>
      </c>
      <c r="P679" t="str">
        <f t="shared" si="20"/>
        <v>Tue</v>
      </c>
      <c r="Q679" t="str">
        <f t="shared" si="21"/>
        <v>Lightly Active</v>
      </c>
    </row>
    <row r="680" spans="1:17">
      <c r="A680">
        <v>6775888955</v>
      </c>
      <c r="B680" s="1">
        <v>42478</v>
      </c>
      <c r="C680" s="3">
        <v>8294</v>
      </c>
      <c r="D680" s="2">
        <v>5.9499998092651403</v>
      </c>
      <c r="E680" s="2">
        <v>5.9499998092651403</v>
      </c>
      <c r="F680" s="2">
        <v>0</v>
      </c>
      <c r="G680" s="2">
        <v>2</v>
      </c>
      <c r="H680" s="2">
        <v>0.769999980926514</v>
      </c>
      <c r="I680" s="2">
        <v>3.1700000762939502</v>
      </c>
      <c r="J680" s="2">
        <v>0</v>
      </c>
      <c r="K680" s="3">
        <v>30</v>
      </c>
      <c r="L680" s="3">
        <v>31</v>
      </c>
      <c r="M680" s="3">
        <v>146</v>
      </c>
      <c r="N680" s="3">
        <v>1233</v>
      </c>
      <c r="O680" s="3">
        <v>2798</v>
      </c>
      <c r="P680" t="str">
        <f t="shared" si="20"/>
        <v>Mon</v>
      </c>
      <c r="Q680" t="str">
        <f t="shared" si="21"/>
        <v>Fairly Active</v>
      </c>
    </row>
    <row r="681" spans="1:17">
      <c r="A681">
        <v>6775888955</v>
      </c>
      <c r="B681" s="1">
        <v>42480</v>
      </c>
      <c r="C681" s="3">
        <v>10771</v>
      </c>
      <c r="D681" s="2">
        <v>7.7199997901916504</v>
      </c>
      <c r="E681" s="2">
        <v>7.7199997901916504</v>
      </c>
      <c r="F681" s="2">
        <v>0</v>
      </c>
      <c r="G681" s="2">
        <v>3.7699999809265101</v>
      </c>
      <c r="H681" s="2">
        <v>1.7400000095367401</v>
      </c>
      <c r="I681" s="2">
        <v>2.2200000286102299</v>
      </c>
      <c r="J681" s="2">
        <v>0</v>
      </c>
      <c r="K681" s="3">
        <v>70</v>
      </c>
      <c r="L681" s="3">
        <v>113</v>
      </c>
      <c r="M681" s="3">
        <v>178</v>
      </c>
      <c r="N681" s="3">
        <v>1079</v>
      </c>
      <c r="O681" s="3">
        <v>3727</v>
      </c>
      <c r="P681" t="str">
        <f t="shared" si="20"/>
        <v>Wed</v>
      </c>
      <c r="Q681" t="str">
        <f t="shared" si="21"/>
        <v>Vey Active</v>
      </c>
    </row>
    <row r="682" spans="1:17">
      <c r="A682">
        <v>6962181067</v>
      </c>
      <c r="B682" s="1">
        <v>42474</v>
      </c>
      <c r="C682" s="3">
        <v>1551</v>
      </c>
      <c r="D682" s="2">
        <v>1.0299999713897701</v>
      </c>
      <c r="E682" s="2">
        <v>1.0299999713897701</v>
      </c>
      <c r="F682" s="2">
        <v>0</v>
      </c>
      <c r="G682" s="2">
        <v>0</v>
      </c>
      <c r="H682" s="2">
        <v>0</v>
      </c>
      <c r="I682" s="2">
        <v>1.0299999713897701</v>
      </c>
      <c r="J682" s="2">
        <v>0</v>
      </c>
      <c r="K682" s="3">
        <v>0</v>
      </c>
      <c r="L682" s="3">
        <v>0</v>
      </c>
      <c r="M682" s="3">
        <v>86</v>
      </c>
      <c r="N682" s="3">
        <v>862</v>
      </c>
      <c r="O682" s="3">
        <v>1466</v>
      </c>
      <c r="P682" t="str">
        <f t="shared" si="20"/>
        <v>Thu</v>
      </c>
      <c r="Q682" t="str">
        <f t="shared" si="21"/>
        <v>Sedentary</v>
      </c>
    </row>
    <row r="683" spans="1:17">
      <c r="A683">
        <v>6962181067</v>
      </c>
      <c r="B683" s="1">
        <v>42502</v>
      </c>
      <c r="C683" s="3">
        <v>3587</v>
      </c>
      <c r="D683" s="2">
        <v>2.3699998855590798</v>
      </c>
      <c r="E683" s="2">
        <v>2.3699998855590798</v>
      </c>
      <c r="F683" s="2">
        <v>0</v>
      </c>
      <c r="G683" s="2">
        <v>0</v>
      </c>
      <c r="H683" s="2">
        <v>0.25</v>
      </c>
      <c r="I683" s="2">
        <v>2.1099998950958301</v>
      </c>
      <c r="J683" s="2">
        <v>0</v>
      </c>
      <c r="K683" s="3">
        <v>0</v>
      </c>
      <c r="L683" s="3">
        <v>8</v>
      </c>
      <c r="M683" s="3">
        <v>105</v>
      </c>
      <c r="N683" s="3">
        <v>127</v>
      </c>
      <c r="O683" s="3">
        <v>928</v>
      </c>
      <c r="P683" t="str">
        <f t="shared" si="20"/>
        <v>Thu</v>
      </c>
      <c r="Q683" t="str">
        <f t="shared" si="21"/>
        <v>Sedentary</v>
      </c>
    </row>
    <row r="684" spans="1:17">
      <c r="A684">
        <v>6962181067</v>
      </c>
      <c r="B684" s="1">
        <v>42498</v>
      </c>
      <c r="C684" s="3">
        <v>4188</v>
      </c>
      <c r="D684" s="2">
        <v>2.7699999809265101</v>
      </c>
      <c r="E684" s="2">
        <v>2.7699999809265101</v>
      </c>
      <c r="F684" s="2">
        <v>0</v>
      </c>
      <c r="G684" s="2">
        <v>0</v>
      </c>
      <c r="H684" s="2">
        <v>0.519999980926514</v>
      </c>
      <c r="I684" s="2">
        <v>2.25</v>
      </c>
      <c r="J684" s="2">
        <v>0</v>
      </c>
      <c r="K684" s="3">
        <v>0</v>
      </c>
      <c r="L684" s="3">
        <v>14</v>
      </c>
      <c r="M684" s="3">
        <v>151</v>
      </c>
      <c r="N684" s="3">
        <v>709</v>
      </c>
      <c r="O684" s="3">
        <v>1659</v>
      </c>
      <c r="P684" t="str">
        <f t="shared" si="20"/>
        <v>Sun</v>
      </c>
      <c r="Q684" t="str">
        <f t="shared" si="21"/>
        <v>Sedentary</v>
      </c>
    </row>
    <row r="685" spans="1:17">
      <c r="A685">
        <v>6962181067</v>
      </c>
      <c r="B685" s="1">
        <v>42484</v>
      </c>
      <c r="C685" s="3">
        <v>5029</v>
      </c>
      <c r="D685" s="2">
        <v>3.3199999332428001</v>
      </c>
      <c r="E685" s="2">
        <v>3.3199999332428001</v>
      </c>
      <c r="F685" s="2">
        <v>0</v>
      </c>
      <c r="G685" s="2">
        <v>0</v>
      </c>
      <c r="H685" s="2">
        <v>0</v>
      </c>
      <c r="I685" s="2">
        <v>3.3199999332428001</v>
      </c>
      <c r="J685" s="2">
        <v>0</v>
      </c>
      <c r="K685" s="3">
        <v>0</v>
      </c>
      <c r="L685" s="3">
        <v>0</v>
      </c>
      <c r="M685" s="3">
        <v>199</v>
      </c>
      <c r="N685" s="3">
        <v>720</v>
      </c>
      <c r="O685" s="3">
        <v>1705</v>
      </c>
      <c r="P685" t="str">
        <f t="shared" si="20"/>
        <v>Sun</v>
      </c>
      <c r="Q685" t="str">
        <f t="shared" si="21"/>
        <v>Lightly Active</v>
      </c>
    </row>
    <row r="686" spans="1:17">
      <c r="A686">
        <v>6962181067</v>
      </c>
      <c r="B686" s="1">
        <v>42491</v>
      </c>
      <c r="C686" s="3">
        <v>5454</v>
      </c>
      <c r="D686" s="2">
        <v>3.6099998950958301</v>
      </c>
      <c r="E686" s="2">
        <v>3.6099998950958301</v>
      </c>
      <c r="F686" s="2">
        <v>0</v>
      </c>
      <c r="G686" s="2">
        <v>0</v>
      </c>
      <c r="H686" s="2">
        <v>0</v>
      </c>
      <c r="I686" s="2">
        <v>3.6099998950958301</v>
      </c>
      <c r="J686" s="2">
        <v>0</v>
      </c>
      <c r="K686" s="3">
        <v>0</v>
      </c>
      <c r="L686" s="3">
        <v>0</v>
      </c>
      <c r="M686" s="3">
        <v>215</v>
      </c>
      <c r="N686" s="3">
        <v>722</v>
      </c>
      <c r="O686" s="3">
        <v>1740</v>
      </c>
      <c r="P686" t="str">
        <f t="shared" si="20"/>
        <v>Sun</v>
      </c>
      <c r="Q686" t="str">
        <f t="shared" si="21"/>
        <v>Lightly Active</v>
      </c>
    </row>
    <row r="687" spans="1:17">
      <c r="A687">
        <v>6962181067</v>
      </c>
      <c r="B687" s="1">
        <v>42475</v>
      </c>
      <c r="C687" s="3">
        <v>5563</v>
      </c>
      <c r="D687" s="2">
        <v>3.6800000667571999</v>
      </c>
      <c r="E687" s="2">
        <v>3.6800000667571999</v>
      </c>
      <c r="F687" s="2">
        <v>0</v>
      </c>
      <c r="G687" s="2">
        <v>0</v>
      </c>
      <c r="H687" s="2">
        <v>0</v>
      </c>
      <c r="I687" s="2">
        <v>3.6800000667571999</v>
      </c>
      <c r="J687" s="2">
        <v>0</v>
      </c>
      <c r="K687" s="3">
        <v>0</v>
      </c>
      <c r="L687" s="3">
        <v>0</v>
      </c>
      <c r="M687" s="3">
        <v>217</v>
      </c>
      <c r="N687" s="3">
        <v>837</v>
      </c>
      <c r="O687" s="3">
        <v>1756</v>
      </c>
      <c r="P687" t="str">
        <f t="shared" si="20"/>
        <v>Fri</v>
      </c>
      <c r="Q687" t="str">
        <f t="shared" si="21"/>
        <v>Lightly Active</v>
      </c>
    </row>
    <row r="688" spans="1:17">
      <c r="A688">
        <v>6962181067</v>
      </c>
      <c r="B688" s="1">
        <v>42473</v>
      </c>
      <c r="C688" s="3">
        <v>5652</v>
      </c>
      <c r="D688" s="2">
        <v>3.7400000095367401</v>
      </c>
      <c r="E688" s="2">
        <v>3.7400000095367401</v>
      </c>
      <c r="F688" s="2">
        <v>0</v>
      </c>
      <c r="G688" s="2">
        <v>0.56999999284744296</v>
      </c>
      <c r="H688" s="2">
        <v>1.21000003814697</v>
      </c>
      <c r="I688" s="2">
        <v>1.96000003814697</v>
      </c>
      <c r="J688" s="2">
        <v>0</v>
      </c>
      <c r="K688" s="3">
        <v>8</v>
      </c>
      <c r="L688" s="3">
        <v>24</v>
      </c>
      <c r="M688" s="3">
        <v>142</v>
      </c>
      <c r="N688" s="3">
        <v>548</v>
      </c>
      <c r="O688" s="3">
        <v>1718</v>
      </c>
      <c r="P688" t="str">
        <f t="shared" si="20"/>
        <v>Wed</v>
      </c>
      <c r="Q688" t="str">
        <f t="shared" si="21"/>
        <v>Lightly Active</v>
      </c>
    </row>
    <row r="689" spans="1:17">
      <c r="A689">
        <v>6962181067</v>
      </c>
      <c r="B689" s="1">
        <v>42496</v>
      </c>
      <c r="C689" s="3">
        <v>5908</v>
      </c>
      <c r="D689" s="2">
        <v>3.9100000858306898</v>
      </c>
      <c r="E689" s="2">
        <v>3.9100000858306898</v>
      </c>
      <c r="F689" s="2">
        <v>0</v>
      </c>
      <c r="G689" s="2">
        <v>0</v>
      </c>
      <c r="H689" s="2">
        <v>0</v>
      </c>
      <c r="I689" s="2">
        <v>3.9100000858306898</v>
      </c>
      <c r="J689" s="2">
        <v>0</v>
      </c>
      <c r="K689" s="3">
        <v>0</v>
      </c>
      <c r="L689" s="3">
        <v>0</v>
      </c>
      <c r="M689" s="3">
        <v>299</v>
      </c>
      <c r="N689" s="3">
        <v>717</v>
      </c>
      <c r="O689" s="3">
        <v>1850</v>
      </c>
      <c r="P689" t="str">
        <f t="shared" si="20"/>
        <v>Fri</v>
      </c>
      <c r="Q689" t="str">
        <f t="shared" si="21"/>
        <v>Lightly Active</v>
      </c>
    </row>
    <row r="690" spans="1:17">
      <c r="A690">
        <v>6962181067</v>
      </c>
      <c r="B690" s="1">
        <v>42501</v>
      </c>
      <c r="C690" s="3">
        <v>6722</v>
      </c>
      <c r="D690" s="2">
        <v>4.4400000572204599</v>
      </c>
      <c r="E690" s="2">
        <v>4.4400000572204599</v>
      </c>
      <c r="F690" s="2">
        <v>0</v>
      </c>
      <c r="G690" s="2">
        <v>1.4900000095367401</v>
      </c>
      <c r="H690" s="2">
        <v>0.31000000238418601</v>
      </c>
      <c r="I690" s="2">
        <v>2.6500000953674299</v>
      </c>
      <c r="J690" s="2">
        <v>0</v>
      </c>
      <c r="K690" s="3">
        <v>24</v>
      </c>
      <c r="L690" s="3">
        <v>7</v>
      </c>
      <c r="M690" s="3">
        <v>199</v>
      </c>
      <c r="N690" s="3">
        <v>709</v>
      </c>
      <c r="O690" s="3">
        <v>1855</v>
      </c>
      <c r="P690" t="str">
        <f t="shared" si="20"/>
        <v>Wed</v>
      </c>
      <c r="Q690" t="str">
        <f t="shared" si="21"/>
        <v>Lightly Active</v>
      </c>
    </row>
    <row r="691" spans="1:17">
      <c r="A691">
        <v>6962181067</v>
      </c>
      <c r="B691" s="1">
        <v>42497</v>
      </c>
      <c r="C691" s="3">
        <v>6815</v>
      </c>
      <c r="D691" s="2">
        <v>4.5</v>
      </c>
      <c r="E691" s="2">
        <v>4.5</v>
      </c>
      <c r="F691" s="2">
        <v>0</v>
      </c>
      <c r="G691" s="2">
        <v>0</v>
      </c>
      <c r="H691" s="2">
        <v>0</v>
      </c>
      <c r="I691" s="2">
        <v>4.5</v>
      </c>
      <c r="J691" s="2">
        <v>0</v>
      </c>
      <c r="K691" s="3">
        <v>0</v>
      </c>
      <c r="L691" s="3">
        <v>0</v>
      </c>
      <c r="M691" s="3">
        <v>328</v>
      </c>
      <c r="N691" s="3">
        <v>745</v>
      </c>
      <c r="O691" s="3">
        <v>1947</v>
      </c>
      <c r="P691" t="str">
        <f t="shared" si="20"/>
        <v>Sat</v>
      </c>
      <c r="Q691" t="str">
        <f t="shared" si="21"/>
        <v>Lightly Active</v>
      </c>
    </row>
    <row r="692" spans="1:17">
      <c r="A692">
        <v>6962181067</v>
      </c>
      <c r="B692" s="1">
        <v>42490</v>
      </c>
      <c r="C692" s="3">
        <v>10081</v>
      </c>
      <c r="D692" s="2">
        <v>6.6599998474121103</v>
      </c>
      <c r="E692" s="2">
        <v>6.6599998474121103</v>
      </c>
      <c r="F692" s="2">
        <v>0</v>
      </c>
      <c r="G692" s="2">
        <v>2.2400000095367401</v>
      </c>
      <c r="H692" s="2">
        <v>0.75999999046325695</v>
      </c>
      <c r="I692" s="2">
        <v>3.6700000762939502</v>
      </c>
      <c r="J692" s="2">
        <v>0</v>
      </c>
      <c r="K692" s="3">
        <v>32</v>
      </c>
      <c r="L692" s="3">
        <v>16</v>
      </c>
      <c r="M692" s="3">
        <v>237</v>
      </c>
      <c r="N692" s="3">
        <v>731</v>
      </c>
      <c r="O692" s="3">
        <v>2002</v>
      </c>
      <c r="P692" t="str">
        <f t="shared" si="20"/>
        <v>Sat</v>
      </c>
      <c r="Q692" t="str">
        <f t="shared" si="21"/>
        <v>Vey Active</v>
      </c>
    </row>
    <row r="693" spans="1:17">
      <c r="A693">
        <v>6962181067</v>
      </c>
      <c r="B693" s="1">
        <v>42477</v>
      </c>
      <c r="C693" s="3">
        <v>10145</v>
      </c>
      <c r="D693" s="2">
        <v>6.71000003814697</v>
      </c>
      <c r="E693" s="2">
        <v>6.71000003814697</v>
      </c>
      <c r="F693" s="2">
        <v>0</v>
      </c>
      <c r="G693" s="2">
        <v>0.33000001311302202</v>
      </c>
      <c r="H693" s="2">
        <v>0.68000000715255704</v>
      </c>
      <c r="I693" s="2">
        <v>5.6900000572204599</v>
      </c>
      <c r="J693" s="2">
        <v>0</v>
      </c>
      <c r="K693" s="3">
        <v>5</v>
      </c>
      <c r="L693" s="3">
        <v>13</v>
      </c>
      <c r="M693" s="3">
        <v>295</v>
      </c>
      <c r="N693" s="3">
        <v>634</v>
      </c>
      <c r="O693" s="3">
        <v>2027</v>
      </c>
      <c r="P693" t="str">
        <f t="shared" si="20"/>
        <v>Sun</v>
      </c>
      <c r="Q693" t="str">
        <f t="shared" si="21"/>
        <v>Vey Active</v>
      </c>
    </row>
    <row r="694" spans="1:17">
      <c r="A694">
        <v>6962181067</v>
      </c>
      <c r="B694" s="1">
        <v>42494</v>
      </c>
      <c r="C694" s="3">
        <v>10147</v>
      </c>
      <c r="D694" s="2">
        <v>6.71000003814697</v>
      </c>
      <c r="E694" s="2">
        <v>6.71000003814697</v>
      </c>
      <c r="F694" s="2">
        <v>0</v>
      </c>
      <c r="G694" s="2">
        <v>0.46999999880790699</v>
      </c>
      <c r="H694" s="2">
        <v>1.6799999475479099</v>
      </c>
      <c r="I694" s="2">
        <v>4.5500001907348597</v>
      </c>
      <c r="J694" s="2">
        <v>0</v>
      </c>
      <c r="K694" s="3">
        <v>15</v>
      </c>
      <c r="L694" s="3">
        <v>36</v>
      </c>
      <c r="M694" s="3">
        <v>284</v>
      </c>
      <c r="N694" s="3">
        <v>683</v>
      </c>
      <c r="O694" s="3">
        <v>2086</v>
      </c>
      <c r="P694" t="str">
        <f t="shared" si="20"/>
        <v>Wed</v>
      </c>
      <c r="Q694" t="str">
        <f t="shared" si="21"/>
        <v>Vey Active</v>
      </c>
    </row>
    <row r="695" spans="1:17">
      <c r="A695">
        <v>6962181067</v>
      </c>
      <c r="B695" s="1">
        <v>42472</v>
      </c>
      <c r="C695" s="3">
        <v>10199</v>
      </c>
      <c r="D695" s="2">
        <v>6.7399997711181596</v>
      </c>
      <c r="E695" s="2">
        <v>6.7399997711181596</v>
      </c>
      <c r="F695" s="2">
        <v>0</v>
      </c>
      <c r="G695" s="2">
        <v>3.4000000953674299</v>
      </c>
      <c r="H695" s="2">
        <v>0.82999998331069902</v>
      </c>
      <c r="I695" s="2">
        <v>2.5099999904632599</v>
      </c>
      <c r="J695" s="2">
        <v>0</v>
      </c>
      <c r="K695" s="3">
        <v>50</v>
      </c>
      <c r="L695" s="3">
        <v>14</v>
      </c>
      <c r="M695" s="3">
        <v>189</v>
      </c>
      <c r="N695" s="3">
        <v>796</v>
      </c>
      <c r="O695" s="3">
        <v>1994</v>
      </c>
      <c r="P695" t="str">
        <f t="shared" si="20"/>
        <v>Tue</v>
      </c>
      <c r="Q695" t="str">
        <f t="shared" si="21"/>
        <v>Vey Active</v>
      </c>
    </row>
    <row r="696" spans="1:17">
      <c r="A696">
        <v>6962181067</v>
      </c>
      <c r="B696" s="1">
        <v>42487</v>
      </c>
      <c r="C696" s="3">
        <v>10320</v>
      </c>
      <c r="D696" s="2">
        <v>6.8200001716613796</v>
      </c>
      <c r="E696" s="2">
        <v>6.8200001716613796</v>
      </c>
      <c r="F696" s="2">
        <v>0</v>
      </c>
      <c r="G696" s="2">
        <v>0.55000001192092896</v>
      </c>
      <c r="H696" s="2">
        <v>2.0199999809265101</v>
      </c>
      <c r="I696" s="2">
        <v>4.25</v>
      </c>
      <c r="J696" s="2">
        <v>0</v>
      </c>
      <c r="K696" s="3">
        <v>7</v>
      </c>
      <c r="L696" s="3">
        <v>38</v>
      </c>
      <c r="M696" s="3">
        <v>279</v>
      </c>
      <c r="N696" s="3">
        <v>697</v>
      </c>
      <c r="O696" s="3">
        <v>2034</v>
      </c>
      <c r="P696" t="str">
        <f t="shared" si="20"/>
        <v>Wed</v>
      </c>
      <c r="Q696" t="str">
        <f t="shared" si="21"/>
        <v>Vey Active</v>
      </c>
    </row>
    <row r="697" spans="1:17">
      <c r="A697">
        <v>6962181067</v>
      </c>
      <c r="B697" s="1">
        <v>42486</v>
      </c>
      <c r="C697" s="3">
        <v>10433</v>
      </c>
      <c r="D697" s="2">
        <v>6.9000000953674299</v>
      </c>
      <c r="E697" s="2">
        <v>6.9000000953674299</v>
      </c>
      <c r="F697" s="2">
        <v>0</v>
      </c>
      <c r="G697" s="2">
        <v>2.5799999237060498</v>
      </c>
      <c r="H697" s="2">
        <v>0.41999998688697798</v>
      </c>
      <c r="I697" s="2">
        <v>3.9000000953674299</v>
      </c>
      <c r="J697" s="2">
        <v>0</v>
      </c>
      <c r="K697" s="3">
        <v>36</v>
      </c>
      <c r="L697" s="3">
        <v>7</v>
      </c>
      <c r="M697" s="3">
        <v>254</v>
      </c>
      <c r="N697" s="3">
        <v>680</v>
      </c>
      <c r="O697" s="3">
        <v>2012</v>
      </c>
      <c r="P697" t="str">
        <f t="shared" si="20"/>
        <v>Tue</v>
      </c>
      <c r="Q697" t="str">
        <f t="shared" si="21"/>
        <v>Vey Active</v>
      </c>
    </row>
    <row r="698" spans="1:17">
      <c r="A698">
        <v>6962181067</v>
      </c>
      <c r="B698" s="1">
        <v>42495</v>
      </c>
      <c r="C698" s="3">
        <v>10524</v>
      </c>
      <c r="D698" s="2">
        <v>6.96000003814697</v>
      </c>
      <c r="E698" s="2">
        <v>6.96000003814697</v>
      </c>
      <c r="F698" s="2">
        <v>0</v>
      </c>
      <c r="G698" s="2">
        <v>0.99000000953674305</v>
      </c>
      <c r="H698" s="2">
        <v>1.1599999666214</v>
      </c>
      <c r="I698" s="2">
        <v>4.8099999427795401</v>
      </c>
      <c r="J698" s="2">
        <v>0</v>
      </c>
      <c r="K698" s="3">
        <v>14</v>
      </c>
      <c r="L698" s="3">
        <v>22</v>
      </c>
      <c r="M698" s="3">
        <v>305</v>
      </c>
      <c r="N698" s="3">
        <v>591</v>
      </c>
      <c r="O698" s="3">
        <v>2066</v>
      </c>
      <c r="P698" t="str">
        <f t="shared" si="20"/>
        <v>Thu</v>
      </c>
      <c r="Q698" t="str">
        <f t="shared" si="21"/>
        <v>Vey Active</v>
      </c>
    </row>
    <row r="699" spans="1:17">
      <c r="A699">
        <v>6962181067</v>
      </c>
      <c r="B699" s="1">
        <v>42482</v>
      </c>
      <c r="C699" s="3">
        <v>10725</v>
      </c>
      <c r="D699" s="2">
        <v>7.0900001525878897</v>
      </c>
      <c r="E699" s="2">
        <v>7.0900001525878897</v>
      </c>
      <c r="F699" s="2">
        <v>0</v>
      </c>
      <c r="G699" s="2">
        <v>1.7699999809265099</v>
      </c>
      <c r="H699" s="2">
        <v>1.54999995231628</v>
      </c>
      <c r="I699" s="2">
        <v>3.7699999809265101</v>
      </c>
      <c r="J699" s="2">
        <v>0</v>
      </c>
      <c r="K699" s="3">
        <v>30</v>
      </c>
      <c r="L699" s="3">
        <v>33</v>
      </c>
      <c r="M699" s="3">
        <v>240</v>
      </c>
      <c r="N699" s="3">
        <v>659</v>
      </c>
      <c r="O699" s="3">
        <v>2086</v>
      </c>
      <c r="P699" t="str">
        <f t="shared" si="20"/>
        <v>Fri</v>
      </c>
      <c r="Q699" t="str">
        <f t="shared" si="21"/>
        <v>Vey Active</v>
      </c>
    </row>
    <row r="700" spans="1:17">
      <c r="A700">
        <v>6962181067</v>
      </c>
      <c r="B700" s="1">
        <v>42479</v>
      </c>
      <c r="C700" s="3">
        <v>10742</v>
      </c>
      <c r="D700" s="2">
        <v>7.0999999046325701</v>
      </c>
      <c r="E700" s="2">
        <v>7.0999999046325701</v>
      </c>
      <c r="F700" s="2">
        <v>0</v>
      </c>
      <c r="G700" s="2">
        <v>2.0999999046325701</v>
      </c>
      <c r="H700" s="2">
        <v>2.1300001144409202</v>
      </c>
      <c r="I700" s="2">
        <v>2.8699998855590798</v>
      </c>
      <c r="J700" s="2">
        <v>0</v>
      </c>
      <c r="K700" s="3">
        <v>35</v>
      </c>
      <c r="L700" s="3">
        <v>41</v>
      </c>
      <c r="M700" s="3">
        <v>195</v>
      </c>
      <c r="N700" s="3">
        <v>659</v>
      </c>
      <c r="O700" s="3">
        <v>2046</v>
      </c>
      <c r="P700" t="str">
        <f t="shared" si="20"/>
        <v>Tue</v>
      </c>
      <c r="Q700" t="str">
        <f t="shared" si="21"/>
        <v>Vey Active</v>
      </c>
    </row>
    <row r="701" spans="1:17">
      <c r="A701">
        <v>6962181067</v>
      </c>
      <c r="B701" s="1">
        <v>42489</v>
      </c>
      <c r="C701" s="3">
        <v>10762</v>
      </c>
      <c r="D701" s="2">
        <v>7.1100001335143999</v>
      </c>
      <c r="E701" s="2">
        <v>7.1100001335143999</v>
      </c>
      <c r="F701" s="2">
        <v>0</v>
      </c>
      <c r="G701" s="2">
        <v>0.81999999284744296</v>
      </c>
      <c r="H701" s="2">
        <v>0.479999989271164</v>
      </c>
      <c r="I701" s="2">
        <v>5.8099999427795401</v>
      </c>
      <c r="J701" s="2">
        <v>0</v>
      </c>
      <c r="K701" s="3">
        <v>12</v>
      </c>
      <c r="L701" s="3">
        <v>15</v>
      </c>
      <c r="M701" s="3">
        <v>369</v>
      </c>
      <c r="N701" s="3">
        <v>645</v>
      </c>
      <c r="O701" s="3">
        <v>2254</v>
      </c>
      <c r="P701" t="str">
        <f t="shared" si="20"/>
        <v>Fri</v>
      </c>
      <c r="Q701" t="str">
        <f t="shared" si="21"/>
        <v>Vey Active</v>
      </c>
    </row>
    <row r="702" spans="1:17">
      <c r="A702">
        <v>6962181067</v>
      </c>
      <c r="B702" s="1">
        <v>42478</v>
      </c>
      <c r="C702" s="3">
        <v>11404</v>
      </c>
      <c r="D702" s="2">
        <v>7.53999996185303</v>
      </c>
      <c r="E702" s="2">
        <v>7.53999996185303</v>
      </c>
      <c r="F702" s="2">
        <v>0</v>
      </c>
      <c r="G702" s="2">
        <v>0.82999998331069902</v>
      </c>
      <c r="H702" s="2">
        <v>2.3900001049041699</v>
      </c>
      <c r="I702" s="2">
        <v>4.3200001716613796</v>
      </c>
      <c r="J702" s="2">
        <v>0</v>
      </c>
      <c r="K702" s="3">
        <v>13</v>
      </c>
      <c r="L702" s="3">
        <v>42</v>
      </c>
      <c r="M702" s="3">
        <v>238</v>
      </c>
      <c r="N702" s="3">
        <v>689</v>
      </c>
      <c r="O702" s="3">
        <v>2039</v>
      </c>
      <c r="P702" t="str">
        <f t="shared" si="20"/>
        <v>Mon</v>
      </c>
      <c r="Q702" t="str">
        <f t="shared" si="21"/>
        <v>Vey Active</v>
      </c>
    </row>
    <row r="703" spans="1:17">
      <c r="A703">
        <v>6962181067</v>
      </c>
      <c r="B703" s="1">
        <v>42481</v>
      </c>
      <c r="C703" s="3">
        <v>11835</v>
      </c>
      <c r="D703" s="2">
        <v>9.7100000381469709</v>
      </c>
      <c r="E703" s="2">
        <v>7.8800001144409197</v>
      </c>
      <c r="F703" s="2">
        <v>4.0816922187805202</v>
      </c>
      <c r="G703" s="2">
        <v>3.9900000095367401</v>
      </c>
      <c r="H703" s="2">
        <v>2.0999999046325701</v>
      </c>
      <c r="I703" s="2">
        <v>3.5099999904632599</v>
      </c>
      <c r="J703" s="2">
        <v>0.109999999403954</v>
      </c>
      <c r="K703" s="3">
        <v>53</v>
      </c>
      <c r="L703" s="3">
        <v>27</v>
      </c>
      <c r="M703" s="3">
        <v>214</v>
      </c>
      <c r="N703" s="3">
        <v>708</v>
      </c>
      <c r="O703" s="3">
        <v>2179</v>
      </c>
      <c r="P703" t="str">
        <f t="shared" si="20"/>
        <v>Thu</v>
      </c>
      <c r="Q703" t="str">
        <f t="shared" si="21"/>
        <v>Vey Active</v>
      </c>
    </row>
    <row r="704" spans="1:17">
      <c r="A704">
        <v>6962181067</v>
      </c>
      <c r="B704" s="1">
        <v>42493</v>
      </c>
      <c r="C704" s="3">
        <v>12109</v>
      </c>
      <c r="D704" s="2">
        <v>8.1199998855590803</v>
      </c>
      <c r="E704" s="2">
        <v>8.1199998855590803</v>
      </c>
      <c r="F704" s="2">
        <v>0</v>
      </c>
      <c r="G704" s="2">
        <v>1.7400000095367401</v>
      </c>
      <c r="H704" s="2">
        <v>2.03999996185303</v>
      </c>
      <c r="I704" s="2">
        <v>4.3299999237060502</v>
      </c>
      <c r="J704" s="2">
        <v>0</v>
      </c>
      <c r="K704" s="3">
        <v>21</v>
      </c>
      <c r="L704" s="3">
        <v>36</v>
      </c>
      <c r="M704" s="3">
        <v>267</v>
      </c>
      <c r="N704" s="3">
        <v>654</v>
      </c>
      <c r="O704" s="3">
        <v>2072</v>
      </c>
      <c r="P704" t="str">
        <f t="shared" si="20"/>
        <v>Tue</v>
      </c>
      <c r="Q704" t="str">
        <f t="shared" si="21"/>
        <v>Vey Active</v>
      </c>
    </row>
    <row r="705" spans="1:17">
      <c r="A705">
        <v>6962181067</v>
      </c>
      <c r="B705" s="1">
        <v>42499</v>
      </c>
      <c r="C705" s="3">
        <v>12342</v>
      </c>
      <c r="D705" s="2">
        <v>8.7200002670288104</v>
      </c>
      <c r="E705" s="2">
        <v>8.6800003051757795</v>
      </c>
      <c r="F705" s="2">
        <v>3.1678218841552699</v>
      </c>
      <c r="G705" s="2">
        <v>3.9000000953674299</v>
      </c>
      <c r="H705" s="2">
        <v>1.1799999475479099</v>
      </c>
      <c r="I705" s="2">
        <v>3.6500000953674299</v>
      </c>
      <c r="J705" s="2">
        <v>0</v>
      </c>
      <c r="K705" s="3">
        <v>43</v>
      </c>
      <c r="L705" s="3">
        <v>21</v>
      </c>
      <c r="M705" s="3">
        <v>231</v>
      </c>
      <c r="N705" s="3">
        <v>607</v>
      </c>
      <c r="O705" s="3">
        <v>2105</v>
      </c>
      <c r="P705" t="str">
        <f t="shared" si="20"/>
        <v>Mon</v>
      </c>
      <c r="Q705" t="str">
        <f t="shared" si="21"/>
        <v>Vey Active</v>
      </c>
    </row>
    <row r="706" spans="1:17">
      <c r="A706">
        <v>6962181067</v>
      </c>
      <c r="B706" s="1">
        <v>42488</v>
      </c>
      <c r="C706" s="3">
        <v>12627</v>
      </c>
      <c r="D706" s="2">
        <v>8.3500003814697301</v>
      </c>
      <c r="E706" s="2">
        <v>8.3500003814697301</v>
      </c>
      <c r="F706" s="2">
        <v>0</v>
      </c>
      <c r="G706" s="2">
        <v>2.5099999904632599</v>
      </c>
      <c r="H706" s="2">
        <v>0.239999994635582</v>
      </c>
      <c r="I706" s="2">
        <v>5.5900001525878897</v>
      </c>
      <c r="J706" s="2">
        <v>0</v>
      </c>
      <c r="K706" s="3">
        <v>38</v>
      </c>
      <c r="L706" s="3">
        <v>8</v>
      </c>
      <c r="M706" s="3">
        <v>288</v>
      </c>
      <c r="N706" s="3">
        <v>621</v>
      </c>
      <c r="O706" s="3">
        <v>2182</v>
      </c>
      <c r="P706" t="str">
        <f t="shared" ref="P706:P769" si="22">TEXT(B706, "ddd")</f>
        <v>Thu</v>
      </c>
      <c r="Q706" t="str">
        <f t="shared" ref="Q706:Q769" si="23">IF(C706&lt;5000, "Sedentary", IF(C706&lt;7500, "Lightly Active",IF(C706&lt;10000, "Fairly Active", "Vey Active")))</f>
        <v>Vey Active</v>
      </c>
    </row>
    <row r="707" spans="1:17">
      <c r="A707">
        <v>6962181067</v>
      </c>
      <c r="B707" s="1">
        <v>42492</v>
      </c>
      <c r="C707" s="3">
        <v>12912</v>
      </c>
      <c r="D707" s="2">
        <v>8.5399999618530291</v>
      </c>
      <c r="E707" s="2">
        <v>8.5399999618530291</v>
      </c>
      <c r="F707" s="2">
        <v>0</v>
      </c>
      <c r="G707" s="2">
        <v>1.20000004768372</v>
      </c>
      <c r="H707" s="2">
        <v>2</v>
      </c>
      <c r="I707" s="2">
        <v>5.3400001525878897</v>
      </c>
      <c r="J707" s="2">
        <v>0</v>
      </c>
      <c r="K707" s="3">
        <v>18</v>
      </c>
      <c r="L707" s="3">
        <v>39</v>
      </c>
      <c r="M707" s="3">
        <v>313</v>
      </c>
      <c r="N707" s="3">
        <v>655</v>
      </c>
      <c r="O707" s="3">
        <v>2162</v>
      </c>
      <c r="P707" t="str">
        <f t="shared" si="22"/>
        <v>Mon</v>
      </c>
      <c r="Q707" t="str">
        <f t="shared" si="23"/>
        <v>Vey Active</v>
      </c>
    </row>
    <row r="708" spans="1:17">
      <c r="A708">
        <v>6962181067</v>
      </c>
      <c r="B708" s="1">
        <v>42476</v>
      </c>
      <c r="C708" s="3">
        <v>13217</v>
      </c>
      <c r="D708" s="2">
        <v>8.7399997711181605</v>
      </c>
      <c r="E708" s="2">
        <v>8.7399997711181605</v>
      </c>
      <c r="F708" s="2">
        <v>0</v>
      </c>
      <c r="G708" s="2">
        <v>3.6600000858306898</v>
      </c>
      <c r="H708" s="2">
        <v>0.18999999761581399</v>
      </c>
      <c r="I708" s="2">
        <v>4.8800001144409197</v>
      </c>
      <c r="J708" s="2">
        <v>0</v>
      </c>
      <c r="K708" s="3">
        <v>50</v>
      </c>
      <c r="L708" s="3">
        <v>3</v>
      </c>
      <c r="M708" s="3">
        <v>280</v>
      </c>
      <c r="N708" s="3">
        <v>741</v>
      </c>
      <c r="O708" s="3">
        <v>2173</v>
      </c>
      <c r="P708" t="str">
        <f t="shared" si="22"/>
        <v>Sat</v>
      </c>
      <c r="Q708" t="str">
        <f t="shared" si="23"/>
        <v>Vey Active</v>
      </c>
    </row>
    <row r="709" spans="1:17">
      <c r="A709">
        <v>6962181067</v>
      </c>
      <c r="B709" s="1">
        <v>42485</v>
      </c>
      <c r="C709" s="3">
        <v>13239</v>
      </c>
      <c r="D709" s="2">
        <v>9.2700004577636701</v>
      </c>
      <c r="E709" s="2">
        <v>9.0799999237060494</v>
      </c>
      <c r="F709" s="2">
        <v>2.7851750850677499</v>
      </c>
      <c r="G709" s="2">
        <v>3.0199999809265101</v>
      </c>
      <c r="H709" s="2">
        <v>1.6799999475479099</v>
      </c>
      <c r="I709" s="2">
        <v>4.46000003814697</v>
      </c>
      <c r="J709" s="2">
        <v>0.10000000149011599</v>
      </c>
      <c r="K709" s="3">
        <v>35</v>
      </c>
      <c r="L709" s="3">
        <v>31</v>
      </c>
      <c r="M709" s="3">
        <v>282</v>
      </c>
      <c r="N709" s="3">
        <v>637</v>
      </c>
      <c r="O709" s="3">
        <v>2194</v>
      </c>
      <c r="P709" t="str">
        <f t="shared" si="22"/>
        <v>Mon</v>
      </c>
      <c r="Q709" t="str">
        <f t="shared" si="23"/>
        <v>Vey Active</v>
      </c>
    </row>
    <row r="710" spans="1:17">
      <c r="A710">
        <v>6962181067</v>
      </c>
      <c r="B710" s="1">
        <v>42480</v>
      </c>
      <c r="C710" s="3">
        <v>13928</v>
      </c>
      <c r="D710" s="2">
        <v>9.5500001907348597</v>
      </c>
      <c r="E710" s="2">
        <v>9.5500001907348597</v>
      </c>
      <c r="F710" s="2">
        <v>0</v>
      </c>
      <c r="G710" s="2">
        <v>4.2800002098083496</v>
      </c>
      <c r="H710" s="2">
        <v>0.18999999761581399</v>
      </c>
      <c r="I710" s="2">
        <v>5.0900001525878897</v>
      </c>
      <c r="J710" s="2">
        <v>0</v>
      </c>
      <c r="K710" s="3">
        <v>48</v>
      </c>
      <c r="L710" s="3">
        <v>4</v>
      </c>
      <c r="M710" s="3">
        <v>297</v>
      </c>
      <c r="N710" s="3">
        <v>639</v>
      </c>
      <c r="O710" s="3">
        <v>2174</v>
      </c>
      <c r="P710" t="str">
        <f t="shared" si="22"/>
        <v>Wed</v>
      </c>
      <c r="Q710" t="str">
        <f t="shared" si="23"/>
        <v>Vey Active</v>
      </c>
    </row>
    <row r="711" spans="1:17">
      <c r="A711">
        <v>6962181067</v>
      </c>
      <c r="B711" s="1">
        <v>42500</v>
      </c>
      <c r="C711" s="3">
        <v>15448</v>
      </c>
      <c r="D711" s="2">
        <v>10.210000038146999</v>
      </c>
      <c r="E711" s="2">
        <v>10.210000038146999</v>
      </c>
      <c r="F711" s="2">
        <v>0</v>
      </c>
      <c r="G711" s="2">
        <v>3.4700000286102299</v>
      </c>
      <c r="H711" s="2">
        <v>1.75</v>
      </c>
      <c r="I711" s="2">
        <v>4.9899997711181596</v>
      </c>
      <c r="J711" s="2">
        <v>0</v>
      </c>
      <c r="K711" s="3">
        <v>62</v>
      </c>
      <c r="L711" s="3">
        <v>34</v>
      </c>
      <c r="M711" s="3">
        <v>275</v>
      </c>
      <c r="N711" s="3">
        <v>626</v>
      </c>
      <c r="O711" s="3">
        <v>2361</v>
      </c>
      <c r="P711" t="str">
        <f t="shared" si="22"/>
        <v>Tue</v>
      </c>
      <c r="Q711" t="str">
        <f t="shared" si="23"/>
        <v>Vey Active</v>
      </c>
    </row>
    <row r="712" spans="1:17">
      <c r="A712">
        <v>6962181067</v>
      </c>
      <c r="B712" s="1">
        <v>42483</v>
      </c>
      <c r="C712" s="3">
        <v>20031</v>
      </c>
      <c r="D712" s="2">
        <v>13.2399997711182</v>
      </c>
      <c r="E712" s="2">
        <v>13.2399997711182</v>
      </c>
      <c r="F712" s="2">
        <v>0</v>
      </c>
      <c r="G712" s="2">
        <v>4.1999998092651403</v>
      </c>
      <c r="H712" s="2">
        <v>2</v>
      </c>
      <c r="I712" s="2">
        <v>7.03999996185303</v>
      </c>
      <c r="J712" s="2">
        <v>0</v>
      </c>
      <c r="K712" s="3">
        <v>58</v>
      </c>
      <c r="L712" s="3">
        <v>41</v>
      </c>
      <c r="M712" s="3">
        <v>347</v>
      </c>
      <c r="N712" s="3">
        <v>484</v>
      </c>
      <c r="O712" s="3">
        <v>2571</v>
      </c>
      <c r="P712" t="str">
        <f t="shared" si="22"/>
        <v>Sat</v>
      </c>
      <c r="Q712" t="str">
        <f t="shared" si="23"/>
        <v>Vey Active</v>
      </c>
    </row>
    <row r="713" spans="1:17">
      <c r="A713">
        <v>7007744171</v>
      </c>
      <c r="B713" s="1">
        <v>42494</v>
      </c>
      <c r="C713" s="3">
        <v>0</v>
      </c>
      <c r="D713" s="2">
        <v>0</v>
      </c>
      <c r="E713" s="2">
        <v>0</v>
      </c>
      <c r="F713" s="2">
        <v>0</v>
      </c>
      <c r="G713" s="2">
        <v>0</v>
      </c>
      <c r="H713" s="2">
        <v>0</v>
      </c>
      <c r="I713" s="2">
        <v>0</v>
      </c>
      <c r="J713" s="2">
        <v>0</v>
      </c>
      <c r="K713" s="3">
        <v>0</v>
      </c>
      <c r="L713" s="3">
        <v>0</v>
      </c>
      <c r="M713" s="3">
        <v>0</v>
      </c>
      <c r="N713" s="3">
        <v>1440</v>
      </c>
      <c r="O713" s="3">
        <v>1557</v>
      </c>
      <c r="P713" t="str">
        <f t="shared" si="22"/>
        <v>Wed</v>
      </c>
      <c r="Q713" t="str">
        <f t="shared" si="23"/>
        <v>Sedentary</v>
      </c>
    </row>
    <row r="714" spans="1:17">
      <c r="A714">
        <v>7007744171</v>
      </c>
      <c r="B714" s="1">
        <v>42497</v>
      </c>
      <c r="C714" s="3">
        <v>0</v>
      </c>
      <c r="D714" s="2">
        <v>0</v>
      </c>
      <c r="E714" s="2">
        <v>0</v>
      </c>
      <c r="F714" s="2">
        <v>0</v>
      </c>
      <c r="G714" s="2">
        <v>0</v>
      </c>
      <c r="H714" s="2">
        <v>0</v>
      </c>
      <c r="I714" s="2">
        <v>0</v>
      </c>
      <c r="J714" s="2">
        <v>0</v>
      </c>
      <c r="K714" s="3">
        <v>0</v>
      </c>
      <c r="L714" s="3">
        <v>0</v>
      </c>
      <c r="M714" s="3">
        <v>0</v>
      </c>
      <c r="N714" s="3">
        <v>111</v>
      </c>
      <c r="O714" s="3">
        <v>120</v>
      </c>
      <c r="P714" t="str">
        <f t="shared" si="22"/>
        <v>Sat</v>
      </c>
      <c r="Q714" t="str">
        <f t="shared" si="23"/>
        <v>Sedentary</v>
      </c>
    </row>
    <row r="715" spans="1:17">
      <c r="A715">
        <v>7007744171</v>
      </c>
      <c r="B715" s="1">
        <v>42490</v>
      </c>
      <c r="C715" s="3">
        <v>3761</v>
      </c>
      <c r="D715" s="2">
        <v>2.5199999809265101</v>
      </c>
      <c r="E715" s="2">
        <v>2.5199999809265101</v>
      </c>
      <c r="F715" s="2">
        <v>0</v>
      </c>
      <c r="G715" s="2">
        <v>0</v>
      </c>
      <c r="H715" s="2">
        <v>0</v>
      </c>
      <c r="I715" s="2">
        <v>2.5199999809265101</v>
      </c>
      <c r="J715" s="2">
        <v>0</v>
      </c>
      <c r="K715" s="3">
        <v>0</v>
      </c>
      <c r="L715" s="3">
        <v>0</v>
      </c>
      <c r="M715" s="3">
        <v>200</v>
      </c>
      <c r="N715" s="3">
        <v>1240</v>
      </c>
      <c r="O715" s="3">
        <v>2051</v>
      </c>
      <c r="P715" t="str">
        <f t="shared" si="22"/>
        <v>Sat</v>
      </c>
      <c r="Q715" t="str">
        <f t="shared" si="23"/>
        <v>Sedentary</v>
      </c>
    </row>
    <row r="716" spans="1:17">
      <c r="A716">
        <v>7007744171</v>
      </c>
      <c r="B716" s="1">
        <v>42476</v>
      </c>
      <c r="C716" s="3">
        <v>4631</v>
      </c>
      <c r="D716" s="2">
        <v>3.0999999046325701</v>
      </c>
      <c r="E716" s="2">
        <v>3.0999999046325701</v>
      </c>
      <c r="F716" s="2">
        <v>0</v>
      </c>
      <c r="G716" s="2">
        <v>0</v>
      </c>
      <c r="H716" s="2">
        <v>0</v>
      </c>
      <c r="I716" s="2">
        <v>3.0999999046325701</v>
      </c>
      <c r="J716" s="2">
        <v>0</v>
      </c>
      <c r="K716" s="3">
        <v>0</v>
      </c>
      <c r="L716" s="3">
        <v>0</v>
      </c>
      <c r="M716" s="3">
        <v>203</v>
      </c>
      <c r="N716" s="3">
        <v>1155</v>
      </c>
      <c r="O716" s="3">
        <v>2076</v>
      </c>
      <c r="P716" t="str">
        <f t="shared" si="22"/>
        <v>Sat</v>
      </c>
      <c r="Q716" t="str">
        <f t="shared" si="23"/>
        <v>Sedentary</v>
      </c>
    </row>
    <row r="717" spans="1:17">
      <c r="A717">
        <v>7007744171</v>
      </c>
      <c r="B717" s="1">
        <v>42475</v>
      </c>
      <c r="C717" s="3">
        <v>5273</v>
      </c>
      <c r="D717" s="2">
        <v>3.5299999713897701</v>
      </c>
      <c r="E717" s="2">
        <v>3.5299999713897701</v>
      </c>
      <c r="F717" s="2">
        <v>0</v>
      </c>
      <c r="G717" s="2">
        <v>0</v>
      </c>
      <c r="H717" s="2">
        <v>0</v>
      </c>
      <c r="I717" s="2">
        <v>3.5299999713897701</v>
      </c>
      <c r="J717" s="2">
        <v>0</v>
      </c>
      <c r="K717" s="3">
        <v>0</v>
      </c>
      <c r="L717" s="3">
        <v>0</v>
      </c>
      <c r="M717" s="3">
        <v>202</v>
      </c>
      <c r="N717" s="3">
        <v>1238</v>
      </c>
      <c r="O717" s="3">
        <v>2098</v>
      </c>
      <c r="P717" t="str">
        <f t="shared" si="22"/>
        <v>Fri</v>
      </c>
      <c r="Q717" t="str">
        <f t="shared" si="23"/>
        <v>Lightly Active</v>
      </c>
    </row>
    <row r="718" spans="1:17">
      <c r="A718">
        <v>7007744171</v>
      </c>
      <c r="B718" s="1">
        <v>42491</v>
      </c>
      <c r="C718" s="3">
        <v>5600</v>
      </c>
      <c r="D718" s="2">
        <v>3.75</v>
      </c>
      <c r="E718" s="2">
        <v>3.75</v>
      </c>
      <c r="F718" s="2">
        <v>0</v>
      </c>
      <c r="G718" s="2">
        <v>0</v>
      </c>
      <c r="H718" s="2">
        <v>0</v>
      </c>
      <c r="I718" s="2">
        <v>3.75</v>
      </c>
      <c r="J718" s="2">
        <v>0</v>
      </c>
      <c r="K718" s="3">
        <v>0</v>
      </c>
      <c r="L718" s="3">
        <v>0</v>
      </c>
      <c r="M718" s="3">
        <v>237</v>
      </c>
      <c r="N718" s="3">
        <v>1142</v>
      </c>
      <c r="O718" s="3">
        <v>2225</v>
      </c>
      <c r="P718" t="str">
        <f t="shared" si="22"/>
        <v>Sun</v>
      </c>
      <c r="Q718" t="str">
        <f t="shared" si="23"/>
        <v>Lightly Active</v>
      </c>
    </row>
    <row r="719" spans="1:17">
      <c r="A719">
        <v>7007744171</v>
      </c>
      <c r="B719" s="1">
        <v>42477</v>
      </c>
      <c r="C719" s="3">
        <v>8059</v>
      </c>
      <c r="D719" s="2">
        <v>5.3899998664856001</v>
      </c>
      <c r="E719" s="2">
        <v>5.3899998664856001</v>
      </c>
      <c r="F719" s="2">
        <v>0</v>
      </c>
      <c r="G719" s="2">
        <v>0</v>
      </c>
      <c r="H719" s="2">
        <v>0</v>
      </c>
      <c r="I719" s="2">
        <v>5.3899998664856001</v>
      </c>
      <c r="J719" s="2">
        <v>0</v>
      </c>
      <c r="K719" s="3">
        <v>0</v>
      </c>
      <c r="L719" s="3">
        <v>0</v>
      </c>
      <c r="M719" s="3">
        <v>305</v>
      </c>
      <c r="N719" s="3">
        <v>1135</v>
      </c>
      <c r="O719" s="3">
        <v>2383</v>
      </c>
      <c r="P719" t="str">
        <f t="shared" si="22"/>
        <v>Sun</v>
      </c>
      <c r="Q719" t="str">
        <f t="shared" si="23"/>
        <v>Fairly Active</v>
      </c>
    </row>
    <row r="720" spans="1:17">
      <c r="A720">
        <v>7007744171</v>
      </c>
      <c r="B720" s="1">
        <v>42483</v>
      </c>
      <c r="C720" s="3">
        <v>8093</v>
      </c>
      <c r="D720" s="2">
        <v>5.4099998474121103</v>
      </c>
      <c r="E720" s="2">
        <v>5.4099998474121103</v>
      </c>
      <c r="F720" s="2">
        <v>0</v>
      </c>
      <c r="G720" s="2">
        <v>0.129999995231628</v>
      </c>
      <c r="H720" s="2">
        <v>1.12999999523163</v>
      </c>
      <c r="I720" s="2">
        <v>4.1500000953674299</v>
      </c>
      <c r="J720" s="2">
        <v>0</v>
      </c>
      <c r="K720" s="3">
        <v>2</v>
      </c>
      <c r="L720" s="3">
        <v>25</v>
      </c>
      <c r="M720" s="3">
        <v>223</v>
      </c>
      <c r="N720" s="3">
        <v>1190</v>
      </c>
      <c r="O720" s="3">
        <v>2284</v>
      </c>
      <c r="P720" t="str">
        <f t="shared" si="22"/>
        <v>Sat</v>
      </c>
      <c r="Q720" t="str">
        <f t="shared" si="23"/>
        <v>Fairly Active</v>
      </c>
    </row>
    <row r="721" spans="1:17">
      <c r="A721">
        <v>7007744171</v>
      </c>
      <c r="B721" s="1">
        <v>42484</v>
      </c>
      <c r="C721" s="3">
        <v>11085</v>
      </c>
      <c r="D721" s="2">
        <v>7.4200000762939498</v>
      </c>
      <c r="E721" s="2">
        <v>7.4200000762939498</v>
      </c>
      <c r="F721" s="2">
        <v>0</v>
      </c>
      <c r="G721" s="2">
        <v>0</v>
      </c>
      <c r="H721" s="2">
        <v>0</v>
      </c>
      <c r="I721" s="2">
        <v>7.4200000762939498</v>
      </c>
      <c r="J721" s="2">
        <v>0</v>
      </c>
      <c r="K721" s="3">
        <v>0</v>
      </c>
      <c r="L721" s="3">
        <v>0</v>
      </c>
      <c r="M721" s="3">
        <v>419</v>
      </c>
      <c r="N721" s="3">
        <v>1021</v>
      </c>
      <c r="O721" s="3">
        <v>2667</v>
      </c>
      <c r="P721" t="str">
        <f t="shared" si="22"/>
        <v>Sun</v>
      </c>
      <c r="Q721" t="str">
        <f t="shared" si="23"/>
        <v>Vey Active</v>
      </c>
    </row>
    <row r="722" spans="1:17">
      <c r="A722">
        <v>7007744171</v>
      </c>
      <c r="B722" s="1">
        <v>42474</v>
      </c>
      <c r="C722" s="3">
        <v>11179</v>
      </c>
      <c r="D722" s="2">
        <v>8.2399997711181605</v>
      </c>
      <c r="E722" s="2">
        <v>7.4800000190734899</v>
      </c>
      <c r="F722" s="2">
        <v>3.2854149341583301</v>
      </c>
      <c r="G722" s="2">
        <v>2.9500000476837198</v>
      </c>
      <c r="H722" s="2">
        <v>0.34000000357627902</v>
      </c>
      <c r="I722" s="2">
        <v>4.96000003814697</v>
      </c>
      <c r="J722" s="2">
        <v>0</v>
      </c>
      <c r="K722" s="3">
        <v>34</v>
      </c>
      <c r="L722" s="3">
        <v>6</v>
      </c>
      <c r="M722" s="3">
        <v>304</v>
      </c>
      <c r="N722" s="3">
        <v>1096</v>
      </c>
      <c r="O722" s="3">
        <v>2668</v>
      </c>
      <c r="P722" t="str">
        <f t="shared" si="22"/>
        <v>Thu</v>
      </c>
      <c r="Q722" t="str">
        <f t="shared" si="23"/>
        <v>Vey Active</v>
      </c>
    </row>
    <row r="723" spans="1:17">
      <c r="A723">
        <v>7007744171</v>
      </c>
      <c r="B723" s="1">
        <v>42496</v>
      </c>
      <c r="C723" s="3">
        <v>11459</v>
      </c>
      <c r="D723" s="2">
        <v>7.6700000762939498</v>
      </c>
      <c r="E723" s="2">
        <v>7.6700000762939498</v>
      </c>
      <c r="F723" s="2">
        <v>0</v>
      </c>
      <c r="G723" s="2">
        <v>3</v>
      </c>
      <c r="H723" s="2">
        <v>0.81000000238418601</v>
      </c>
      <c r="I723" s="2">
        <v>3.8599998950958301</v>
      </c>
      <c r="J723" s="2">
        <v>0</v>
      </c>
      <c r="K723" s="3">
        <v>44</v>
      </c>
      <c r="L723" s="3">
        <v>13</v>
      </c>
      <c r="M723" s="3">
        <v>247</v>
      </c>
      <c r="N723" s="3">
        <v>1136</v>
      </c>
      <c r="O723" s="3">
        <v>2553</v>
      </c>
      <c r="P723" t="str">
        <f t="shared" si="22"/>
        <v>Fri</v>
      </c>
      <c r="Q723" t="str">
        <f t="shared" si="23"/>
        <v>Vey Active</v>
      </c>
    </row>
    <row r="724" spans="1:17">
      <c r="A724">
        <v>7007744171</v>
      </c>
      <c r="B724" s="1">
        <v>42473</v>
      </c>
      <c r="C724" s="3">
        <v>12862</v>
      </c>
      <c r="D724" s="2">
        <v>9.6499996185302699</v>
      </c>
      <c r="E724" s="2">
        <v>8.6000003814697301</v>
      </c>
      <c r="F724" s="2">
        <v>4.8513069152831996</v>
      </c>
      <c r="G724" s="2">
        <v>4.6100001335143999</v>
      </c>
      <c r="H724" s="2">
        <v>0.56000000238418601</v>
      </c>
      <c r="I724" s="2">
        <v>4.4800000190734899</v>
      </c>
      <c r="J724" s="2">
        <v>0</v>
      </c>
      <c r="K724" s="3">
        <v>56</v>
      </c>
      <c r="L724" s="3">
        <v>22</v>
      </c>
      <c r="M724" s="3">
        <v>261</v>
      </c>
      <c r="N724" s="3">
        <v>1101</v>
      </c>
      <c r="O724" s="3">
        <v>2742</v>
      </c>
      <c r="P724" t="str">
        <f t="shared" si="22"/>
        <v>Wed</v>
      </c>
      <c r="Q724" t="str">
        <f t="shared" si="23"/>
        <v>Vey Active</v>
      </c>
    </row>
    <row r="725" spans="1:17">
      <c r="A725">
        <v>7007744171</v>
      </c>
      <c r="B725" s="1">
        <v>42492</v>
      </c>
      <c r="C725" s="3">
        <v>13041</v>
      </c>
      <c r="D725" s="2">
        <v>9.1800003051757795</v>
      </c>
      <c r="E725" s="2">
        <v>8.7200002670288104</v>
      </c>
      <c r="F725" s="2">
        <v>2.83232593536377</v>
      </c>
      <c r="G725" s="2">
        <v>4.6399998664856001</v>
      </c>
      <c r="H725" s="2">
        <v>0.69999998807907104</v>
      </c>
      <c r="I725" s="2">
        <v>3.8299999237060498</v>
      </c>
      <c r="J725" s="2">
        <v>0</v>
      </c>
      <c r="K725" s="3">
        <v>64</v>
      </c>
      <c r="L725" s="3">
        <v>14</v>
      </c>
      <c r="M725" s="3">
        <v>250</v>
      </c>
      <c r="N725" s="3">
        <v>1112</v>
      </c>
      <c r="O725" s="3">
        <v>2642</v>
      </c>
      <c r="P725" t="str">
        <f t="shared" si="22"/>
        <v>Mon</v>
      </c>
      <c r="Q725" t="str">
        <f t="shared" si="23"/>
        <v>Vey Active</v>
      </c>
    </row>
    <row r="726" spans="1:17">
      <c r="A726">
        <v>7007744171</v>
      </c>
      <c r="B726" s="1">
        <v>42487</v>
      </c>
      <c r="C726" s="3">
        <v>13541</v>
      </c>
      <c r="D726" s="2">
        <v>10.2200002670288</v>
      </c>
      <c r="E726" s="2">
        <v>9.0600004196166992</v>
      </c>
      <c r="F726" s="2">
        <v>4.8856048583984402</v>
      </c>
      <c r="G726" s="2">
        <v>4.2699999809265101</v>
      </c>
      <c r="H726" s="2">
        <v>0.66000002622604403</v>
      </c>
      <c r="I726" s="2">
        <v>5.28999996185303</v>
      </c>
      <c r="J726" s="2">
        <v>0</v>
      </c>
      <c r="K726" s="3">
        <v>50</v>
      </c>
      <c r="L726" s="3">
        <v>12</v>
      </c>
      <c r="M726" s="3">
        <v>337</v>
      </c>
      <c r="N726" s="3">
        <v>1041</v>
      </c>
      <c r="O726" s="3">
        <v>2830</v>
      </c>
      <c r="P726" t="str">
        <f t="shared" si="22"/>
        <v>Wed</v>
      </c>
      <c r="Q726" t="str">
        <f t="shared" si="23"/>
        <v>Vey Active</v>
      </c>
    </row>
    <row r="727" spans="1:17">
      <c r="A727">
        <v>7007744171</v>
      </c>
      <c r="B727" s="1">
        <v>42481</v>
      </c>
      <c r="C727" s="3">
        <v>13744</v>
      </c>
      <c r="D727" s="2">
        <v>9.1899995803833008</v>
      </c>
      <c r="E727" s="2">
        <v>9.1899995803833008</v>
      </c>
      <c r="F727" s="2">
        <v>0</v>
      </c>
      <c r="G727" s="2">
        <v>2.1500000953674299</v>
      </c>
      <c r="H727" s="2">
        <v>1.87000000476837</v>
      </c>
      <c r="I727" s="2">
        <v>5.1700000762939498</v>
      </c>
      <c r="J727" s="2">
        <v>0</v>
      </c>
      <c r="K727" s="3">
        <v>30</v>
      </c>
      <c r="L727" s="3">
        <v>34</v>
      </c>
      <c r="M727" s="3">
        <v>327</v>
      </c>
      <c r="N727" s="3">
        <v>1049</v>
      </c>
      <c r="O727" s="3">
        <v>2763</v>
      </c>
      <c r="P727" t="str">
        <f t="shared" si="22"/>
        <v>Thu</v>
      </c>
      <c r="Q727" t="str">
        <f t="shared" si="23"/>
        <v>Vey Active</v>
      </c>
    </row>
    <row r="728" spans="1:17">
      <c r="A728">
        <v>7007744171</v>
      </c>
      <c r="B728" s="1">
        <v>42472</v>
      </c>
      <c r="C728" s="3">
        <v>14172</v>
      </c>
      <c r="D728" s="2">
        <v>10.289999961853001</v>
      </c>
      <c r="E728" s="2">
        <v>9.4799995422363299</v>
      </c>
      <c r="F728" s="2">
        <v>4.8697829246520996</v>
      </c>
      <c r="G728" s="2">
        <v>4.5</v>
      </c>
      <c r="H728" s="2">
        <v>0.37999999523162797</v>
      </c>
      <c r="I728" s="2">
        <v>5.4099998474121103</v>
      </c>
      <c r="J728" s="2">
        <v>0</v>
      </c>
      <c r="K728" s="3">
        <v>53</v>
      </c>
      <c r="L728" s="3">
        <v>8</v>
      </c>
      <c r="M728" s="3">
        <v>355</v>
      </c>
      <c r="N728" s="3">
        <v>1024</v>
      </c>
      <c r="O728" s="3">
        <v>2937</v>
      </c>
      <c r="P728" t="str">
        <f t="shared" si="22"/>
        <v>Tue</v>
      </c>
      <c r="Q728" t="str">
        <f t="shared" si="23"/>
        <v>Vey Active</v>
      </c>
    </row>
    <row r="729" spans="1:17">
      <c r="A729">
        <v>7007744171</v>
      </c>
      <c r="B729" s="1">
        <v>42479</v>
      </c>
      <c r="C729" s="3">
        <v>14194</v>
      </c>
      <c r="D729" s="2">
        <v>10.4799995422363</v>
      </c>
      <c r="E729" s="2">
        <v>9.5</v>
      </c>
      <c r="F729" s="2">
        <v>4.9421420097351101</v>
      </c>
      <c r="G729" s="2">
        <v>4.4099998474121103</v>
      </c>
      <c r="H729" s="2">
        <v>0.75999999046325695</v>
      </c>
      <c r="I729" s="2">
        <v>5.3099999427795401</v>
      </c>
      <c r="J729" s="2">
        <v>0</v>
      </c>
      <c r="K729" s="3">
        <v>53</v>
      </c>
      <c r="L729" s="3">
        <v>17</v>
      </c>
      <c r="M729" s="3">
        <v>304</v>
      </c>
      <c r="N729" s="3">
        <v>1066</v>
      </c>
      <c r="O729" s="3">
        <v>2812</v>
      </c>
      <c r="P729" t="str">
        <f t="shared" si="22"/>
        <v>Tue</v>
      </c>
      <c r="Q729" t="str">
        <f t="shared" si="23"/>
        <v>Vey Active</v>
      </c>
    </row>
    <row r="730" spans="1:17">
      <c r="A730">
        <v>7007744171</v>
      </c>
      <c r="B730" s="1">
        <v>42493</v>
      </c>
      <c r="C730" s="3">
        <v>14510</v>
      </c>
      <c r="D730" s="2">
        <v>10.8699998855591</v>
      </c>
      <c r="E730" s="2">
        <v>9.7100000381469709</v>
      </c>
      <c r="F730" s="2">
        <v>4.9123678207397496</v>
      </c>
      <c r="G730" s="2">
        <v>4.4800000190734899</v>
      </c>
      <c r="H730" s="2">
        <v>1.0199999809265099</v>
      </c>
      <c r="I730" s="2">
        <v>5.3600001335143999</v>
      </c>
      <c r="J730" s="2">
        <v>0</v>
      </c>
      <c r="K730" s="3">
        <v>58</v>
      </c>
      <c r="L730" s="3">
        <v>31</v>
      </c>
      <c r="M730" s="3">
        <v>330</v>
      </c>
      <c r="N730" s="3">
        <v>1021</v>
      </c>
      <c r="O730" s="3">
        <v>2976</v>
      </c>
      <c r="P730" t="str">
        <f t="shared" si="22"/>
        <v>Tue</v>
      </c>
      <c r="Q730" t="str">
        <f t="shared" si="23"/>
        <v>Vey Active</v>
      </c>
    </row>
    <row r="731" spans="1:17">
      <c r="A731">
        <v>7007744171</v>
      </c>
      <c r="B731" s="1">
        <v>42478</v>
      </c>
      <c r="C731" s="3">
        <v>14816</v>
      </c>
      <c r="D731" s="2">
        <v>10.9799995422363</v>
      </c>
      <c r="E731" s="2">
        <v>9.9099998474121094</v>
      </c>
      <c r="F731" s="2">
        <v>4.9305500984191903</v>
      </c>
      <c r="G731" s="2">
        <v>3.78999996185303</v>
      </c>
      <c r="H731" s="2">
        <v>2.1199998855590798</v>
      </c>
      <c r="I731" s="2">
        <v>5.0500001907348597</v>
      </c>
      <c r="J731" s="2">
        <v>1.9999999552965199E-2</v>
      </c>
      <c r="K731" s="3">
        <v>48</v>
      </c>
      <c r="L731" s="3">
        <v>31</v>
      </c>
      <c r="M731" s="3">
        <v>284</v>
      </c>
      <c r="N731" s="3">
        <v>1077</v>
      </c>
      <c r="O731" s="3">
        <v>2832</v>
      </c>
      <c r="P731" t="str">
        <f t="shared" si="22"/>
        <v>Mon</v>
      </c>
      <c r="Q731" t="str">
        <f t="shared" si="23"/>
        <v>Vey Active</v>
      </c>
    </row>
    <row r="732" spans="1:17">
      <c r="A732">
        <v>7007744171</v>
      </c>
      <c r="B732" s="1">
        <v>42495</v>
      </c>
      <c r="C732" s="3">
        <v>15010</v>
      </c>
      <c r="D732" s="2">
        <v>11.1000003814697</v>
      </c>
      <c r="E732" s="2">
        <v>10.039999961853001</v>
      </c>
      <c r="F732" s="2">
        <v>4.8782320022582999</v>
      </c>
      <c r="G732" s="2">
        <v>4.3299999237060502</v>
      </c>
      <c r="H732" s="2">
        <v>1.28999996185303</v>
      </c>
      <c r="I732" s="2">
        <v>5.4800000190734899</v>
      </c>
      <c r="J732" s="2">
        <v>0</v>
      </c>
      <c r="K732" s="3">
        <v>53</v>
      </c>
      <c r="L732" s="3">
        <v>23</v>
      </c>
      <c r="M732" s="3">
        <v>317</v>
      </c>
      <c r="N732" s="3">
        <v>1047</v>
      </c>
      <c r="O732" s="3">
        <v>2933</v>
      </c>
      <c r="P732" t="str">
        <f t="shared" si="22"/>
        <v>Thu</v>
      </c>
      <c r="Q732" t="str">
        <f t="shared" si="23"/>
        <v>Vey Active</v>
      </c>
    </row>
    <row r="733" spans="1:17">
      <c r="A733">
        <v>7007744171</v>
      </c>
      <c r="B733" s="1">
        <v>42486</v>
      </c>
      <c r="C733" s="3">
        <v>15090</v>
      </c>
      <c r="D733" s="2">
        <v>10.1000003814697</v>
      </c>
      <c r="E733" s="2">
        <v>10.1000003814697</v>
      </c>
      <c r="F733" s="2">
        <v>0</v>
      </c>
      <c r="G733" s="2">
        <v>0.93000000715255704</v>
      </c>
      <c r="H733" s="2">
        <v>0.93999999761581399</v>
      </c>
      <c r="I733" s="2">
        <v>8.2299995422363299</v>
      </c>
      <c r="J733" s="2">
        <v>0</v>
      </c>
      <c r="K733" s="3">
        <v>16</v>
      </c>
      <c r="L733" s="3">
        <v>22</v>
      </c>
      <c r="M733" s="3">
        <v>424</v>
      </c>
      <c r="N733" s="3">
        <v>978</v>
      </c>
      <c r="O733" s="3">
        <v>2939</v>
      </c>
      <c r="P733" t="str">
        <f t="shared" si="22"/>
        <v>Tue</v>
      </c>
      <c r="Q733" t="str">
        <f t="shared" si="23"/>
        <v>Vey Active</v>
      </c>
    </row>
    <row r="734" spans="1:17">
      <c r="A734">
        <v>7007744171</v>
      </c>
      <c r="B734" s="1">
        <v>42488</v>
      </c>
      <c r="C734" s="3">
        <v>15128</v>
      </c>
      <c r="D734" s="2">
        <v>10.1199998855591</v>
      </c>
      <c r="E734" s="2">
        <v>10.1199998855591</v>
      </c>
      <c r="F734" s="2">
        <v>0</v>
      </c>
      <c r="G734" s="2">
        <v>1.0900000333786</v>
      </c>
      <c r="H734" s="2">
        <v>0.769999980926514</v>
      </c>
      <c r="I734" s="2">
        <v>8.2600002288818395</v>
      </c>
      <c r="J734" s="2">
        <v>0</v>
      </c>
      <c r="K734" s="3">
        <v>16</v>
      </c>
      <c r="L734" s="3">
        <v>16</v>
      </c>
      <c r="M734" s="3">
        <v>401</v>
      </c>
      <c r="N734" s="3">
        <v>1007</v>
      </c>
      <c r="O734" s="3">
        <v>2836</v>
      </c>
      <c r="P734" t="str">
        <f t="shared" si="22"/>
        <v>Thu</v>
      </c>
      <c r="Q734" t="str">
        <f t="shared" si="23"/>
        <v>Vey Active</v>
      </c>
    </row>
    <row r="735" spans="1:17">
      <c r="A735">
        <v>7007744171</v>
      </c>
      <c r="B735" s="1">
        <v>42482</v>
      </c>
      <c r="C735" s="3">
        <v>15299</v>
      </c>
      <c r="D735" s="2">
        <v>10.2399997711182</v>
      </c>
      <c r="E735" s="2">
        <v>10.2399997711182</v>
      </c>
      <c r="F735" s="2">
        <v>0</v>
      </c>
      <c r="G735" s="2">
        <v>4.0999999046325701</v>
      </c>
      <c r="H735" s="2">
        <v>1.7599999904632599</v>
      </c>
      <c r="I735" s="2">
        <v>4.3699998855590803</v>
      </c>
      <c r="J735" s="2">
        <v>0</v>
      </c>
      <c r="K735" s="3">
        <v>64</v>
      </c>
      <c r="L735" s="3">
        <v>50</v>
      </c>
      <c r="M735" s="3">
        <v>261</v>
      </c>
      <c r="N735" s="3">
        <v>1065</v>
      </c>
      <c r="O735" s="3">
        <v>2889</v>
      </c>
      <c r="P735" t="str">
        <f t="shared" si="22"/>
        <v>Fri</v>
      </c>
      <c r="Q735" t="str">
        <f t="shared" si="23"/>
        <v>Vey Active</v>
      </c>
    </row>
    <row r="736" spans="1:17">
      <c r="A736">
        <v>7007744171</v>
      </c>
      <c r="B736" s="1">
        <v>42480</v>
      </c>
      <c r="C736" s="3">
        <v>15566</v>
      </c>
      <c r="D736" s="2">
        <v>11.310000419616699</v>
      </c>
      <c r="E736" s="2">
        <v>10.4099998474121</v>
      </c>
      <c r="F736" s="2">
        <v>4.9248409271240199</v>
      </c>
      <c r="G736" s="2">
        <v>4.78999996185303</v>
      </c>
      <c r="H736" s="2">
        <v>0.67000001668930098</v>
      </c>
      <c r="I736" s="2">
        <v>5.8600001335143999</v>
      </c>
      <c r="J736" s="2">
        <v>0</v>
      </c>
      <c r="K736" s="3">
        <v>60</v>
      </c>
      <c r="L736" s="3">
        <v>33</v>
      </c>
      <c r="M736" s="3">
        <v>347</v>
      </c>
      <c r="N736" s="3">
        <v>1000</v>
      </c>
      <c r="O736" s="3">
        <v>3096</v>
      </c>
      <c r="P736" t="str">
        <f t="shared" si="22"/>
        <v>Wed</v>
      </c>
      <c r="Q736" t="str">
        <f t="shared" si="23"/>
        <v>Vey Active</v>
      </c>
    </row>
    <row r="737" spans="1:17">
      <c r="A737">
        <v>7007744171</v>
      </c>
      <c r="B737" s="1">
        <v>42485</v>
      </c>
      <c r="C737" s="3">
        <v>18229</v>
      </c>
      <c r="D737" s="2">
        <v>13.3400001525879</v>
      </c>
      <c r="E737" s="2">
        <v>12.199999809265099</v>
      </c>
      <c r="F737" s="2">
        <v>4.8617920875549299</v>
      </c>
      <c r="G737" s="2">
        <v>4.3099999427795401</v>
      </c>
      <c r="H737" s="2">
        <v>1.37000000476837</v>
      </c>
      <c r="I737" s="2">
        <v>7.6700000762939498</v>
      </c>
      <c r="J737" s="2">
        <v>0</v>
      </c>
      <c r="K737" s="3">
        <v>51</v>
      </c>
      <c r="L737" s="3">
        <v>24</v>
      </c>
      <c r="M737" s="3">
        <v>379</v>
      </c>
      <c r="N737" s="3">
        <v>986</v>
      </c>
      <c r="O737" s="3">
        <v>3055</v>
      </c>
      <c r="P737" t="str">
        <f t="shared" si="22"/>
        <v>Mon</v>
      </c>
      <c r="Q737" t="str">
        <f t="shared" si="23"/>
        <v>Vey Active</v>
      </c>
    </row>
    <row r="738" spans="1:17">
      <c r="A738">
        <v>7007744171</v>
      </c>
      <c r="B738" s="1">
        <v>42489</v>
      </c>
      <c r="C738" s="3">
        <v>20067</v>
      </c>
      <c r="D738" s="2">
        <v>14.300000190734901</v>
      </c>
      <c r="E738" s="2">
        <v>13.420000076293899</v>
      </c>
      <c r="F738" s="2">
        <v>4.9111461639404297</v>
      </c>
      <c r="G738" s="2">
        <v>4.3099999427795401</v>
      </c>
      <c r="H738" s="2">
        <v>2.0499999523162802</v>
      </c>
      <c r="I738" s="2">
        <v>7.9499998092651403</v>
      </c>
      <c r="J738" s="2">
        <v>0</v>
      </c>
      <c r="K738" s="3">
        <v>55</v>
      </c>
      <c r="L738" s="3">
        <v>42</v>
      </c>
      <c r="M738" s="3">
        <v>382</v>
      </c>
      <c r="N738" s="3">
        <v>961</v>
      </c>
      <c r="O738" s="3">
        <v>3180</v>
      </c>
      <c r="P738" t="str">
        <f t="shared" si="22"/>
        <v>Fri</v>
      </c>
      <c r="Q738" t="str">
        <f t="shared" si="23"/>
        <v>Vey Active</v>
      </c>
    </row>
    <row r="739" spans="1:17">
      <c r="A739">
        <v>7086361926</v>
      </c>
      <c r="B739" s="1">
        <v>42477</v>
      </c>
      <c r="C739" s="3">
        <v>0</v>
      </c>
      <c r="D739" s="2">
        <v>0</v>
      </c>
      <c r="E739" s="2">
        <v>0</v>
      </c>
      <c r="F739" s="2">
        <v>0</v>
      </c>
      <c r="G739" s="2">
        <v>0</v>
      </c>
      <c r="H739" s="2">
        <v>0</v>
      </c>
      <c r="I739" s="2">
        <v>0</v>
      </c>
      <c r="J739" s="2">
        <v>0</v>
      </c>
      <c r="K739" s="3">
        <v>0</v>
      </c>
      <c r="L739" s="3">
        <v>0</v>
      </c>
      <c r="M739" s="3">
        <v>0</v>
      </c>
      <c r="N739" s="3">
        <v>1440</v>
      </c>
      <c r="O739" s="3">
        <v>1629</v>
      </c>
      <c r="P739" t="str">
        <f t="shared" si="22"/>
        <v>Sun</v>
      </c>
      <c r="Q739" t="str">
        <f t="shared" si="23"/>
        <v>Sedentary</v>
      </c>
    </row>
    <row r="740" spans="1:17">
      <c r="A740">
        <v>7086361926</v>
      </c>
      <c r="B740" s="1">
        <v>42476</v>
      </c>
      <c r="C740" s="3">
        <v>31</v>
      </c>
      <c r="D740" s="2">
        <v>9.9999997764825804E-3</v>
      </c>
      <c r="E740" s="2">
        <v>9.9999997764825804E-3</v>
      </c>
      <c r="F740" s="2">
        <v>0</v>
      </c>
      <c r="G740" s="2">
        <v>0</v>
      </c>
      <c r="H740" s="2">
        <v>0</v>
      </c>
      <c r="I740" s="2">
        <v>9.9999997764825804E-3</v>
      </c>
      <c r="J740" s="2">
        <v>0</v>
      </c>
      <c r="K740" s="3">
        <v>0</v>
      </c>
      <c r="L740" s="3">
        <v>0</v>
      </c>
      <c r="M740" s="3">
        <v>3</v>
      </c>
      <c r="N740" s="3">
        <v>1437</v>
      </c>
      <c r="O740" s="3">
        <v>1635</v>
      </c>
      <c r="P740" t="str">
        <f t="shared" si="22"/>
        <v>Sat</v>
      </c>
      <c r="Q740" t="str">
        <f t="shared" si="23"/>
        <v>Sedentary</v>
      </c>
    </row>
    <row r="741" spans="1:17">
      <c r="A741">
        <v>7086361926</v>
      </c>
      <c r="B741" s="1">
        <v>42483</v>
      </c>
      <c r="C741" s="3">
        <v>2817</v>
      </c>
      <c r="D741" s="2">
        <v>1.8099999427795399</v>
      </c>
      <c r="E741" s="2">
        <v>1.8099999427795399</v>
      </c>
      <c r="F741" s="2">
        <v>0</v>
      </c>
      <c r="G741" s="2">
        <v>0</v>
      </c>
      <c r="H741" s="2">
        <v>0</v>
      </c>
      <c r="I741" s="2">
        <v>1.79999995231628</v>
      </c>
      <c r="J741" s="2">
        <v>0</v>
      </c>
      <c r="K741" s="3">
        <v>0</v>
      </c>
      <c r="L741" s="3">
        <v>0</v>
      </c>
      <c r="M741" s="3">
        <v>90</v>
      </c>
      <c r="N741" s="3">
        <v>1350</v>
      </c>
      <c r="O741" s="3">
        <v>1965</v>
      </c>
      <c r="P741" t="str">
        <f t="shared" si="22"/>
        <v>Sat</v>
      </c>
      <c r="Q741" t="str">
        <f t="shared" si="23"/>
        <v>Sedentary</v>
      </c>
    </row>
    <row r="742" spans="1:17">
      <c r="A742">
        <v>7086361926</v>
      </c>
      <c r="B742" s="1">
        <v>42484</v>
      </c>
      <c r="C742" s="3">
        <v>3520</v>
      </c>
      <c r="D742" s="2">
        <v>2.1600000858306898</v>
      </c>
      <c r="E742" s="2">
        <v>2.1600000858306898</v>
      </c>
      <c r="F742" s="2">
        <v>0</v>
      </c>
      <c r="G742" s="2">
        <v>0</v>
      </c>
      <c r="H742" s="2">
        <v>0</v>
      </c>
      <c r="I742" s="2">
        <v>2.1500000953674299</v>
      </c>
      <c r="J742" s="2">
        <v>0</v>
      </c>
      <c r="K742" s="3">
        <v>0</v>
      </c>
      <c r="L742" s="3">
        <v>0</v>
      </c>
      <c r="M742" s="3">
        <v>125</v>
      </c>
      <c r="N742" s="3">
        <v>566</v>
      </c>
      <c r="O742" s="3">
        <v>2049</v>
      </c>
      <c r="P742" t="str">
        <f t="shared" si="22"/>
        <v>Sun</v>
      </c>
      <c r="Q742" t="str">
        <f t="shared" si="23"/>
        <v>Sedentary</v>
      </c>
    </row>
    <row r="743" spans="1:17">
      <c r="A743">
        <v>7086361926</v>
      </c>
      <c r="B743" s="1">
        <v>42502</v>
      </c>
      <c r="C743" s="3">
        <v>3789</v>
      </c>
      <c r="D743" s="2">
        <v>2.5599999427795401</v>
      </c>
      <c r="E743" s="2">
        <v>2.5599999427795401</v>
      </c>
      <c r="F743" s="2">
        <v>0</v>
      </c>
      <c r="G743" s="2">
        <v>0.37999999523162797</v>
      </c>
      <c r="H743" s="2">
        <v>0.270000010728836</v>
      </c>
      <c r="I743" s="2">
        <v>1.8899999856948899</v>
      </c>
      <c r="J743" s="2">
        <v>0</v>
      </c>
      <c r="K743" s="3">
        <v>5</v>
      </c>
      <c r="L743" s="3">
        <v>4</v>
      </c>
      <c r="M743" s="3">
        <v>58</v>
      </c>
      <c r="N743" s="3">
        <v>343</v>
      </c>
      <c r="O743" s="3">
        <v>1199</v>
      </c>
      <c r="P743" t="str">
        <f t="shared" si="22"/>
        <v>Thu</v>
      </c>
      <c r="Q743" t="str">
        <f t="shared" si="23"/>
        <v>Sedentary</v>
      </c>
    </row>
    <row r="744" spans="1:17">
      <c r="A744">
        <v>7086361926</v>
      </c>
      <c r="B744" s="1">
        <v>42473</v>
      </c>
      <c r="C744" s="3">
        <v>5813</v>
      </c>
      <c r="D744" s="2">
        <v>3.6199998855590798</v>
      </c>
      <c r="E744" s="2">
        <v>3.6199998855590798</v>
      </c>
      <c r="F744" s="2">
        <v>0</v>
      </c>
      <c r="G744" s="2">
        <v>0.56000000238418601</v>
      </c>
      <c r="H744" s="2">
        <v>0.20999999344348899</v>
      </c>
      <c r="I744" s="2">
        <v>2.8399999141693102</v>
      </c>
      <c r="J744" s="2">
        <v>0</v>
      </c>
      <c r="K744" s="3">
        <v>31</v>
      </c>
      <c r="L744" s="3">
        <v>26</v>
      </c>
      <c r="M744" s="3">
        <v>155</v>
      </c>
      <c r="N744" s="3">
        <v>744</v>
      </c>
      <c r="O744" s="3">
        <v>2516</v>
      </c>
      <c r="P744" t="str">
        <f t="shared" si="22"/>
        <v>Wed</v>
      </c>
      <c r="Q744" t="str">
        <f t="shared" si="23"/>
        <v>Lightly Active</v>
      </c>
    </row>
    <row r="745" spans="1:17">
      <c r="A745">
        <v>7086361926</v>
      </c>
      <c r="B745" s="1">
        <v>42489</v>
      </c>
      <c r="C745" s="3">
        <v>7881</v>
      </c>
      <c r="D745" s="2">
        <v>4.9499998092651403</v>
      </c>
      <c r="E745" s="2">
        <v>4.9499998092651403</v>
      </c>
      <c r="F745" s="2">
        <v>0</v>
      </c>
      <c r="G745" s="2">
        <v>0.490000009536743</v>
      </c>
      <c r="H745" s="2">
        <v>0.44999998807907099</v>
      </c>
      <c r="I745" s="2">
        <v>4</v>
      </c>
      <c r="J745" s="2">
        <v>0</v>
      </c>
      <c r="K745" s="3">
        <v>24</v>
      </c>
      <c r="L745" s="3">
        <v>36</v>
      </c>
      <c r="M745" s="3">
        <v>182</v>
      </c>
      <c r="N745" s="3">
        <v>1198</v>
      </c>
      <c r="O745" s="3">
        <v>2616</v>
      </c>
      <c r="P745" t="str">
        <f t="shared" si="22"/>
        <v>Fri</v>
      </c>
      <c r="Q745" t="str">
        <f t="shared" si="23"/>
        <v>Fairly Active</v>
      </c>
    </row>
    <row r="746" spans="1:17">
      <c r="A746">
        <v>7086361926</v>
      </c>
      <c r="B746" s="1">
        <v>42495</v>
      </c>
      <c r="C746" s="3">
        <v>8564</v>
      </c>
      <c r="D746" s="2">
        <v>5.5999999046325701</v>
      </c>
      <c r="E746" s="2">
        <v>5.5999999046325701</v>
      </c>
      <c r="F746" s="2">
        <v>0</v>
      </c>
      <c r="G746" s="2">
        <v>1.7799999713897701</v>
      </c>
      <c r="H746" s="2">
        <v>0.82999998331069902</v>
      </c>
      <c r="I746" s="2">
        <v>2.9500000476837198</v>
      </c>
      <c r="J746" s="2">
        <v>0</v>
      </c>
      <c r="K746" s="3">
        <v>24</v>
      </c>
      <c r="L746" s="3">
        <v>14</v>
      </c>
      <c r="M746" s="3">
        <v>149</v>
      </c>
      <c r="N746" s="3">
        <v>1253</v>
      </c>
      <c r="O746" s="3">
        <v>2386</v>
      </c>
      <c r="P746" t="str">
        <f t="shared" si="22"/>
        <v>Thu</v>
      </c>
      <c r="Q746" t="str">
        <f t="shared" si="23"/>
        <v>Fairly Active</v>
      </c>
    </row>
    <row r="747" spans="1:17">
      <c r="A747">
        <v>7086361926</v>
      </c>
      <c r="B747" s="1">
        <v>42475</v>
      </c>
      <c r="C747" s="3">
        <v>8585</v>
      </c>
      <c r="D747" s="2">
        <v>5.6700000762939498</v>
      </c>
      <c r="E747" s="2">
        <v>5.6700000762939498</v>
      </c>
      <c r="F747" s="2">
        <v>0</v>
      </c>
      <c r="G747" s="2">
        <v>2.03999996185303</v>
      </c>
      <c r="H747" s="2">
        <v>1.1100000143051101</v>
      </c>
      <c r="I747" s="2">
        <v>2.5299999713897701</v>
      </c>
      <c r="J747" s="2">
        <v>0</v>
      </c>
      <c r="K747" s="3">
        <v>30</v>
      </c>
      <c r="L747" s="3">
        <v>21</v>
      </c>
      <c r="M747" s="3">
        <v>139</v>
      </c>
      <c r="N747" s="3">
        <v>864</v>
      </c>
      <c r="O747" s="3">
        <v>2395</v>
      </c>
      <c r="P747" t="str">
        <f t="shared" si="22"/>
        <v>Fri</v>
      </c>
      <c r="Q747" t="str">
        <f t="shared" si="23"/>
        <v>Fairly Active</v>
      </c>
    </row>
    <row r="748" spans="1:17">
      <c r="A748">
        <v>7086361926</v>
      </c>
      <c r="B748" s="1">
        <v>42474</v>
      </c>
      <c r="C748" s="3">
        <v>9123</v>
      </c>
      <c r="D748" s="2">
        <v>6.1199998855590803</v>
      </c>
      <c r="E748" s="2">
        <v>6.1199998855590803</v>
      </c>
      <c r="F748" s="2">
        <v>0</v>
      </c>
      <c r="G748" s="2">
        <v>2.0299999713897701</v>
      </c>
      <c r="H748" s="2">
        <v>0.33000001311302202</v>
      </c>
      <c r="I748" s="2">
        <v>3.6600000858306898</v>
      </c>
      <c r="J748" s="2">
        <v>0</v>
      </c>
      <c r="K748" s="3">
        <v>35</v>
      </c>
      <c r="L748" s="3">
        <v>32</v>
      </c>
      <c r="M748" s="3">
        <v>189</v>
      </c>
      <c r="N748" s="3">
        <v>787</v>
      </c>
      <c r="O748" s="3">
        <v>2734</v>
      </c>
      <c r="P748" t="str">
        <f t="shared" si="22"/>
        <v>Thu</v>
      </c>
      <c r="Q748" t="str">
        <f t="shared" si="23"/>
        <v>Fairly Active</v>
      </c>
    </row>
    <row r="749" spans="1:17">
      <c r="A749">
        <v>7086361926</v>
      </c>
      <c r="B749" s="1">
        <v>42481</v>
      </c>
      <c r="C749" s="3">
        <v>9469</v>
      </c>
      <c r="D749" s="2">
        <v>6.1799998283386204</v>
      </c>
      <c r="E749" s="2">
        <v>6.1799998283386204</v>
      </c>
      <c r="F749" s="2">
        <v>0</v>
      </c>
      <c r="G749" s="2">
        <v>1.3600000143051101</v>
      </c>
      <c r="H749" s="2">
        <v>0.30000001192092901</v>
      </c>
      <c r="I749" s="2">
        <v>4.5100002288818404</v>
      </c>
      <c r="J749" s="2">
        <v>0</v>
      </c>
      <c r="K749" s="3">
        <v>19</v>
      </c>
      <c r="L749" s="3">
        <v>6</v>
      </c>
      <c r="M749" s="3">
        <v>206</v>
      </c>
      <c r="N749" s="3">
        <v>758</v>
      </c>
      <c r="O749" s="3">
        <v>2463</v>
      </c>
      <c r="P749" t="str">
        <f t="shared" si="22"/>
        <v>Thu</v>
      </c>
      <c r="Q749" t="str">
        <f t="shared" si="23"/>
        <v>Fairly Active</v>
      </c>
    </row>
    <row r="750" spans="1:17">
      <c r="A750">
        <v>7086361926</v>
      </c>
      <c r="B750" s="1">
        <v>42501</v>
      </c>
      <c r="C750" s="3">
        <v>9572</v>
      </c>
      <c r="D750" s="2">
        <v>6.5199999809265101</v>
      </c>
      <c r="E750" s="2">
        <v>6.5199999809265101</v>
      </c>
      <c r="F750" s="2">
        <v>0</v>
      </c>
      <c r="G750" s="2">
        <v>2.8900001049041699</v>
      </c>
      <c r="H750" s="2">
        <v>1.3899999856948899</v>
      </c>
      <c r="I750" s="2">
        <v>2.2300000190734899</v>
      </c>
      <c r="J750" s="2">
        <v>0</v>
      </c>
      <c r="K750" s="3">
        <v>57</v>
      </c>
      <c r="L750" s="3">
        <v>40</v>
      </c>
      <c r="M750" s="3">
        <v>128</v>
      </c>
      <c r="N750" s="3">
        <v>757</v>
      </c>
      <c r="O750" s="3">
        <v>2735</v>
      </c>
      <c r="P750" t="str">
        <f t="shared" si="22"/>
        <v>Wed</v>
      </c>
      <c r="Q750" t="str">
        <f t="shared" si="23"/>
        <v>Fairly Active</v>
      </c>
    </row>
    <row r="751" spans="1:17">
      <c r="A751">
        <v>7086361926</v>
      </c>
      <c r="B751" s="1">
        <v>42482</v>
      </c>
      <c r="C751" s="3">
        <v>9753</v>
      </c>
      <c r="D751" s="2">
        <v>6.5300002098083496</v>
      </c>
      <c r="E751" s="2">
        <v>6.5300002098083496</v>
      </c>
      <c r="F751" s="2">
        <v>0</v>
      </c>
      <c r="G751" s="2">
        <v>2.8699998855590798</v>
      </c>
      <c r="H751" s="2">
        <v>0.97000002861022905</v>
      </c>
      <c r="I751" s="2">
        <v>2.6700000762939502</v>
      </c>
      <c r="J751" s="2">
        <v>0</v>
      </c>
      <c r="K751" s="3">
        <v>58</v>
      </c>
      <c r="L751" s="3">
        <v>59</v>
      </c>
      <c r="M751" s="3">
        <v>153</v>
      </c>
      <c r="N751" s="3">
        <v>762</v>
      </c>
      <c r="O751" s="3">
        <v>2846</v>
      </c>
      <c r="P751" t="str">
        <f t="shared" si="22"/>
        <v>Fri</v>
      </c>
      <c r="Q751" t="str">
        <f t="shared" si="23"/>
        <v>Fairly Active</v>
      </c>
    </row>
    <row r="752" spans="1:17">
      <c r="A752">
        <v>7086361926</v>
      </c>
      <c r="B752" s="1">
        <v>42478</v>
      </c>
      <c r="C752" s="3">
        <v>9827</v>
      </c>
      <c r="D752" s="2">
        <v>6.71000003814697</v>
      </c>
      <c r="E752" s="2">
        <v>6.71000003814697</v>
      </c>
      <c r="F752" s="2">
        <v>0</v>
      </c>
      <c r="G752" s="2">
        <v>3.1700000762939502</v>
      </c>
      <c r="H752" s="2">
        <v>1.2200000286102299</v>
      </c>
      <c r="I752" s="2">
        <v>2.3099999427795401</v>
      </c>
      <c r="J752" s="2">
        <v>0</v>
      </c>
      <c r="K752" s="3">
        <v>61</v>
      </c>
      <c r="L752" s="3">
        <v>51</v>
      </c>
      <c r="M752" s="3">
        <v>114</v>
      </c>
      <c r="N752" s="3">
        <v>1136</v>
      </c>
      <c r="O752" s="3">
        <v>2743</v>
      </c>
      <c r="P752" t="str">
        <f t="shared" si="22"/>
        <v>Mon</v>
      </c>
      <c r="Q752" t="str">
        <f t="shared" si="23"/>
        <v>Fairly Active</v>
      </c>
    </row>
    <row r="753" spans="1:17">
      <c r="A753">
        <v>7086361926</v>
      </c>
      <c r="B753" s="1">
        <v>42492</v>
      </c>
      <c r="C753" s="3">
        <v>10052</v>
      </c>
      <c r="D753" s="2">
        <v>6.8099999427795401</v>
      </c>
      <c r="E753" s="2">
        <v>6.8099999427795401</v>
      </c>
      <c r="F753" s="2">
        <v>0</v>
      </c>
      <c r="G753" s="2">
        <v>3.4800000190734899</v>
      </c>
      <c r="H753" s="2">
        <v>0.66000002622604403</v>
      </c>
      <c r="I753" s="2">
        <v>2.6600000858306898</v>
      </c>
      <c r="J753" s="2">
        <v>0</v>
      </c>
      <c r="K753" s="3">
        <v>66</v>
      </c>
      <c r="L753" s="3">
        <v>26</v>
      </c>
      <c r="M753" s="3">
        <v>139</v>
      </c>
      <c r="N753" s="3">
        <v>737</v>
      </c>
      <c r="O753" s="3">
        <v>2754</v>
      </c>
      <c r="P753" t="str">
        <f t="shared" si="22"/>
        <v>Mon</v>
      </c>
      <c r="Q753" t="str">
        <f t="shared" si="23"/>
        <v>Vey Active</v>
      </c>
    </row>
    <row r="754" spans="1:17">
      <c r="A754">
        <v>7086361926</v>
      </c>
      <c r="B754" s="1">
        <v>42485</v>
      </c>
      <c r="C754" s="3">
        <v>10091</v>
      </c>
      <c r="D754" s="2">
        <v>6.8200001716613796</v>
      </c>
      <c r="E754" s="2">
        <v>6.8200001716613796</v>
      </c>
      <c r="F754" s="2">
        <v>0</v>
      </c>
      <c r="G754" s="2">
        <v>3.75</v>
      </c>
      <c r="H754" s="2">
        <v>0.69999998807907104</v>
      </c>
      <c r="I754" s="2">
        <v>2.3699998855590798</v>
      </c>
      <c r="J754" s="2">
        <v>0</v>
      </c>
      <c r="K754" s="3">
        <v>69</v>
      </c>
      <c r="L754" s="3">
        <v>39</v>
      </c>
      <c r="M754" s="3">
        <v>129</v>
      </c>
      <c r="N754" s="3">
        <v>706</v>
      </c>
      <c r="O754" s="3">
        <v>2752</v>
      </c>
      <c r="P754" t="str">
        <f t="shared" si="22"/>
        <v>Mon</v>
      </c>
      <c r="Q754" t="str">
        <f t="shared" si="23"/>
        <v>Vey Active</v>
      </c>
    </row>
    <row r="755" spans="1:17">
      <c r="A755">
        <v>7086361926</v>
      </c>
      <c r="B755" s="1">
        <v>42493</v>
      </c>
      <c r="C755" s="3">
        <v>10288</v>
      </c>
      <c r="D755" s="2">
        <v>6.7600002288818404</v>
      </c>
      <c r="E755" s="2">
        <v>6.7600002288818404</v>
      </c>
      <c r="F755" s="2">
        <v>0</v>
      </c>
      <c r="G755" s="2">
        <v>2.7400000095367401</v>
      </c>
      <c r="H755" s="2">
        <v>0.85000002384185802</v>
      </c>
      <c r="I755" s="2">
        <v>3.1600000858306898</v>
      </c>
      <c r="J755" s="2">
        <v>0</v>
      </c>
      <c r="K755" s="3">
        <v>57</v>
      </c>
      <c r="L755" s="3">
        <v>36</v>
      </c>
      <c r="M755" s="3">
        <v>152</v>
      </c>
      <c r="N755" s="3">
        <v>761</v>
      </c>
      <c r="O755" s="3">
        <v>2754</v>
      </c>
      <c r="P755" t="str">
        <f t="shared" si="22"/>
        <v>Tue</v>
      </c>
      <c r="Q755" t="str">
        <f t="shared" si="23"/>
        <v>Vey Active</v>
      </c>
    </row>
    <row r="756" spans="1:17">
      <c r="A756">
        <v>7086361926</v>
      </c>
      <c r="B756" s="1">
        <v>42486</v>
      </c>
      <c r="C756" s="3">
        <v>10387</v>
      </c>
      <c r="D756" s="2">
        <v>7.0700001716613796</v>
      </c>
      <c r="E756" s="2">
        <v>7.0700001716613796</v>
      </c>
      <c r="F756" s="2">
        <v>0</v>
      </c>
      <c r="G756" s="2">
        <v>4.1599998474121103</v>
      </c>
      <c r="H756" s="2">
        <v>0.769999980926514</v>
      </c>
      <c r="I756" s="2">
        <v>2.1199998855590798</v>
      </c>
      <c r="J756" s="2">
        <v>0</v>
      </c>
      <c r="K756" s="3">
        <v>70</v>
      </c>
      <c r="L756" s="3">
        <v>33</v>
      </c>
      <c r="M756" s="3">
        <v>132</v>
      </c>
      <c r="N756" s="3">
        <v>726</v>
      </c>
      <c r="O756" s="3">
        <v>2781</v>
      </c>
      <c r="P756" t="str">
        <f t="shared" si="22"/>
        <v>Tue</v>
      </c>
      <c r="Q756" t="str">
        <f t="shared" si="23"/>
        <v>Vey Active</v>
      </c>
    </row>
    <row r="757" spans="1:17">
      <c r="A757">
        <v>7086361926</v>
      </c>
      <c r="B757" s="1">
        <v>42498</v>
      </c>
      <c r="C757" s="3">
        <v>10677</v>
      </c>
      <c r="D757" s="2">
        <v>7.0999999046325701</v>
      </c>
      <c r="E757" s="2">
        <v>7.0999999046325701</v>
      </c>
      <c r="F757" s="2">
        <v>0</v>
      </c>
      <c r="G757" s="2">
        <v>2.3099999427795401</v>
      </c>
      <c r="H757" s="2">
        <v>1.5299999713897701</v>
      </c>
      <c r="I757" s="2">
        <v>3.25</v>
      </c>
      <c r="J757" s="2">
        <v>0</v>
      </c>
      <c r="K757" s="3">
        <v>32</v>
      </c>
      <c r="L757" s="3">
        <v>27</v>
      </c>
      <c r="M757" s="3">
        <v>147</v>
      </c>
      <c r="N757" s="3">
        <v>695</v>
      </c>
      <c r="O757" s="3">
        <v>2534</v>
      </c>
      <c r="P757" t="str">
        <f t="shared" si="22"/>
        <v>Sun</v>
      </c>
      <c r="Q757" t="str">
        <f t="shared" si="23"/>
        <v>Vey Active</v>
      </c>
    </row>
    <row r="758" spans="1:17">
      <c r="A758">
        <v>7086361926</v>
      </c>
      <c r="B758" s="1">
        <v>42479</v>
      </c>
      <c r="C758" s="3">
        <v>10688</v>
      </c>
      <c r="D758" s="2">
        <v>7.28999996185303</v>
      </c>
      <c r="E758" s="2">
        <v>7.28999996185303</v>
      </c>
      <c r="F758" s="2">
        <v>0</v>
      </c>
      <c r="G758" s="2">
        <v>3.5299999713897701</v>
      </c>
      <c r="H758" s="2">
        <v>1.2300000190734901</v>
      </c>
      <c r="I758" s="2">
        <v>2.5099999904632599</v>
      </c>
      <c r="J758" s="2">
        <v>0</v>
      </c>
      <c r="K758" s="3">
        <v>67</v>
      </c>
      <c r="L758" s="3">
        <v>69</v>
      </c>
      <c r="M758" s="3">
        <v>124</v>
      </c>
      <c r="N758" s="3">
        <v>671</v>
      </c>
      <c r="O758" s="3">
        <v>2944</v>
      </c>
      <c r="P758" t="str">
        <f t="shared" si="22"/>
        <v>Tue</v>
      </c>
      <c r="Q758" t="str">
        <f t="shared" si="23"/>
        <v>Vey Active</v>
      </c>
    </row>
    <row r="759" spans="1:17">
      <c r="A759">
        <v>7086361926</v>
      </c>
      <c r="B759" s="1">
        <v>42494</v>
      </c>
      <c r="C759" s="3">
        <v>10988</v>
      </c>
      <c r="D759" s="2">
        <v>8.3100004196166992</v>
      </c>
      <c r="E759" s="2">
        <v>8.3100004196166992</v>
      </c>
      <c r="F759" s="2">
        <v>0</v>
      </c>
      <c r="G759" s="2">
        <v>5.2800002098083496</v>
      </c>
      <c r="H759" s="2">
        <v>0.119999997317791</v>
      </c>
      <c r="I759" s="2">
        <v>2.9000000953674299</v>
      </c>
      <c r="J759" s="2">
        <v>0</v>
      </c>
      <c r="K759" s="3">
        <v>45</v>
      </c>
      <c r="L759" s="3">
        <v>12</v>
      </c>
      <c r="M759" s="3">
        <v>135</v>
      </c>
      <c r="N759" s="3">
        <v>843</v>
      </c>
      <c r="O759" s="3">
        <v>2655</v>
      </c>
      <c r="P759" t="str">
        <f t="shared" si="22"/>
        <v>Wed</v>
      </c>
      <c r="Q759" t="str">
        <f t="shared" si="23"/>
        <v>Vey Active</v>
      </c>
    </row>
    <row r="760" spans="1:17">
      <c r="A760">
        <v>7086361926</v>
      </c>
      <c r="B760" s="1">
        <v>42487</v>
      </c>
      <c r="C760" s="3">
        <v>11107</v>
      </c>
      <c r="D760" s="2">
        <v>8.3400001525878906</v>
      </c>
      <c r="E760" s="2">
        <v>8.3400001525878906</v>
      </c>
      <c r="F760" s="2">
        <v>0</v>
      </c>
      <c r="G760" s="2">
        <v>5.6300001144409197</v>
      </c>
      <c r="H760" s="2">
        <v>0.18000000715255701</v>
      </c>
      <c r="I760" s="2">
        <v>2.5299999713897701</v>
      </c>
      <c r="J760" s="2">
        <v>0</v>
      </c>
      <c r="K760" s="3">
        <v>55</v>
      </c>
      <c r="L760" s="3">
        <v>6</v>
      </c>
      <c r="M760" s="3">
        <v>145</v>
      </c>
      <c r="N760" s="3">
        <v>829</v>
      </c>
      <c r="O760" s="3">
        <v>2693</v>
      </c>
      <c r="P760" t="str">
        <f t="shared" si="22"/>
        <v>Wed</v>
      </c>
      <c r="Q760" t="str">
        <f t="shared" si="23"/>
        <v>Vey Active</v>
      </c>
    </row>
    <row r="761" spans="1:17">
      <c r="A761">
        <v>7086361926</v>
      </c>
      <c r="B761" s="1">
        <v>42472</v>
      </c>
      <c r="C761" s="3">
        <v>11317</v>
      </c>
      <c r="D761" s="2">
        <v>8.4099998474121094</v>
      </c>
      <c r="E761" s="2">
        <v>8.4099998474121094</v>
      </c>
      <c r="F761" s="2">
        <v>0</v>
      </c>
      <c r="G761" s="2">
        <v>5.2699999809265101</v>
      </c>
      <c r="H761" s="2">
        <v>0.15000000596046401</v>
      </c>
      <c r="I761" s="2">
        <v>2.9700000286102299</v>
      </c>
      <c r="J761" s="2">
        <v>0</v>
      </c>
      <c r="K761" s="3">
        <v>59</v>
      </c>
      <c r="L761" s="3">
        <v>6</v>
      </c>
      <c r="M761" s="3">
        <v>153</v>
      </c>
      <c r="N761" s="3">
        <v>745</v>
      </c>
      <c r="O761" s="3">
        <v>2772</v>
      </c>
      <c r="P761" t="str">
        <f t="shared" si="22"/>
        <v>Tue</v>
      </c>
      <c r="Q761" t="str">
        <f t="shared" si="23"/>
        <v>Vey Active</v>
      </c>
    </row>
    <row r="762" spans="1:17">
      <c r="A762">
        <v>7086361926</v>
      </c>
      <c r="B762" s="1">
        <v>42488</v>
      </c>
      <c r="C762" s="3">
        <v>11584</v>
      </c>
      <c r="D762" s="2">
        <v>7.8000001907348597</v>
      </c>
      <c r="E762" s="2">
        <v>7.8000001907348597</v>
      </c>
      <c r="F762" s="2">
        <v>0</v>
      </c>
      <c r="G762" s="2">
        <v>2.78999996185303</v>
      </c>
      <c r="H762" s="2">
        <v>1.6399999856948899</v>
      </c>
      <c r="I762" s="2">
        <v>3.3599998950958301</v>
      </c>
      <c r="J762" s="2">
        <v>0</v>
      </c>
      <c r="K762" s="3">
        <v>54</v>
      </c>
      <c r="L762" s="3">
        <v>48</v>
      </c>
      <c r="M762" s="3">
        <v>161</v>
      </c>
      <c r="N762" s="3">
        <v>810</v>
      </c>
      <c r="O762" s="3">
        <v>2862</v>
      </c>
      <c r="P762" t="str">
        <f t="shared" si="22"/>
        <v>Thu</v>
      </c>
      <c r="Q762" t="str">
        <f t="shared" si="23"/>
        <v>Vey Active</v>
      </c>
    </row>
    <row r="763" spans="1:17">
      <c r="A763">
        <v>7086361926</v>
      </c>
      <c r="B763" s="1">
        <v>42491</v>
      </c>
      <c r="C763" s="3">
        <v>12390</v>
      </c>
      <c r="D763" s="2">
        <v>8.0699996948242205</v>
      </c>
      <c r="E763" s="2">
        <v>8.0699996948242205</v>
      </c>
      <c r="F763" s="2">
        <v>0</v>
      </c>
      <c r="G763" s="2">
        <v>2.2999999523162802</v>
      </c>
      <c r="H763" s="2">
        <v>0.89999997615814198</v>
      </c>
      <c r="I763" s="2">
        <v>4.8499999046325701</v>
      </c>
      <c r="J763" s="2">
        <v>0</v>
      </c>
      <c r="K763" s="3">
        <v>30</v>
      </c>
      <c r="L763" s="3">
        <v>15</v>
      </c>
      <c r="M763" s="3">
        <v>258</v>
      </c>
      <c r="N763" s="3">
        <v>685</v>
      </c>
      <c r="O763" s="3">
        <v>2730</v>
      </c>
      <c r="P763" t="str">
        <f t="shared" si="22"/>
        <v>Sun</v>
      </c>
      <c r="Q763" t="str">
        <f t="shared" si="23"/>
        <v>Vey Active</v>
      </c>
    </row>
    <row r="764" spans="1:17">
      <c r="A764">
        <v>7086361926</v>
      </c>
      <c r="B764" s="1">
        <v>42496</v>
      </c>
      <c r="C764" s="3">
        <v>12461</v>
      </c>
      <c r="D764" s="2">
        <v>8.3800001144409197</v>
      </c>
      <c r="E764" s="2">
        <v>8.3800001144409197</v>
      </c>
      <c r="F764" s="2">
        <v>0</v>
      </c>
      <c r="G764" s="2">
        <v>3.8199999332428001</v>
      </c>
      <c r="H764" s="2">
        <v>1.4299999475479099</v>
      </c>
      <c r="I764" s="2">
        <v>3.1199998855590798</v>
      </c>
      <c r="J764" s="2">
        <v>0</v>
      </c>
      <c r="K764" s="3">
        <v>84</v>
      </c>
      <c r="L764" s="3">
        <v>35</v>
      </c>
      <c r="M764" s="3">
        <v>154</v>
      </c>
      <c r="N764" s="3">
        <v>834</v>
      </c>
      <c r="O764" s="3">
        <v>2924</v>
      </c>
      <c r="P764" t="str">
        <f t="shared" si="22"/>
        <v>Fri</v>
      </c>
      <c r="Q764" t="str">
        <f t="shared" si="23"/>
        <v>Vey Active</v>
      </c>
    </row>
    <row r="765" spans="1:17">
      <c r="A765">
        <v>7086361926</v>
      </c>
      <c r="B765" s="1">
        <v>42497</v>
      </c>
      <c r="C765" s="3">
        <v>12827</v>
      </c>
      <c r="D765" s="2">
        <v>8.4799995422363299</v>
      </c>
      <c r="E765" s="2">
        <v>8.4799995422363299</v>
      </c>
      <c r="F765" s="2">
        <v>0</v>
      </c>
      <c r="G765" s="2">
        <v>1.46000003814697</v>
      </c>
      <c r="H765" s="2">
        <v>2.3299999237060498</v>
      </c>
      <c r="I765" s="2">
        <v>4.6799998283386204</v>
      </c>
      <c r="J765" s="2">
        <v>0</v>
      </c>
      <c r="K765" s="3">
        <v>20</v>
      </c>
      <c r="L765" s="3">
        <v>42</v>
      </c>
      <c r="M765" s="3">
        <v>209</v>
      </c>
      <c r="N765" s="3">
        <v>621</v>
      </c>
      <c r="O765" s="3">
        <v>2739</v>
      </c>
      <c r="P765" t="str">
        <f t="shared" si="22"/>
        <v>Sat</v>
      </c>
      <c r="Q765" t="str">
        <f t="shared" si="23"/>
        <v>Vey Active</v>
      </c>
    </row>
    <row r="766" spans="1:17">
      <c r="A766">
        <v>7086361926</v>
      </c>
      <c r="B766" s="1">
        <v>42499</v>
      </c>
      <c r="C766" s="3">
        <v>13566</v>
      </c>
      <c r="D766" s="2">
        <v>9.1099996566772496</v>
      </c>
      <c r="E766" s="2">
        <v>9.1099996566772496</v>
      </c>
      <c r="F766" s="2">
        <v>0</v>
      </c>
      <c r="G766" s="2">
        <v>4.2600002288818404</v>
      </c>
      <c r="H766" s="2">
        <v>1.71000003814697</v>
      </c>
      <c r="I766" s="2">
        <v>3.1199998855590798</v>
      </c>
      <c r="J766" s="2">
        <v>0</v>
      </c>
      <c r="K766" s="3">
        <v>67</v>
      </c>
      <c r="L766" s="3">
        <v>50</v>
      </c>
      <c r="M766" s="3">
        <v>171</v>
      </c>
      <c r="N766" s="3">
        <v>743</v>
      </c>
      <c r="O766" s="3">
        <v>2960</v>
      </c>
      <c r="P766" t="str">
        <f t="shared" si="22"/>
        <v>Mon</v>
      </c>
      <c r="Q766" t="str">
        <f t="shared" si="23"/>
        <v>Vey Active</v>
      </c>
    </row>
    <row r="767" spans="1:17">
      <c r="A767">
        <v>7086361926</v>
      </c>
      <c r="B767" s="1">
        <v>42480</v>
      </c>
      <c r="C767" s="3">
        <v>14365</v>
      </c>
      <c r="D767" s="2">
        <v>10.6400003433228</v>
      </c>
      <c r="E767" s="2">
        <v>10.6400003433228</v>
      </c>
      <c r="F767" s="2">
        <v>0</v>
      </c>
      <c r="G767" s="2">
        <v>7.6399998664856001</v>
      </c>
      <c r="H767" s="2">
        <v>0.44999998807907099</v>
      </c>
      <c r="I767" s="2">
        <v>2.53999996185303</v>
      </c>
      <c r="J767" s="2">
        <v>0</v>
      </c>
      <c r="K767" s="3">
        <v>87</v>
      </c>
      <c r="L767" s="3">
        <v>13</v>
      </c>
      <c r="M767" s="3">
        <v>145</v>
      </c>
      <c r="N767" s="3">
        <v>797</v>
      </c>
      <c r="O767" s="3">
        <v>2997</v>
      </c>
      <c r="P767" t="str">
        <f t="shared" si="22"/>
        <v>Wed</v>
      </c>
      <c r="Q767" t="str">
        <f t="shared" si="23"/>
        <v>Vey Active</v>
      </c>
    </row>
    <row r="768" spans="1:17">
      <c r="A768">
        <v>7086361926</v>
      </c>
      <c r="B768" s="1">
        <v>42500</v>
      </c>
      <c r="C768" s="3">
        <v>14433</v>
      </c>
      <c r="D768" s="2">
        <v>10.789999961853001</v>
      </c>
      <c r="E768" s="2">
        <v>10.789999961853001</v>
      </c>
      <c r="F768" s="2">
        <v>0</v>
      </c>
      <c r="G768" s="2">
        <v>7.1100001335143999</v>
      </c>
      <c r="H768" s="2">
        <v>1.20000004768372</v>
      </c>
      <c r="I768" s="2">
        <v>2.4500000476837198</v>
      </c>
      <c r="J768" s="2">
        <v>0</v>
      </c>
      <c r="K768" s="3">
        <v>72</v>
      </c>
      <c r="L768" s="3">
        <v>23</v>
      </c>
      <c r="M768" s="3">
        <v>106</v>
      </c>
      <c r="N768" s="3">
        <v>1182</v>
      </c>
      <c r="O768" s="3">
        <v>2800</v>
      </c>
      <c r="P768" t="str">
        <f t="shared" si="22"/>
        <v>Tue</v>
      </c>
      <c r="Q768" t="str">
        <f t="shared" si="23"/>
        <v>Vey Active</v>
      </c>
    </row>
    <row r="769" spans="1:17">
      <c r="A769">
        <v>7086361926</v>
      </c>
      <c r="B769" s="1">
        <v>42490</v>
      </c>
      <c r="C769" s="3">
        <v>14560</v>
      </c>
      <c r="D769" s="2">
        <v>9.4099998474121094</v>
      </c>
      <c r="E769" s="2">
        <v>9.4099998474121094</v>
      </c>
      <c r="F769" s="2">
        <v>0</v>
      </c>
      <c r="G769" s="2">
        <v>3.1199998855590798</v>
      </c>
      <c r="H769" s="2">
        <v>1.03999996185303</v>
      </c>
      <c r="I769" s="2">
        <v>5.2399997711181596</v>
      </c>
      <c r="J769" s="2">
        <v>0</v>
      </c>
      <c r="K769" s="3">
        <v>42</v>
      </c>
      <c r="L769" s="3">
        <v>17</v>
      </c>
      <c r="M769" s="3">
        <v>308</v>
      </c>
      <c r="N769" s="3">
        <v>584</v>
      </c>
      <c r="O769" s="3">
        <v>2995</v>
      </c>
      <c r="P769" t="str">
        <f t="shared" si="22"/>
        <v>Sat</v>
      </c>
      <c r="Q769" t="str">
        <f t="shared" si="23"/>
        <v>Vey Active</v>
      </c>
    </row>
    <row r="770" spans="1:17">
      <c r="A770">
        <v>8053475328</v>
      </c>
      <c r="B770" s="1">
        <v>42491</v>
      </c>
      <c r="C770" s="3">
        <v>1170</v>
      </c>
      <c r="D770" s="2">
        <v>0.85000002384185802</v>
      </c>
      <c r="E770" s="2">
        <v>0.85000002384185802</v>
      </c>
      <c r="F770" s="2">
        <v>0</v>
      </c>
      <c r="G770" s="2">
        <v>0</v>
      </c>
      <c r="H770" s="2">
        <v>0</v>
      </c>
      <c r="I770" s="2">
        <v>0.85000002384185802</v>
      </c>
      <c r="J770" s="2">
        <v>0</v>
      </c>
      <c r="K770" s="3">
        <v>0</v>
      </c>
      <c r="L770" s="3">
        <v>0</v>
      </c>
      <c r="M770" s="3">
        <v>51</v>
      </c>
      <c r="N770" s="3">
        <v>1389</v>
      </c>
      <c r="O770" s="3">
        <v>1886</v>
      </c>
      <c r="P770" t="str">
        <f t="shared" ref="P770:P833" si="24">TEXT(B770, "ddd")</f>
        <v>Sun</v>
      </c>
      <c r="Q770" t="str">
        <f t="shared" ref="Q770:Q833" si="25">IF(C770&lt;5000, "Sedentary", IF(C770&lt;7500, "Lightly Active",IF(C770&lt;10000, "Fairly Active", "Vey Active")))</f>
        <v>Sedentary</v>
      </c>
    </row>
    <row r="771" spans="1:17">
      <c r="A771">
        <v>8053475328</v>
      </c>
      <c r="B771" s="1">
        <v>42492</v>
      </c>
      <c r="C771" s="3">
        <v>1969</v>
      </c>
      <c r="D771" s="2">
        <v>1.4299999475479099</v>
      </c>
      <c r="E771" s="2">
        <v>1.4299999475479099</v>
      </c>
      <c r="F771" s="2">
        <v>0</v>
      </c>
      <c r="G771" s="2">
        <v>0</v>
      </c>
      <c r="H771" s="2">
        <v>0</v>
      </c>
      <c r="I771" s="2">
        <v>1.4299999475479099</v>
      </c>
      <c r="J771" s="2">
        <v>0</v>
      </c>
      <c r="K771" s="3">
        <v>0</v>
      </c>
      <c r="L771" s="3">
        <v>0</v>
      </c>
      <c r="M771" s="3">
        <v>95</v>
      </c>
      <c r="N771" s="3">
        <v>1345</v>
      </c>
      <c r="O771" s="3">
        <v>1988</v>
      </c>
      <c r="P771" t="str">
        <f t="shared" si="24"/>
        <v>Mon</v>
      </c>
      <c r="Q771" t="str">
        <f t="shared" si="25"/>
        <v>Sedentary</v>
      </c>
    </row>
    <row r="772" spans="1:17">
      <c r="A772">
        <v>8053475328</v>
      </c>
      <c r="B772" s="1">
        <v>42502</v>
      </c>
      <c r="C772" s="3">
        <v>4998</v>
      </c>
      <c r="D772" s="2">
        <v>3.9100000858306898</v>
      </c>
      <c r="E772" s="2">
        <v>3.9100000858306898</v>
      </c>
      <c r="F772" s="2">
        <v>0</v>
      </c>
      <c r="G772" s="2">
        <v>2.9500000476837198</v>
      </c>
      <c r="H772" s="2">
        <v>0.20000000298023199</v>
      </c>
      <c r="I772" s="2">
        <v>0.75999999046325695</v>
      </c>
      <c r="J772" s="2">
        <v>0</v>
      </c>
      <c r="K772" s="3">
        <v>28</v>
      </c>
      <c r="L772" s="3">
        <v>4</v>
      </c>
      <c r="M772" s="3">
        <v>39</v>
      </c>
      <c r="N772" s="3">
        <v>839</v>
      </c>
      <c r="O772" s="3">
        <v>1505</v>
      </c>
      <c r="P772" t="str">
        <f t="shared" si="24"/>
        <v>Thu</v>
      </c>
      <c r="Q772" t="str">
        <f t="shared" si="25"/>
        <v>Sedentary</v>
      </c>
    </row>
    <row r="773" spans="1:17">
      <c r="A773">
        <v>8053475328</v>
      </c>
      <c r="B773" s="1">
        <v>42490</v>
      </c>
      <c r="C773" s="3">
        <v>7135</v>
      </c>
      <c r="D773" s="2">
        <v>5.5900001525878897</v>
      </c>
      <c r="E773" s="2">
        <v>5.5900001525878897</v>
      </c>
      <c r="F773" s="2">
        <v>0</v>
      </c>
      <c r="G773" s="2">
        <v>2.9900000095367401</v>
      </c>
      <c r="H773" s="2">
        <v>5.9999998658895499E-2</v>
      </c>
      <c r="I773" s="2">
        <v>2.53999996185303</v>
      </c>
      <c r="J773" s="2">
        <v>0</v>
      </c>
      <c r="K773" s="3">
        <v>27</v>
      </c>
      <c r="L773" s="3">
        <v>1</v>
      </c>
      <c r="M773" s="3">
        <v>131</v>
      </c>
      <c r="N773" s="3">
        <v>1281</v>
      </c>
      <c r="O773" s="3">
        <v>2408</v>
      </c>
      <c r="P773" t="str">
        <f t="shared" si="24"/>
        <v>Sat</v>
      </c>
      <c r="Q773" t="str">
        <f t="shared" si="25"/>
        <v>Lightly Active</v>
      </c>
    </row>
    <row r="774" spans="1:17">
      <c r="A774">
        <v>8053475328</v>
      </c>
      <c r="B774" s="1">
        <v>42482</v>
      </c>
      <c r="C774" s="3">
        <v>10520</v>
      </c>
      <c r="D774" s="2">
        <v>8.2899999618530291</v>
      </c>
      <c r="E774" s="2">
        <v>8.2899999618530291</v>
      </c>
      <c r="F774" s="2">
        <v>0</v>
      </c>
      <c r="G774" s="2">
        <v>6.2600002288818404</v>
      </c>
      <c r="H774" s="2">
        <v>0.15000000596046401</v>
      </c>
      <c r="I774" s="2">
        <v>1.87999999523163</v>
      </c>
      <c r="J774" s="2">
        <v>0</v>
      </c>
      <c r="K774" s="3">
        <v>60</v>
      </c>
      <c r="L774" s="3">
        <v>3</v>
      </c>
      <c r="M774" s="3">
        <v>117</v>
      </c>
      <c r="N774" s="3">
        <v>1260</v>
      </c>
      <c r="O774" s="3">
        <v>2655</v>
      </c>
      <c r="P774" t="str">
        <f t="shared" si="24"/>
        <v>Fri</v>
      </c>
      <c r="Q774" t="str">
        <f t="shared" si="25"/>
        <v>Vey Active</v>
      </c>
    </row>
    <row r="775" spans="1:17">
      <c r="A775">
        <v>8053475328</v>
      </c>
      <c r="B775" s="1">
        <v>42501</v>
      </c>
      <c r="C775" s="3">
        <v>12209</v>
      </c>
      <c r="D775" s="2">
        <v>9.3999996185302699</v>
      </c>
      <c r="E775" s="2">
        <v>9.3999996185302699</v>
      </c>
      <c r="F775" s="2">
        <v>0</v>
      </c>
      <c r="G775" s="2">
        <v>6.0799999237060502</v>
      </c>
      <c r="H775" s="2">
        <v>0.28000000119209301</v>
      </c>
      <c r="I775" s="2">
        <v>3.03999996185303</v>
      </c>
      <c r="J775" s="2">
        <v>0</v>
      </c>
      <c r="K775" s="3">
        <v>60</v>
      </c>
      <c r="L775" s="3">
        <v>7</v>
      </c>
      <c r="M775" s="3">
        <v>184</v>
      </c>
      <c r="N775" s="3">
        <v>1189</v>
      </c>
      <c r="O775" s="3">
        <v>2809</v>
      </c>
      <c r="P775" t="str">
        <f t="shared" si="24"/>
        <v>Wed</v>
      </c>
      <c r="Q775" t="str">
        <f t="shared" si="25"/>
        <v>Vey Active</v>
      </c>
    </row>
    <row r="776" spans="1:17">
      <c r="A776">
        <v>8053475328</v>
      </c>
      <c r="B776" s="1">
        <v>42489</v>
      </c>
      <c r="C776" s="3">
        <v>12315</v>
      </c>
      <c r="D776" s="2">
        <v>9.6499996185302699</v>
      </c>
      <c r="E776" s="2">
        <v>9.6499996185302699</v>
      </c>
      <c r="F776" s="2">
        <v>0</v>
      </c>
      <c r="G776" s="2">
        <v>6.1700000762939498</v>
      </c>
      <c r="H776" s="2">
        <v>0.31000000238418601</v>
      </c>
      <c r="I776" s="2">
        <v>3.1700000762939502</v>
      </c>
      <c r="J776" s="2">
        <v>0</v>
      </c>
      <c r="K776" s="3">
        <v>58</v>
      </c>
      <c r="L776" s="3">
        <v>8</v>
      </c>
      <c r="M776" s="3">
        <v>159</v>
      </c>
      <c r="N776" s="3">
        <v>1215</v>
      </c>
      <c r="O776" s="3">
        <v>2794</v>
      </c>
      <c r="P776" t="str">
        <f t="shared" si="24"/>
        <v>Fri</v>
      </c>
      <c r="Q776" t="str">
        <f t="shared" si="25"/>
        <v>Vey Active</v>
      </c>
    </row>
    <row r="777" spans="1:17">
      <c r="A777">
        <v>8053475328</v>
      </c>
      <c r="B777" s="1">
        <v>42487</v>
      </c>
      <c r="C777" s="3">
        <v>12422</v>
      </c>
      <c r="D777" s="2">
        <v>9.8199996948242205</v>
      </c>
      <c r="E777" s="2">
        <v>9.8199996948242205</v>
      </c>
      <c r="F777" s="2">
        <v>0</v>
      </c>
      <c r="G777" s="2">
        <v>6.46000003814697</v>
      </c>
      <c r="H777" s="2">
        <v>0.43000000715255698</v>
      </c>
      <c r="I777" s="2">
        <v>2.9300000667571999</v>
      </c>
      <c r="J777" s="2">
        <v>0</v>
      </c>
      <c r="K777" s="3">
        <v>60</v>
      </c>
      <c r="L777" s="3">
        <v>10</v>
      </c>
      <c r="M777" s="3">
        <v>183</v>
      </c>
      <c r="N777" s="3">
        <v>1187</v>
      </c>
      <c r="O777" s="3">
        <v>2852</v>
      </c>
      <c r="P777" t="str">
        <f t="shared" si="24"/>
        <v>Wed</v>
      </c>
      <c r="Q777" t="str">
        <f t="shared" si="25"/>
        <v>Vey Active</v>
      </c>
    </row>
    <row r="778" spans="1:17">
      <c r="A778">
        <v>8053475328</v>
      </c>
      <c r="B778" s="1">
        <v>42499</v>
      </c>
      <c r="C778" s="3">
        <v>12465</v>
      </c>
      <c r="D778" s="2">
        <v>9.3800001144409197</v>
      </c>
      <c r="E778" s="2">
        <v>9.3800001144409197</v>
      </c>
      <c r="F778" s="2">
        <v>0</v>
      </c>
      <c r="G778" s="2">
        <v>6.1199998855590803</v>
      </c>
      <c r="H778" s="2">
        <v>0.56999999284744296</v>
      </c>
      <c r="I778" s="2">
        <v>2.6900000572204599</v>
      </c>
      <c r="J778" s="2">
        <v>0</v>
      </c>
      <c r="K778" s="3">
        <v>66</v>
      </c>
      <c r="L778" s="3">
        <v>12</v>
      </c>
      <c r="M778" s="3">
        <v>148</v>
      </c>
      <c r="N778" s="3">
        <v>1214</v>
      </c>
      <c r="O778" s="3">
        <v>2765</v>
      </c>
      <c r="P778" t="str">
        <f t="shared" si="24"/>
        <v>Mon</v>
      </c>
      <c r="Q778" t="str">
        <f t="shared" si="25"/>
        <v>Vey Active</v>
      </c>
    </row>
    <row r="779" spans="1:17">
      <c r="A779">
        <v>8053475328</v>
      </c>
      <c r="B779" s="1">
        <v>42486</v>
      </c>
      <c r="C779" s="3">
        <v>12685</v>
      </c>
      <c r="D779" s="2">
        <v>9.6199998855590803</v>
      </c>
      <c r="E779" s="2">
        <v>9.6199998855590803</v>
      </c>
      <c r="F779" s="2">
        <v>0</v>
      </c>
      <c r="G779" s="2">
        <v>6.3099999427795401</v>
      </c>
      <c r="H779" s="2">
        <v>0.20000000298023199</v>
      </c>
      <c r="I779" s="2">
        <v>3.0999999046325701</v>
      </c>
      <c r="J779" s="2">
        <v>0</v>
      </c>
      <c r="K779" s="3">
        <v>68</v>
      </c>
      <c r="L779" s="3">
        <v>5</v>
      </c>
      <c r="M779" s="3">
        <v>185</v>
      </c>
      <c r="N779" s="3">
        <v>1182</v>
      </c>
      <c r="O779" s="3">
        <v>2846</v>
      </c>
      <c r="P779" t="str">
        <f t="shared" si="24"/>
        <v>Tue</v>
      </c>
      <c r="Q779" t="str">
        <f t="shared" si="25"/>
        <v>Vey Active</v>
      </c>
    </row>
    <row r="780" spans="1:17">
      <c r="A780">
        <v>8053475328</v>
      </c>
      <c r="B780" s="1">
        <v>42496</v>
      </c>
      <c r="C780" s="3">
        <v>13953</v>
      </c>
      <c r="D780" s="2">
        <v>11</v>
      </c>
      <c r="E780" s="2">
        <v>11</v>
      </c>
      <c r="F780" s="2">
        <v>0</v>
      </c>
      <c r="G780" s="2">
        <v>9.1000003814697301</v>
      </c>
      <c r="H780" s="2">
        <v>0.68999999761581399</v>
      </c>
      <c r="I780" s="2">
        <v>1.21000003814697</v>
      </c>
      <c r="J780" s="2">
        <v>0</v>
      </c>
      <c r="K780" s="3">
        <v>90</v>
      </c>
      <c r="L780" s="3">
        <v>15</v>
      </c>
      <c r="M780" s="3">
        <v>90</v>
      </c>
      <c r="N780" s="3">
        <v>1245</v>
      </c>
      <c r="O780" s="3">
        <v>2859</v>
      </c>
      <c r="P780" t="str">
        <f t="shared" si="24"/>
        <v>Fri</v>
      </c>
      <c r="Q780" t="str">
        <f t="shared" si="25"/>
        <v>Vey Active</v>
      </c>
    </row>
    <row r="781" spans="1:17">
      <c r="A781">
        <v>8053475328</v>
      </c>
      <c r="B781" s="1">
        <v>42476</v>
      </c>
      <c r="C781" s="3">
        <v>14549</v>
      </c>
      <c r="D781" s="2">
        <v>11.1099996566772</v>
      </c>
      <c r="E781" s="2">
        <v>11.1099996566772</v>
      </c>
      <c r="F781" s="2">
        <v>0</v>
      </c>
      <c r="G781" s="2">
        <v>9.3599996566772496</v>
      </c>
      <c r="H781" s="2">
        <v>0.270000010728836</v>
      </c>
      <c r="I781" s="2">
        <v>1.4900000095367401</v>
      </c>
      <c r="J781" s="2">
        <v>0</v>
      </c>
      <c r="K781" s="3">
        <v>96</v>
      </c>
      <c r="L781" s="3">
        <v>6</v>
      </c>
      <c r="M781" s="3">
        <v>83</v>
      </c>
      <c r="N781" s="3">
        <v>1255</v>
      </c>
      <c r="O781" s="3">
        <v>2867</v>
      </c>
      <c r="P781" t="str">
        <f t="shared" si="24"/>
        <v>Sat</v>
      </c>
      <c r="Q781" t="str">
        <f t="shared" si="25"/>
        <v>Vey Active</v>
      </c>
    </row>
    <row r="782" spans="1:17">
      <c r="A782">
        <v>8053475328</v>
      </c>
      <c r="B782" s="1">
        <v>42494</v>
      </c>
      <c r="C782" s="3">
        <v>14581</v>
      </c>
      <c r="D782" s="2">
        <v>11.1499996185303</v>
      </c>
      <c r="E782" s="2">
        <v>11.1499996185303</v>
      </c>
      <c r="F782" s="2">
        <v>0</v>
      </c>
      <c r="G782" s="2">
        <v>8.8199996948242205</v>
      </c>
      <c r="H782" s="2">
        <v>0.40000000596046398</v>
      </c>
      <c r="I782" s="2">
        <v>1.9099999666214</v>
      </c>
      <c r="J782" s="2">
        <v>0</v>
      </c>
      <c r="K782" s="3">
        <v>89</v>
      </c>
      <c r="L782" s="3">
        <v>8</v>
      </c>
      <c r="M782" s="3">
        <v>123</v>
      </c>
      <c r="N782" s="3">
        <v>1220</v>
      </c>
      <c r="O782" s="3">
        <v>2918</v>
      </c>
      <c r="P782" t="str">
        <f t="shared" si="24"/>
        <v>Wed</v>
      </c>
      <c r="Q782" t="str">
        <f t="shared" si="25"/>
        <v>Vey Active</v>
      </c>
    </row>
    <row r="783" spans="1:17">
      <c r="A783">
        <v>8053475328</v>
      </c>
      <c r="B783" s="1">
        <v>42500</v>
      </c>
      <c r="C783" s="3">
        <v>14810</v>
      </c>
      <c r="D783" s="2">
        <v>11.3599996566772</v>
      </c>
      <c r="E783" s="2">
        <v>11.3599996566772</v>
      </c>
      <c r="F783" s="2">
        <v>0</v>
      </c>
      <c r="G783" s="2">
        <v>9.0900001525878906</v>
      </c>
      <c r="H783" s="2">
        <v>0.41999998688697798</v>
      </c>
      <c r="I783" s="2">
        <v>1.8500000238418599</v>
      </c>
      <c r="J783" s="2">
        <v>0</v>
      </c>
      <c r="K783" s="3">
        <v>96</v>
      </c>
      <c r="L783" s="3">
        <v>10</v>
      </c>
      <c r="M783" s="3">
        <v>115</v>
      </c>
      <c r="N783" s="3">
        <v>1219</v>
      </c>
      <c r="O783" s="3">
        <v>2926</v>
      </c>
      <c r="P783" t="str">
        <f t="shared" si="24"/>
        <v>Tue</v>
      </c>
      <c r="Q783" t="str">
        <f t="shared" si="25"/>
        <v>Vey Active</v>
      </c>
    </row>
    <row r="784" spans="1:17">
      <c r="A784">
        <v>8053475328</v>
      </c>
      <c r="B784" s="1">
        <v>42495</v>
      </c>
      <c r="C784" s="3">
        <v>14990</v>
      </c>
      <c r="D784" s="2">
        <v>11.5100002288818</v>
      </c>
      <c r="E784" s="2">
        <v>11.5100002288818</v>
      </c>
      <c r="F784" s="2">
        <v>0</v>
      </c>
      <c r="G784" s="2">
        <v>8.8500003814697301</v>
      </c>
      <c r="H784" s="2">
        <v>0.44999998807907099</v>
      </c>
      <c r="I784" s="2">
        <v>2.21000003814697</v>
      </c>
      <c r="J784" s="2">
        <v>0</v>
      </c>
      <c r="K784" s="3">
        <v>93</v>
      </c>
      <c r="L784" s="3">
        <v>9</v>
      </c>
      <c r="M784" s="3">
        <v>130</v>
      </c>
      <c r="N784" s="3">
        <v>1208</v>
      </c>
      <c r="O784" s="3">
        <v>2950</v>
      </c>
      <c r="P784" t="str">
        <f t="shared" si="24"/>
        <v>Thu</v>
      </c>
      <c r="Q784" t="str">
        <f t="shared" si="25"/>
        <v>Vey Active</v>
      </c>
    </row>
    <row r="785" spans="1:17">
      <c r="A785">
        <v>8053475328</v>
      </c>
      <c r="B785" s="1">
        <v>42480</v>
      </c>
      <c r="C785" s="3">
        <v>15108</v>
      </c>
      <c r="D785" s="2">
        <v>12.189999580383301</v>
      </c>
      <c r="E785" s="2">
        <v>12.189999580383301</v>
      </c>
      <c r="F785" s="2">
        <v>0</v>
      </c>
      <c r="G785" s="2">
        <v>9.5799999237060494</v>
      </c>
      <c r="H785" s="2">
        <v>0.230000004172325</v>
      </c>
      <c r="I785" s="2">
        <v>2.3800001144409202</v>
      </c>
      <c r="J785" s="2">
        <v>0</v>
      </c>
      <c r="K785" s="3">
        <v>89</v>
      </c>
      <c r="L785" s="3">
        <v>5</v>
      </c>
      <c r="M785" s="3">
        <v>158</v>
      </c>
      <c r="N785" s="3">
        <v>695</v>
      </c>
      <c r="O785" s="3">
        <v>3043</v>
      </c>
      <c r="P785" t="str">
        <f t="shared" si="24"/>
        <v>Wed</v>
      </c>
      <c r="Q785" t="str">
        <f t="shared" si="25"/>
        <v>Vey Active</v>
      </c>
    </row>
    <row r="786" spans="1:17">
      <c r="A786">
        <v>8053475328</v>
      </c>
      <c r="B786" s="1">
        <v>42488</v>
      </c>
      <c r="C786" s="3">
        <v>15447</v>
      </c>
      <c r="D786" s="2">
        <v>12.3999996185303</v>
      </c>
      <c r="E786" s="2">
        <v>12.3999996185303</v>
      </c>
      <c r="F786" s="2">
        <v>0</v>
      </c>
      <c r="G786" s="2">
        <v>9.6700000762939506</v>
      </c>
      <c r="H786" s="2">
        <v>0.38999998569488498</v>
      </c>
      <c r="I786" s="2">
        <v>2.3499999046325701</v>
      </c>
      <c r="J786" s="2">
        <v>0</v>
      </c>
      <c r="K786" s="3">
        <v>90</v>
      </c>
      <c r="L786" s="3">
        <v>9</v>
      </c>
      <c r="M786" s="3">
        <v>153</v>
      </c>
      <c r="N786" s="3">
        <v>1188</v>
      </c>
      <c r="O786" s="3">
        <v>3062</v>
      </c>
      <c r="P786" t="str">
        <f t="shared" si="24"/>
        <v>Thu</v>
      </c>
      <c r="Q786" t="str">
        <f t="shared" si="25"/>
        <v>Vey Active</v>
      </c>
    </row>
    <row r="787" spans="1:17">
      <c r="A787">
        <v>8053475328</v>
      </c>
      <c r="B787" s="1">
        <v>42493</v>
      </c>
      <c r="C787" s="3">
        <v>15484</v>
      </c>
      <c r="D787" s="2">
        <v>11.8999996185303</v>
      </c>
      <c r="E787" s="2">
        <v>11.8999996185303</v>
      </c>
      <c r="F787" s="2">
        <v>0</v>
      </c>
      <c r="G787" s="2">
        <v>8.3900003433227504</v>
      </c>
      <c r="H787" s="2">
        <v>0.93000000715255704</v>
      </c>
      <c r="I787" s="2">
        <v>2.5899999141693102</v>
      </c>
      <c r="J787" s="2">
        <v>0</v>
      </c>
      <c r="K787" s="3">
        <v>87</v>
      </c>
      <c r="L787" s="3">
        <v>22</v>
      </c>
      <c r="M787" s="3">
        <v>165</v>
      </c>
      <c r="N787" s="3">
        <v>1166</v>
      </c>
      <c r="O787" s="3">
        <v>3023</v>
      </c>
      <c r="P787" t="str">
        <f t="shared" si="24"/>
        <v>Tue</v>
      </c>
      <c r="Q787" t="str">
        <f t="shared" si="25"/>
        <v>Vey Active</v>
      </c>
    </row>
    <row r="788" spans="1:17">
      <c r="A788">
        <v>8053475328</v>
      </c>
      <c r="B788" s="1">
        <v>42479</v>
      </c>
      <c r="C788" s="3">
        <v>15929</v>
      </c>
      <c r="D788" s="2">
        <v>12.4799995422363</v>
      </c>
      <c r="E788" s="2">
        <v>12.4799995422363</v>
      </c>
      <c r="F788" s="2">
        <v>0</v>
      </c>
      <c r="G788" s="2">
        <v>9.2200002670288104</v>
      </c>
      <c r="H788" s="2">
        <v>0.31000000238418601</v>
      </c>
      <c r="I788" s="2">
        <v>2.9500000476837198</v>
      </c>
      <c r="J788" s="2">
        <v>0</v>
      </c>
      <c r="K788" s="3">
        <v>90</v>
      </c>
      <c r="L788" s="3">
        <v>7</v>
      </c>
      <c r="M788" s="3">
        <v>191</v>
      </c>
      <c r="N788" s="3">
        <v>1152</v>
      </c>
      <c r="O788" s="3">
        <v>3114</v>
      </c>
      <c r="P788" t="str">
        <f t="shared" si="24"/>
        <v>Tue</v>
      </c>
      <c r="Q788" t="str">
        <f t="shared" si="25"/>
        <v>Vey Active</v>
      </c>
    </row>
    <row r="789" spans="1:17">
      <c r="A789">
        <v>8053475328</v>
      </c>
      <c r="B789" s="1">
        <v>42481</v>
      </c>
      <c r="C789" s="3">
        <v>16057</v>
      </c>
      <c r="D789" s="2">
        <v>12.5100002288818</v>
      </c>
      <c r="E789" s="2">
        <v>12.5100002288818</v>
      </c>
      <c r="F789" s="2">
        <v>0</v>
      </c>
      <c r="G789" s="2">
        <v>9.6700000762939506</v>
      </c>
      <c r="H789" s="2">
        <v>0.25</v>
      </c>
      <c r="I789" s="2">
        <v>2.5799999237060498</v>
      </c>
      <c r="J789" s="2">
        <v>0</v>
      </c>
      <c r="K789" s="3">
        <v>100</v>
      </c>
      <c r="L789" s="3">
        <v>6</v>
      </c>
      <c r="M789" s="3">
        <v>170</v>
      </c>
      <c r="N789" s="3">
        <v>1164</v>
      </c>
      <c r="O789" s="3">
        <v>3103</v>
      </c>
      <c r="P789" t="str">
        <f t="shared" si="24"/>
        <v>Thu</v>
      </c>
      <c r="Q789" t="str">
        <f t="shared" si="25"/>
        <v>Vey Active</v>
      </c>
    </row>
    <row r="790" spans="1:17">
      <c r="A790">
        <v>8053475328</v>
      </c>
      <c r="B790" s="1">
        <v>42473</v>
      </c>
      <c r="C790" s="3">
        <v>16433</v>
      </c>
      <c r="D790" s="2">
        <v>13.3500003814697</v>
      </c>
      <c r="E790" s="2">
        <v>13.3500003814697</v>
      </c>
      <c r="F790" s="2">
        <v>0</v>
      </c>
      <c r="G790" s="2">
        <v>10.430000305175801</v>
      </c>
      <c r="H790" s="2">
        <v>0.46999999880790699</v>
      </c>
      <c r="I790" s="2">
        <v>2.4500000476837198</v>
      </c>
      <c r="J790" s="2">
        <v>0</v>
      </c>
      <c r="K790" s="3">
        <v>95</v>
      </c>
      <c r="L790" s="3">
        <v>12</v>
      </c>
      <c r="M790" s="3">
        <v>156</v>
      </c>
      <c r="N790" s="3">
        <v>1177</v>
      </c>
      <c r="O790" s="3">
        <v>3140</v>
      </c>
      <c r="P790" t="str">
        <f t="shared" si="24"/>
        <v>Wed</v>
      </c>
      <c r="Q790" t="str">
        <f t="shared" si="25"/>
        <v>Vey Active</v>
      </c>
    </row>
    <row r="791" spans="1:17">
      <c r="A791">
        <v>8053475328</v>
      </c>
      <c r="B791" s="1">
        <v>42478</v>
      </c>
      <c r="C791" s="3">
        <v>17076</v>
      </c>
      <c r="D791" s="2">
        <v>12.6599998474121</v>
      </c>
      <c r="E791" s="2">
        <v>12.6599998474121</v>
      </c>
      <c r="F791" s="2">
        <v>0</v>
      </c>
      <c r="G791" s="2">
        <v>9.0799999237060494</v>
      </c>
      <c r="H791" s="2">
        <v>0.230000004172325</v>
      </c>
      <c r="I791" s="2">
        <v>3.3499999046325701</v>
      </c>
      <c r="J791" s="2">
        <v>0</v>
      </c>
      <c r="K791" s="3">
        <v>102</v>
      </c>
      <c r="L791" s="3">
        <v>6</v>
      </c>
      <c r="M791" s="3">
        <v>195</v>
      </c>
      <c r="N791" s="3">
        <v>1137</v>
      </c>
      <c r="O791" s="3">
        <v>3133</v>
      </c>
      <c r="P791" t="str">
        <f t="shared" si="24"/>
        <v>Mon</v>
      </c>
      <c r="Q791" t="str">
        <f t="shared" si="25"/>
        <v>Vey Active</v>
      </c>
    </row>
    <row r="792" spans="1:17">
      <c r="A792">
        <v>8053475328</v>
      </c>
      <c r="B792" s="1">
        <v>42472</v>
      </c>
      <c r="C792" s="3">
        <v>18060</v>
      </c>
      <c r="D792" s="2">
        <v>14.1199998855591</v>
      </c>
      <c r="E792" s="2">
        <v>14.1199998855591</v>
      </c>
      <c r="F792" s="2">
        <v>0</v>
      </c>
      <c r="G792" s="2">
        <v>11.6400003433228</v>
      </c>
      <c r="H792" s="2">
        <v>0.38999998569488498</v>
      </c>
      <c r="I792" s="2">
        <v>2.0999999046325701</v>
      </c>
      <c r="J792" s="2">
        <v>0</v>
      </c>
      <c r="K792" s="3">
        <v>116</v>
      </c>
      <c r="L792" s="3">
        <v>8</v>
      </c>
      <c r="M792" s="3">
        <v>123</v>
      </c>
      <c r="N792" s="3">
        <v>1193</v>
      </c>
      <c r="O792" s="3">
        <v>3186</v>
      </c>
      <c r="P792" t="str">
        <f t="shared" si="24"/>
        <v>Tue</v>
      </c>
      <c r="Q792" t="str">
        <f t="shared" si="25"/>
        <v>Vey Active</v>
      </c>
    </row>
    <row r="793" spans="1:17">
      <c r="A793">
        <v>8053475328</v>
      </c>
      <c r="B793" s="1">
        <v>42477</v>
      </c>
      <c r="C793" s="3">
        <v>18827</v>
      </c>
      <c r="D793" s="2">
        <v>13.689999580383301</v>
      </c>
      <c r="E793" s="2">
        <v>13.689999580383301</v>
      </c>
      <c r="F793" s="2">
        <v>0</v>
      </c>
      <c r="G793" s="2">
        <v>9.2399997711181605</v>
      </c>
      <c r="H793" s="2">
        <v>0.80000001192092896</v>
      </c>
      <c r="I793" s="2">
        <v>3.6400001049041699</v>
      </c>
      <c r="J793" s="2">
        <v>0</v>
      </c>
      <c r="K793" s="3">
        <v>111</v>
      </c>
      <c r="L793" s="3">
        <v>21</v>
      </c>
      <c r="M793" s="3">
        <v>195</v>
      </c>
      <c r="N793" s="3">
        <v>1113</v>
      </c>
      <c r="O793" s="3">
        <v>3213</v>
      </c>
      <c r="P793" t="str">
        <f t="shared" si="24"/>
        <v>Sun</v>
      </c>
      <c r="Q793" t="str">
        <f t="shared" si="25"/>
        <v>Vey Active</v>
      </c>
    </row>
    <row r="794" spans="1:17">
      <c r="A794">
        <v>8053475328</v>
      </c>
      <c r="B794" s="1">
        <v>42497</v>
      </c>
      <c r="C794" s="3">
        <v>19769</v>
      </c>
      <c r="D794" s="2">
        <v>15.670000076293899</v>
      </c>
      <c r="E794" s="2">
        <v>15.670000076293899</v>
      </c>
      <c r="F794" s="2">
        <v>0</v>
      </c>
      <c r="G794" s="2">
        <v>12.439999580383301</v>
      </c>
      <c r="H794" s="2">
        <v>0.87999999523162797</v>
      </c>
      <c r="I794" s="2">
        <v>2.3499999046325701</v>
      </c>
      <c r="J794" s="2">
        <v>0</v>
      </c>
      <c r="K794" s="3">
        <v>121</v>
      </c>
      <c r="L794" s="3">
        <v>20</v>
      </c>
      <c r="M794" s="3">
        <v>148</v>
      </c>
      <c r="N794" s="3">
        <v>1076</v>
      </c>
      <c r="O794" s="3">
        <v>3331</v>
      </c>
      <c r="P794" t="str">
        <f t="shared" si="24"/>
        <v>Sat</v>
      </c>
      <c r="Q794" t="str">
        <f t="shared" si="25"/>
        <v>Vey Active</v>
      </c>
    </row>
    <row r="795" spans="1:17">
      <c r="A795">
        <v>8053475328</v>
      </c>
      <c r="B795" s="1">
        <v>42474</v>
      </c>
      <c r="C795" s="3">
        <v>20159</v>
      </c>
      <c r="D795" s="2">
        <v>15.9700002670288</v>
      </c>
      <c r="E795" s="2">
        <v>15.9700002670288</v>
      </c>
      <c r="F795" s="2">
        <v>0</v>
      </c>
      <c r="G795" s="2">
        <v>12.3400001525879</v>
      </c>
      <c r="H795" s="2">
        <v>0.20999999344348899</v>
      </c>
      <c r="I795" s="2">
        <v>3.3599998950958301</v>
      </c>
      <c r="J795" s="2">
        <v>0</v>
      </c>
      <c r="K795" s="3">
        <v>119</v>
      </c>
      <c r="L795" s="3">
        <v>5</v>
      </c>
      <c r="M795" s="3">
        <v>193</v>
      </c>
      <c r="N795" s="3">
        <v>1123</v>
      </c>
      <c r="O795" s="3">
        <v>3411</v>
      </c>
      <c r="P795" t="str">
        <f t="shared" si="24"/>
        <v>Thu</v>
      </c>
      <c r="Q795" t="str">
        <f t="shared" si="25"/>
        <v>Vey Active</v>
      </c>
    </row>
    <row r="796" spans="1:17">
      <c r="A796">
        <v>8053475328</v>
      </c>
      <c r="B796" s="1">
        <v>42485</v>
      </c>
      <c r="C796" s="3">
        <v>20500</v>
      </c>
      <c r="D796" s="2">
        <v>15.689999580383301</v>
      </c>
      <c r="E796" s="2">
        <v>15.689999580383301</v>
      </c>
      <c r="F796" s="2">
        <v>0</v>
      </c>
      <c r="G796" s="2">
        <v>11.3699998855591</v>
      </c>
      <c r="H796" s="2">
        <v>0.46000000834464999</v>
      </c>
      <c r="I796" s="2">
        <v>3.8599998950958301</v>
      </c>
      <c r="J796" s="2">
        <v>0</v>
      </c>
      <c r="K796" s="3">
        <v>118</v>
      </c>
      <c r="L796" s="3">
        <v>9</v>
      </c>
      <c r="M796" s="3">
        <v>209</v>
      </c>
      <c r="N796" s="3">
        <v>1104</v>
      </c>
      <c r="O796" s="3">
        <v>3403</v>
      </c>
      <c r="P796" t="str">
        <f t="shared" si="24"/>
        <v>Mon</v>
      </c>
      <c r="Q796" t="str">
        <f t="shared" si="25"/>
        <v>Vey Active</v>
      </c>
    </row>
    <row r="797" spans="1:17">
      <c r="A797">
        <v>8053475328</v>
      </c>
      <c r="B797" s="1">
        <v>42475</v>
      </c>
      <c r="C797" s="3">
        <v>20669</v>
      </c>
      <c r="D797" s="2">
        <v>16.2399997711182</v>
      </c>
      <c r="E797" s="2">
        <v>16.2399997711182</v>
      </c>
      <c r="F797" s="2">
        <v>0</v>
      </c>
      <c r="G797" s="2">
        <v>13.2600002288818</v>
      </c>
      <c r="H797" s="2">
        <v>0.38999998569488498</v>
      </c>
      <c r="I797" s="2">
        <v>2.5899999141693102</v>
      </c>
      <c r="J797" s="2">
        <v>0</v>
      </c>
      <c r="K797" s="3">
        <v>132</v>
      </c>
      <c r="L797" s="3">
        <v>8</v>
      </c>
      <c r="M797" s="3">
        <v>158</v>
      </c>
      <c r="N797" s="3">
        <v>1142</v>
      </c>
      <c r="O797" s="3">
        <v>3410</v>
      </c>
      <c r="P797" t="str">
        <f t="shared" si="24"/>
        <v>Fri</v>
      </c>
      <c r="Q797" t="str">
        <f t="shared" si="25"/>
        <v>Vey Active</v>
      </c>
    </row>
    <row r="798" spans="1:17">
      <c r="A798">
        <v>8053475328</v>
      </c>
      <c r="B798" s="1">
        <v>42498</v>
      </c>
      <c r="C798" s="3">
        <v>22026</v>
      </c>
      <c r="D798" s="2">
        <v>17.649999618530298</v>
      </c>
      <c r="E798" s="2">
        <v>17.649999618530298</v>
      </c>
      <c r="F798" s="2">
        <v>0</v>
      </c>
      <c r="G798" s="2">
        <v>13.3999996185303</v>
      </c>
      <c r="H798" s="2">
        <v>0.58999997377395597</v>
      </c>
      <c r="I798" s="2">
        <v>3.6600000858306898</v>
      </c>
      <c r="J798" s="2">
        <v>0</v>
      </c>
      <c r="K798" s="3">
        <v>125</v>
      </c>
      <c r="L798" s="3">
        <v>14</v>
      </c>
      <c r="M798" s="3">
        <v>228</v>
      </c>
      <c r="N798" s="3">
        <v>1073</v>
      </c>
      <c r="O798" s="3">
        <v>3589</v>
      </c>
      <c r="P798" t="str">
        <f t="shared" si="24"/>
        <v>Sun</v>
      </c>
      <c r="Q798" t="str">
        <f t="shared" si="25"/>
        <v>Vey Active</v>
      </c>
    </row>
    <row r="799" spans="1:17">
      <c r="A799">
        <v>8053475328</v>
      </c>
      <c r="B799" s="1">
        <v>42483</v>
      </c>
      <c r="C799" s="3">
        <v>22359</v>
      </c>
      <c r="D799" s="2">
        <v>17.190000534057599</v>
      </c>
      <c r="E799" s="2">
        <v>17.190000534057599</v>
      </c>
      <c r="F799" s="2">
        <v>0</v>
      </c>
      <c r="G799" s="2">
        <v>12.539999961853001</v>
      </c>
      <c r="H799" s="2">
        <v>0.62999999523162797</v>
      </c>
      <c r="I799" s="2">
        <v>4.0199999809265101</v>
      </c>
      <c r="J799" s="2">
        <v>0</v>
      </c>
      <c r="K799" s="3">
        <v>125</v>
      </c>
      <c r="L799" s="3">
        <v>14</v>
      </c>
      <c r="M799" s="3">
        <v>223</v>
      </c>
      <c r="N799" s="3">
        <v>741</v>
      </c>
      <c r="O799" s="3">
        <v>3554</v>
      </c>
      <c r="P799" t="str">
        <f t="shared" si="24"/>
        <v>Sat</v>
      </c>
      <c r="Q799" t="str">
        <f t="shared" si="25"/>
        <v>Vey Active</v>
      </c>
    </row>
    <row r="800" spans="1:17">
      <c r="A800">
        <v>8053475328</v>
      </c>
      <c r="B800" s="1">
        <v>42484</v>
      </c>
      <c r="C800" s="3">
        <v>22988</v>
      </c>
      <c r="D800" s="2">
        <v>17.950000762939499</v>
      </c>
      <c r="E800" s="2">
        <v>17.950000762939499</v>
      </c>
      <c r="F800" s="2">
        <v>0</v>
      </c>
      <c r="G800" s="2">
        <v>13.1300001144409</v>
      </c>
      <c r="H800" s="2">
        <v>1.54999995231628</v>
      </c>
      <c r="I800" s="2">
        <v>3.2599999904632599</v>
      </c>
      <c r="J800" s="2">
        <v>0</v>
      </c>
      <c r="K800" s="3">
        <v>129</v>
      </c>
      <c r="L800" s="3">
        <v>33</v>
      </c>
      <c r="M800" s="3">
        <v>182</v>
      </c>
      <c r="N800" s="3">
        <v>1096</v>
      </c>
      <c r="O800" s="3">
        <v>3577</v>
      </c>
      <c r="P800" t="str">
        <f t="shared" si="24"/>
        <v>Sun</v>
      </c>
      <c r="Q800" t="str">
        <f t="shared" si="25"/>
        <v>Vey Active</v>
      </c>
    </row>
    <row r="801" spans="1:17">
      <c r="A801">
        <v>8253242879</v>
      </c>
      <c r="B801" s="1">
        <v>42490</v>
      </c>
      <c r="C801" s="3">
        <v>0</v>
      </c>
      <c r="D801" s="2">
        <v>0</v>
      </c>
      <c r="E801" s="2">
        <v>0</v>
      </c>
      <c r="F801" s="2">
        <v>0</v>
      </c>
      <c r="G801" s="2">
        <v>0</v>
      </c>
      <c r="H801" s="2">
        <v>0</v>
      </c>
      <c r="I801" s="2">
        <v>0</v>
      </c>
      <c r="J801" s="2">
        <v>0</v>
      </c>
      <c r="K801" s="3">
        <v>0</v>
      </c>
      <c r="L801" s="3">
        <v>0</v>
      </c>
      <c r="M801" s="3">
        <v>0</v>
      </c>
      <c r="N801" s="3">
        <v>1440</v>
      </c>
      <c r="O801" s="3">
        <v>0</v>
      </c>
      <c r="P801" t="str">
        <f t="shared" si="24"/>
        <v>Sat</v>
      </c>
      <c r="Q801" t="str">
        <f t="shared" si="25"/>
        <v>Sedentary</v>
      </c>
    </row>
    <row r="802" spans="1:17">
      <c r="A802">
        <v>8253242879</v>
      </c>
      <c r="B802" s="1">
        <v>42475</v>
      </c>
      <c r="C802" s="3">
        <v>2672</v>
      </c>
      <c r="D802" s="2">
        <v>1.7699999809265099</v>
      </c>
      <c r="E802" s="2">
        <v>1.7699999809265099</v>
      </c>
      <c r="F802" s="2">
        <v>0</v>
      </c>
      <c r="G802" s="2">
        <v>0</v>
      </c>
      <c r="H802" s="2">
        <v>0</v>
      </c>
      <c r="I802" s="2">
        <v>1.7599999904632599</v>
      </c>
      <c r="J802" s="2">
        <v>0</v>
      </c>
      <c r="K802" s="3">
        <v>0</v>
      </c>
      <c r="L802" s="3">
        <v>0</v>
      </c>
      <c r="M802" s="3">
        <v>105</v>
      </c>
      <c r="N802" s="3">
        <v>1335</v>
      </c>
      <c r="O802" s="3">
        <v>1632</v>
      </c>
      <c r="P802" t="str">
        <f t="shared" si="24"/>
        <v>Fri</v>
      </c>
      <c r="Q802" t="str">
        <f t="shared" si="25"/>
        <v>Sedentary</v>
      </c>
    </row>
    <row r="803" spans="1:17">
      <c r="A803">
        <v>8253242879</v>
      </c>
      <c r="B803" s="1">
        <v>42488</v>
      </c>
      <c r="C803" s="3">
        <v>2718</v>
      </c>
      <c r="D803" s="2">
        <v>1.79999995231628</v>
      </c>
      <c r="E803" s="2">
        <v>1.79999995231628</v>
      </c>
      <c r="F803" s="2">
        <v>0</v>
      </c>
      <c r="G803" s="2">
        <v>0.67000001668930098</v>
      </c>
      <c r="H803" s="2">
        <v>0.77999997138977095</v>
      </c>
      <c r="I803" s="2">
        <v>0.34000000357627902</v>
      </c>
      <c r="J803" s="2">
        <v>0</v>
      </c>
      <c r="K803" s="3">
        <v>11</v>
      </c>
      <c r="L803" s="3">
        <v>16</v>
      </c>
      <c r="M803" s="3">
        <v>20</v>
      </c>
      <c r="N803" s="3">
        <v>1393</v>
      </c>
      <c r="O803" s="3">
        <v>1580</v>
      </c>
      <c r="P803" t="str">
        <f t="shared" si="24"/>
        <v>Thu</v>
      </c>
      <c r="Q803" t="str">
        <f t="shared" si="25"/>
        <v>Sedentary</v>
      </c>
    </row>
    <row r="804" spans="1:17">
      <c r="A804">
        <v>8253242879</v>
      </c>
      <c r="B804" s="1">
        <v>42482</v>
      </c>
      <c r="C804" s="3">
        <v>2824</v>
      </c>
      <c r="D804" s="2">
        <v>1.87000000476837</v>
      </c>
      <c r="E804" s="2">
        <v>1.87000000476837</v>
      </c>
      <c r="F804" s="2">
        <v>0</v>
      </c>
      <c r="G804" s="2">
        <v>0</v>
      </c>
      <c r="H804" s="2">
        <v>0</v>
      </c>
      <c r="I804" s="2">
        <v>1.87000000476837</v>
      </c>
      <c r="J804" s="2">
        <v>0</v>
      </c>
      <c r="K804" s="3">
        <v>0</v>
      </c>
      <c r="L804" s="3">
        <v>0</v>
      </c>
      <c r="M804" s="3">
        <v>120</v>
      </c>
      <c r="N804" s="3">
        <v>1320</v>
      </c>
      <c r="O804" s="3">
        <v>1651</v>
      </c>
      <c r="P804" t="str">
        <f t="shared" si="24"/>
        <v>Fri</v>
      </c>
      <c r="Q804" t="str">
        <f t="shared" si="25"/>
        <v>Sedentary</v>
      </c>
    </row>
    <row r="805" spans="1:17">
      <c r="A805">
        <v>8253242879</v>
      </c>
      <c r="B805" s="1">
        <v>42479</v>
      </c>
      <c r="C805" s="3">
        <v>4212</v>
      </c>
      <c r="D805" s="2">
        <v>2.7799999713897701</v>
      </c>
      <c r="E805" s="2">
        <v>2.7799999713897701</v>
      </c>
      <c r="F805" s="2">
        <v>0</v>
      </c>
      <c r="G805" s="2">
        <v>0</v>
      </c>
      <c r="H805" s="2">
        <v>0</v>
      </c>
      <c r="I805" s="2">
        <v>2.7799999713897701</v>
      </c>
      <c r="J805" s="2">
        <v>0</v>
      </c>
      <c r="K805" s="3">
        <v>0</v>
      </c>
      <c r="L805" s="3">
        <v>0</v>
      </c>
      <c r="M805" s="3">
        <v>164</v>
      </c>
      <c r="N805" s="3">
        <v>1276</v>
      </c>
      <c r="O805" s="3">
        <v>1763</v>
      </c>
      <c r="P805" t="str">
        <f t="shared" si="24"/>
        <v>Tue</v>
      </c>
      <c r="Q805" t="str">
        <f t="shared" si="25"/>
        <v>Sedentary</v>
      </c>
    </row>
    <row r="806" spans="1:17">
      <c r="A806">
        <v>8253242879</v>
      </c>
      <c r="B806" s="1">
        <v>42486</v>
      </c>
      <c r="C806" s="3">
        <v>4562</v>
      </c>
      <c r="D806" s="2">
        <v>3.03999996185303</v>
      </c>
      <c r="E806" s="2">
        <v>3.03999996185303</v>
      </c>
      <c r="F806" s="2">
        <v>0</v>
      </c>
      <c r="G806" s="2">
        <v>1.1799999475479099</v>
      </c>
      <c r="H806" s="2">
        <v>0.490000009536743</v>
      </c>
      <c r="I806" s="2">
        <v>1.37000000476837</v>
      </c>
      <c r="J806" s="2">
        <v>0</v>
      </c>
      <c r="K806" s="3">
        <v>19</v>
      </c>
      <c r="L806" s="3">
        <v>14</v>
      </c>
      <c r="M806" s="3">
        <v>108</v>
      </c>
      <c r="N806" s="3">
        <v>1299</v>
      </c>
      <c r="O806" s="3">
        <v>1813</v>
      </c>
      <c r="P806" t="str">
        <f t="shared" si="24"/>
        <v>Tue</v>
      </c>
      <c r="Q806" t="str">
        <f t="shared" si="25"/>
        <v>Sedentary</v>
      </c>
    </row>
    <row r="807" spans="1:17">
      <c r="A807">
        <v>8253242879</v>
      </c>
      <c r="B807" s="1">
        <v>42478</v>
      </c>
      <c r="C807" s="3">
        <v>5151</v>
      </c>
      <c r="D807" s="2">
        <v>3.4800000190734899</v>
      </c>
      <c r="E807" s="2">
        <v>3.4800000190734899</v>
      </c>
      <c r="F807" s="2">
        <v>0</v>
      </c>
      <c r="G807" s="2">
        <v>1.03999996185303</v>
      </c>
      <c r="H807" s="2">
        <v>0.62999999523162797</v>
      </c>
      <c r="I807" s="2">
        <v>1.79999995231628</v>
      </c>
      <c r="J807" s="2">
        <v>0</v>
      </c>
      <c r="K807" s="3">
        <v>16</v>
      </c>
      <c r="L807" s="3">
        <v>16</v>
      </c>
      <c r="M807" s="3">
        <v>130</v>
      </c>
      <c r="N807" s="3">
        <v>1278</v>
      </c>
      <c r="O807" s="3">
        <v>1829</v>
      </c>
      <c r="P807" t="str">
        <f t="shared" si="24"/>
        <v>Mon</v>
      </c>
      <c r="Q807" t="str">
        <f t="shared" si="25"/>
        <v>Lightly Active</v>
      </c>
    </row>
    <row r="808" spans="1:17">
      <c r="A808">
        <v>8253242879</v>
      </c>
      <c r="B808" s="1">
        <v>42474</v>
      </c>
      <c r="C808" s="3">
        <v>5234</v>
      </c>
      <c r="D808" s="2">
        <v>3.46000003814697</v>
      </c>
      <c r="E808" s="2">
        <v>3.46000003814697</v>
      </c>
      <c r="F808" s="2">
        <v>0</v>
      </c>
      <c r="G808" s="2">
        <v>1.9299999475479099</v>
      </c>
      <c r="H808" s="2">
        <v>0.99000000953674305</v>
      </c>
      <c r="I808" s="2">
        <v>0.54000002145767201</v>
      </c>
      <c r="J808" s="2">
        <v>0</v>
      </c>
      <c r="K808" s="3">
        <v>29</v>
      </c>
      <c r="L808" s="3">
        <v>16</v>
      </c>
      <c r="M808" s="3">
        <v>33</v>
      </c>
      <c r="N808" s="3">
        <v>1362</v>
      </c>
      <c r="O808" s="3">
        <v>1705</v>
      </c>
      <c r="P808" t="str">
        <f t="shared" si="24"/>
        <v>Thu</v>
      </c>
      <c r="Q808" t="str">
        <f t="shared" si="25"/>
        <v>Lightly Active</v>
      </c>
    </row>
    <row r="809" spans="1:17">
      <c r="A809">
        <v>8253242879</v>
      </c>
      <c r="B809" s="1">
        <v>42489</v>
      </c>
      <c r="C809" s="3">
        <v>6260</v>
      </c>
      <c r="D809" s="2">
        <v>4.2600002288818404</v>
      </c>
      <c r="E809" s="2">
        <v>4.2600002288818404</v>
      </c>
      <c r="F809" s="2">
        <v>0</v>
      </c>
      <c r="G809" s="2">
        <v>1.28999996185303</v>
      </c>
      <c r="H809" s="2">
        <v>0.54000002145767201</v>
      </c>
      <c r="I809" s="2">
        <v>2.4000000953674299</v>
      </c>
      <c r="J809" s="2">
        <v>0</v>
      </c>
      <c r="K809" s="3">
        <v>16</v>
      </c>
      <c r="L809" s="3">
        <v>14</v>
      </c>
      <c r="M809" s="3">
        <v>136</v>
      </c>
      <c r="N809" s="3">
        <v>1257</v>
      </c>
      <c r="O809" s="3">
        <v>1854</v>
      </c>
      <c r="P809" t="str">
        <f t="shared" si="24"/>
        <v>Fri</v>
      </c>
      <c r="Q809" t="str">
        <f t="shared" si="25"/>
        <v>Lightly Active</v>
      </c>
    </row>
    <row r="810" spans="1:17">
      <c r="A810">
        <v>8253242879</v>
      </c>
      <c r="B810" s="1">
        <v>42480</v>
      </c>
      <c r="C810" s="3">
        <v>6466</v>
      </c>
      <c r="D810" s="2">
        <v>4.2699999809265101</v>
      </c>
      <c r="E810" s="2">
        <v>4.2699999809265101</v>
      </c>
      <c r="F810" s="2">
        <v>0</v>
      </c>
      <c r="G810" s="2">
        <v>0.33000001311302202</v>
      </c>
      <c r="H810" s="2">
        <v>0.81999999284744296</v>
      </c>
      <c r="I810" s="2">
        <v>3.1099998950958301</v>
      </c>
      <c r="J810" s="2">
        <v>9.9999997764825804E-3</v>
      </c>
      <c r="K810" s="3">
        <v>5</v>
      </c>
      <c r="L810" s="3">
        <v>18</v>
      </c>
      <c r="M810" s="3">
        <v>216</v>
      </c>
      <c r="N810" s="3">
        <v>1201</v>
      </c>
      <c r="O810" s="3">
        <v>1931</v>
      </c>
      <c r="P810" t="str">
        <f t="shared" si="24"/>
        <v>Wed</v>
      </c>
      <c r="Q810" t="str">
        <f t="shared" si="25"/>
        <v>Lightly Active</v>
      </c>
    </row>
    <row r="811" spans="1:17">
      <c r="A811">
        <v>8253242879</v>
      </c>
      <c r="B811" s="1">
        <v>42485</v>
      </c>
      <c r="C811" s="3">
        <v>6829</v>
      </c>
      <c r="D811" s="2">
        <v>4.5100002288818404</v>
      </c>
      <c r="E811" s="2">
        <v>4.5100002288818404</v>
      </c>
      <c r="F811" s="2">
        <v>0</v>
      </c>
      <c r="G811" s="2">
        <v>0.36000001430511502</v>
      </c>
      <c r="H811" s="2">
        <v>2.3900001049041699</v>
      </c>
      <c r="I811" s="2">
        <v>1.7699999809265099</v>
      </c>
      <c r="J811" s="2">
        <v>0</v>
      </c>
      <c r="K811" s="3">
        <v>7</v>
      </c>
      <c r="L811" s="3">
        <v>54</v>
      </c>
      <c r="M811" s="3">
        <v>118</v>
      </c>
      <c r="N811" s="3">
        <v>1261</v>
      </c>
      <c r="O811" s="3">
        <v>1909</v>
      </c>
      <c r="P811" t="str">
        <f t="shared" si="24"/>
        <v>Mon</v>
      </c>
      <c r="Q811" t="str">
        <f t="shared" si="25"/>
        <v>Lightly Active</v>
      </c>
    </row>
    <row r="812" spans="1:17">
      <c r="A812">
        <v>8253242879</v>
      </c>
      <c r="B812" s="1">
        <v>42473</v>
      </c>
      <c r="C812" s="3">
        <v>8053</v>
      </c>
      <c r="D812" s="2">
        <v>6.0999999046325701</v>
      </c>
      <c r="E812" s="2">
        <v>6.0999999046325701</v>
      </c>
      <c r="F812" s="2">
        <v>0</v>
      </c>
      <c r="G812" s="2">
        <v>4.1700000762939498</v>
      </c>
      <c r="H812" s="2">
        <v>0.62999999523162797</v>
      </c>
      <c r="I812" s="2">
        <v>1.3099999427795399</v>
      </c>
      <c r="J812" s="2">
        <v>0</v>
      </c>
      <c r="K812" s="3">
        <v>35</v>
      </c>
      <c r="L812" s="3">
        <v>11</v>
      </c>
      <c r="M812" s="3">
        <v>96</v>
      </c>
      <c r="N812" s="3">
        <v>1298</v>
      </c>
      <c r="O812" s="3">
        <v>1935</v>
      </c>
      <c r="P812" t="str">
        <f t="shared" si="24"/>
        <v>Wed</v>
      </c>
      <c r="Q812" t="str">
        <f t="shared" si="25"/>
        <v>Fairly Active</v>
      </c>
    </row>
    <row r="813" spans="1:17">
      <c r="A813">
        <v>8253242879</v>
      </c>
      <c r="B813" s="1">
        <v>42484</v>
      </c>
      <c r="C813" s="3">
        <v>8905</v>
      </c>
      <c r="D813" s="2">
        <v>7.1300001144409197</v>
      </c>
      <c r="E813" s="2">
        <v>7.1300001144409197</v>
      </c>
      <c r="F813" s="2">
        <v>0</v>
      </c>
      <c r="G813" s="2">
        <v>5.5999999046325701</v>
      </c>
      <c r="H813" s="2">
        <v>0.18999999761581399</v>
      </c>
      <c r="I813" s="2">
        <v>1.3400000333786</v>
      </c>
      <c r="J813" s="2">
        <v>0</v>
      </c>
      <c r="K813" s="3">
        <v>41</v>
      </c>
      <c r="L813" s="3">
        <v>4</v>
      </c>
      <c r="M813" s="3">
        <v>82</v>
      </c>
      <c r="N813" s="3">
        <v>1313</v>
      </c>
      <c r="O813" s="3">
        <v>1976</v>
      </c>
      <c r="P813" t="str">
        <f t="shared" si="24"/>
        <v>Sun</v>
      </c>
      <c r="Q813" t="str">
        <f t="shared" si="25"/>
        <v>Fairly Active</v>
      </c>
    </row>
    <row r="814" spans="1:17">
      <c r="A814">
        <v>8253242879</v>
      </c>
      <c r="B814" s="1">
        <v>42472</v>
      </c>
      <c r="C814" s="3">
        <v>9033</v>
      </c>
      <c r="D814" s="2">
        <v>7.1599998474121103</v>
      </c>
      <c r="E814" s="2">
        <v>7.1599998474121103</v>
      </c>
      <c r="F814" s="2">
        <v>0</v>
      </c>
      <c r="G814" s="2">
        <v>5.4299998283386204</v>
      </c>
      <c r="H814" s="2">
        <v>0.140000000596046</v>
      </c>
      <c r="I814" s="2">
        <v>1.5900000333786</v>
      </c>
      <c r="J814" s="2">
        <v>0</v>
      </c>
      <c r="K814" s="3">
        <v>40</v>
      </c>
      <c r="L814" s="3">
        <v>2</v>
      </c>
      <c r="M814" s="3">
        <v>154</v>
      </c>
      <c r="N814" s="3">
        <v>1244</v>
      </c>
      <c r="O814" s="3">
        <v>2044</v>
      </c>
      <c r="P814" t="str">
        <f t="shared" si="24"/>
        <v>Tue</v>
      </c>
      <c r="Q814" t="str">
        <f t="shared" si="25"/>
        <v>Fairly Active</v>
      </c>
    </row>
    <row r="815" spans="1:17">
      <c r="A815">
        <v>8253242879</v>
      </c>
      <c r="B815" s="1">
        <v>42476</v>
      </c>
      <c r="C815" s="3">
        <v>9256</v>
      </c>
      <c r="D815" s="2">
        <v>6.1399998664856001</v>
      </c>
      <c r="E815" s="2">
        <v>6.1399998664856001</v>
      </c>
      <c r="F815" s="2">
        <v>0</v>
      </c>
      <c r="G815" s="2">
        <v>0.43000000715255698</v>
      </c>
      <c r="H815" s="2">
        <v>3.2699999809265101</v>
      </c>
      <c r="I815" s="2">
        <v>2.4500000476837198</v>
      </c>
      <c r="J815" s="2">
        <v>0</v>
      </c>
      <c r="K815" s="3">
        <v>6</v>
      </c>
      <c r="L815" s="3">
        <v>51</v>
      </c>
      <c r="M815" s="3">
        <v>115</v>
      </c>
      <c r="N815" s="3">
        <v>1268</v>
      </c>
      <c r="O815" s="3">
        <v>1880</v>
      </c>
      <c r="P815" t="str">
        <f t="shared" si="24"/>
        <v>Sat</v>
      </c>
      <c r="Q815" t="str">
        <f t="shared" si="25"/>
        <v>Fairly Active</v>
      </c>
    </row>
    <row r="816" spans="1:17">
      <c r="A816">
        <v>8253242879</v>
      </c>
      <c r="B816" s="1">
        <v>42483</v>
      </c>
      <c r="C816" s="3">
        <v>9282</v>
      </c>
      <c r="D816" s="2">
        <v>6.2600002288818404</v>
      </c>
      <c r="E816" s="2">
        <v>6.2600002288818404</v>
      </c>
      <c r="F816" s="2">
        <v>0</v>
      </c>
      <c r="G816" s="2">
        <v>2.0899999141693102</v>
      </c>
      <c r="H816" s="2">
        <v>1.03999996185303</v>
      </c>
      <c r="I816" s="2">
        <v>3.1300001144409202</v>
      </c>
      <c r="J816" s="2">
        <v>0</v>
      </c>
      <c r="K816" s="3">
        <v>30</v>
      </c>
      <c r="L816" s="3">
        <v>26</v>
      </c>
      <c r="M816" s="3">
        <v>191</v>
      </c>
      <c r="N816" s="3">
        <v>1193</v>
      </c>
      <c r="O816" s="3">
        <v>2132</v>
      </c>
      <c r="P816" t="str">
        <f t="shared" si="24"/>
        <v>Sat</v>
      </c>
      <c r="Q816" t="str">
        <f t="shared" si="25"/>
        <v>Fairly Active</v>
      </c>
    </row>
    <row r="817" spans="1:17">
      <c r="A817">
        <v>8253242879</v>
      </c>
      <c r="B817" s="1">
        <v>42477</v>
      </c>
      <c r="C817" s="3">
        <v>10204</v>
      </c>
      <c r="D817" s="2">
        <v>7.9099998474121103</v>
      </c>
      <c r="E817" s="2">
        <v>7.9099998474121103</v>
      </c>
      <c r="F817" s="2">
        <v>0</v>
      </c>
      <c r="G817" s="2">
        <v>5.4299998283386204</v>
      </c>
      <c r="H817" s="2">
        <v>0.15000000596046401</v>
      </c>
      <c r="I817" s="2">
        <v>2.3299999237060498</v>
      </c>
      <c r="J817" s="2">
        <v>0</v>
      </c>
      <c r="K817" s="3">
        <v>41</v>
      </c>
      <c r="L817" s="3">
        <v>5</v>
      </c>
      <c r="M817" s="3">
        <v>157</v>
      </c>
      <c r="N817" s="3">
        <v>1237</v>
      </c>
      <c r="O817" s="3">
        <v>2112</v>
      </c>
      <c r="P817" t="str">
        <f t="shared" si="24"/>
        <v>Sun</v>
      </c>
      <c r="Q817" t="str">
        <f t="shared" si="25"/>
        <v>Vey Active</v>
      </c>
    </row>
    <row r="818" spans="1:17">
      <c r="A818">
        <v>8253242879</v>
      </c>
      <c r="B818" s="1">
        <v>42487</v>
      </c>
      <c r="C818" s="3">
        <v>10232</v>
      </c>
      <c r="D818" s="2">
        <v>8.1800003051757795</v>
      </c>
      <c r="E818" s="2">
        <v>8.1800003051757795</v>
      </c>
      <c r="F818" s="2">
        <v>0</v>
      </c>
      <c r="G818" s="2">
        <v>6.2399997711181596</v>
      </c>
      <c r="H818" s="2">
        <v>0.230000004172325</v>
      </c>
      <c r="I818" s="2">
        <v>1.70000004768372</v>
      </c>
      <c r="J818" s="2">
        <v>0</v>
      </c>
      <c r="K818" s="3">
        <v>45</v>
      </c>
      <c r="L818" s="3">
        <v>5</v>
      </c>
      <c r="M818" s="3">
        <v>104</v>
      </c>
      <c r="N818" s="3">
        <v>1286</v>
      </c>
      <c r="O818" s="3">
        <v>2008</v>
      </c>
      <c r="P818" t="str">
        <f t="shared" si="24"/>
        <v>Wed</v>
      </c>
      <c r="Q818" t="str">
        <f t="shared" si="25"/>
        <v>Vey Active</v>
      </c>
    </row>
    <row r="819" spans="1:17">
      <c r="A819">
        <v>8253242879</v>
      </c>
      <c r="B819" s="1">
        <v>42481</v>
      </c>
      <c r="C819" s="3">
        <v>11268</v>
      </c>
      <c r="D819" s="2">
        <v>8.5600004196166992</v>
      </c>
      <c r="E819" s="2">
        <v>8.5600004196166992</v>
      </c>
      <c r="F819" s="2">
        <v>0</v>
      </c>
      <c r="G819" s="2">
        <v>5.8800001144409197</v>
      </c>
      <c r="H819" s="2">
        <v>0.93000000715255704</v>
      </c>
      <c r="I819" s="2">
        <v>1.75</v>
      </c>
      <c r="J819" s="2">
        <v>0</v>
      </c>
      <c r="K819" s="3">
        <v>49</v>
      </c>
      <c r="L819" s="3">
        <v>20</v>
      </c>
      <c r="M819" s="3">
        <v>172</v>
      </c>
      <c r="N819" s="3">
        <v>1199</v>
      </c>
      <c r="O819" s="3">
        <v>2218</v>
      </c>
      <c r="P819" t="str">
        <f t="shared" si="24"/>
        <v>Thu</v>
      </c>
      <c r="Q819" t="str">
        <f t="shared" si="25"/>
        <v>Vey Active</v>
      </c>
    </row>
    <row r="820" spans="1:17">
      <c r="A820">
        <v>8378563200</v>
      </c>
      <c r="B820" s="1">
        <v>42477</v>
      </c>
      <c r="C820" s="3">
        <v>2132</v>
      </c>
      <c r="D820" s="2">
        <v>1.6900000572204601</v>
      </c>
      <c r="E820" s="2">
        <v>1.6900000572204601</v>
      </c>
      <c r="F820" s="2">
        <v>0</v>
      </c>
      <c r="G820" s="2">
        <v>0</v>
      </c>
      <c r="H820" s="2">
        <v>0</v>
      </c>
      <c r="I820" s="2">
        <v>1.6900000572204601</v>
      </c>
      <c r="J820" s="2">
        <v>0</v>
      </c>
      <c r="K820" s="3">
        <v>0</v>
      </c>
      <c r="L820" s="3">
        <v>0</v>
      </c>
      <c r="M820" s="3">
        <v>93</v>
      </c>
      <c r="N820" s="3">
        <v>599</v>
      </c>
      <c r="O820" s="3">
        <v>2572</v>
      </c>
      <c r="P820" t="str">
        <f t="shared" si="24"/>
        <v>Sun</v>
      </c>
      <c r="Q820" t="str">
        <f t="shared" si="25"/>
        <v>Sedentary</v>
      </c>
    </row>
    <row r="821" spans="1:17">
      <c r="A821">
        <v>8378563200</v>
      </c>
      <c r="B821" s="1">
        <v>42498</v>
      </c>
      <c r="C821" s="3">
        <v>2943</v>
      </c>
      <c r="D821" s="2">
        <v>2.3299999237060498</v>
      </c>
      <c r="E821" s="2">
        <v>2.3299999237060498</v>
      </c>
      <c r="F821" s="2">
        <v>0</v>
      </c>
      <c r="G821" s="2">
        <v>0</v>
      </c>
      <c r="H821" s="2">
        <v>0</v>
      </c>
      <c r="I821" s="2">
        <v>2.3299999237060498</v>
      </c>
      <c r="J821" s="2">
        <v>0</v>
      </c>
      <c r="K821" s="3">
        <v>0</v>
      </c>
      <c r="L821" s="3">
        <v>0</v>
      </c>
      <c r="M821" s="3">
        <v>139</v>
      </c>
      <c r="N821" s="3">
        <v>621</v>
      </c>
      <c r="O821" s="3">
        <v>2685</v>
      </c>
      <c r="P821" t="str">
        <f t="shared" si="24"/>
        <v>Sun</v>
      </c>
      <c r="Q821" t="str">
        <f t="shared" si="25"/>
        <v>Sedentary</v>
      </c>
    </row>
    <row r="822" spans="1:17">
      <c r="A822">
        <v>8378563200</v>
      </c>
      <c r="B822" s="1">
        <v>42490</v>
      </c>
      <c r="C822" s="3">
        <v>2946</v>
      </c>
      <c r="D822" s="2">
        <v>2.3399999141693102</v>
      </c>
      <c r="E822" s="2">
        <v>2.3399999141693102</v>
      </c>
      <c r="F822" s="2">
        <v>0</v>
      </c>
      <c r="G822" s="2">
        <v>0</v>
      </c>
      <c r="H822" s="2">
        <v>0</v>
      </c>
      <c r="I822" s="2">
        <v>2.3399999141693102</v>
      </c>
      <c r="J822" s="2">
        <v>0</v>
      </c>
      <c r="K822" s="3">
        <v>0</v>
      </c>
      <c r="L822" s="3">
        <v>0</v>
      </c>
      <c r="M822" s="3">
        <v>121</v>
      </c>
      <c r="N822" s="3">
        <v>780</v>
      </c>
      <c r="O822" s="3">
        <v>2660</v>
      </c>
      <c r="P822" t="str">
        <f t="shared" si="24"/>
        <v>Sat</v>
      </c>
      <c r="Q822" t="str">
        <f t="shared" si="25"/>
        <v>Sedentary</v>
      </c>
    </row>
    <row r="823" spans="1:17">
      <c r="A823">
        <v>8378563200</v>
      </c>
      <c r="B823" s="1">
        <v>42484</v>
      </c>
      <c r="C823" s="3">
        <v>3703</v>
      </c>
      <c r="D823" s="2">
        <v>2.9400000572204599</v>
      </c>
      <c r="E823" s="2">
        <v>2.9400000572204599</v>
      </c>
      <c r="F823" s="2">
        <v>0</v>
      </c>
      <c r="G823" s="2">
        <v>0</v>
      </c>
      <c r="H823" s="2">
        <v>0</v>
      </c>
      <c r="I823" s="2">
        <v>2.9400000572204599</v>
      </c>
      <c r="J823" s="2">
        <v>0</v>
      </c>
      <c r="K823" s="3">
        <v>0</v>
      </c>
      <c r="L823" s="3">
        <v>0</v>
      </c>
      <c r="M823" s="3">
        <v>135</v>
      </c>
      <c r="N823" s="3">
        <v>734</v>
      </c>
      <c r="O823" s="3">
        <v>2741</v>
      </c>
      <c r="P823" t="str">
        <f t="shared" si="24"/>
        <v>Sun</v>
      </c>
      <c r="Q823" t="str">
        <f t="shared" si="25"/>
        <v>Sedentary</v>
      </c>
    </row>
    <row r="824" spans="1:17">
      <c r="A824">
        <v>8378563200</v>
      </c>
      <c r="B824" s="1">
        <v>42497</v>
      </c>
      <c r="C824" s="3">
        <v>4468</v>
      </c>
      <c r="D824" s="2">
        <v>3.53999996185303</v>
      </c>
      <c r="E824" s="2">
        <v>3.53999996185303</v>
      </c>
      <c r="F824" s="2">
        <v>0</v>
      </c>
      <c r="G824" s="2">
        <v>0</v>
      </c>
      <c r="H824" s="2">
        <v>0</v>
      </c>
      <c r="I824" s="2">
        <v>3.53999996185303</v>
      </c>
      <c r="J824" s="2">
        <v>0</v>
      </c>
      <c r="K824" s="3">
        <v>0</v>
      </c>
      <c r="L824" s="3">
        <v>0</v>
      </c>
      <c r="M824" s="3">
        <v>158</v>
      </c>
      <c r="N824" s="3">
        <v>851</v>
      </c>
      <c r="O824" s="3">
        <v>2799</v>
      </c>
      <c r="P824" t="str">
        <f t="shared" si="24"/>
        <v>Sat</v>
      </c>
      <c r="Q824" t="str">
        <f t="shared" si="25"/>
        <v>Sedentary</v>
      </c>
    </row>
    <row r="825" spans="1:17">
      <c r="A825">
        <v>8378563200</v>
      </c>
      <c r="B825" s="1">
        <v>42502</v>
      </c>
      <c r="C825" s="3">
        <v>4561</v>
      </c>
      <c r="D825" s="2">
        <v>3.6199998855590798</v>
      </c>
      <c r="E825" s="2">
        <v>3.6199998855590798</v>
      </c>
      <c r="F825" s="2">
        <v>0</v>
      </c>
      <c r="G825" s="2">
        <v>0.64999997615814198</v>
      </c>
      <c r="H825" s="2">
        <v>0.270000010728836</v>
      </c>
      <c r="I825" s="2">
        <v>2.6900000572204599</v>
      </c>
      <c r="J825" s="2">
        <v>0</v>
      </c>
      <c r="K825" s="3">
        <v>8</v>
      </c>
      <c r="L825" s="3">
        <v>6</v>
      </c>
      <c r="M825" s="3">
        <v>102</v>
      </c>
      <c r="N825" s="3">
        <v>433</v>
      </c>
      <c r="O825" s="3">
        <v>1976</v>
      </c>
      <c r="P825" t="str">
        <f t="shared" si="24"/>
        <v>Thu</v>
      </c>
      <c r="Q825" t="str">
        <f t="shared" si="25"/>
        <v>Sedentary</v>
      </c>
    </row>
    <row r="826" spans="1:17">
      <c r="A826">
        <v>8378563200</v>
      </c>
      <c r="B826" s="1">
        <v>42488</v>
      </c>
      <c r="C826" s="3">
        <v>5417</v>
      </c>
      <c r="D826" s="2">
        <v>4.3000001907348597</v>
      </c>
      <c r="E826" s="2">
        <v>4.3000001907348597</v>
      </c>
      <c r="F826" s="2">
        <v>0</v>
      </c>
      <c r="G826" s="2">
        <v>0.89999997615814198</v>
      </c>
      <c r="H826" s="2">
        <v>0.490000009536743</v>
      </c>
      <c r="I826" s="2">
        <v>2.9100000858306898</v>
      </c>
      <c r="J826" s="2">
        <v>0</v>
      </c>
      <c r="K826" s="3">
        <v>11</v>
      </c>
      <c r="L826" s="3">
        <v>10</v>
      </c>
      <c r="M826" s="3">
        <v>139</v>
      </c>
      <c r="N826" s="3">
        <v>711</v>
      </c>
      <c r="O826" s="3">
        <v>2884</v>
      </c>
      <c r="P826" t="str">
        <f t="shared" si="24"/>
        <v>Thu</v>
      </c>
      <c r="Q826" t="str">
        <f t="shared" si="25"/>
        <v>Lightly Active</v>
      </c>
    </row>
    <row r="827" spans="1:17">
      <c r="A827">
        <v>8378563200</v>
      </c>
      <c r="B827" s="1">
        <v>42483</v>
      </c>
      <c r="C827" s="3">
        <v>5709</v>
      </c>
      <c r="D827" s="2">
        <v>4.5300002098083496</v>
      </c>
      <c r="E827" s="2">
        <v>4.5300002098083496</v>
      </c>
      <c r="F827" s="2">
        <v>0</v>
      </c>
      <c r="G827" s="2">
        <v>1.5199999809265099</v>
      </c>
      <c r="H827" s="2">
        <v>0.519999980926514</v>
      </c>
      <c r="I827" s="2">
        <v>2.4800000190734899</v>
      </c>
      <c r="J827" s="2">
        <v>0</v>
      </c>
      <c r="K827" s="3">
        <v>19</v>
      </c>
      <c r="L827" s="3">
        <v>10</v>
      </c>
      <c r="M827" s="3">
        <v>136</v>
      </c>
      <c r="N827" s="3">
        <v>740</v>
      </c>
      <c r="O827" s="3">
        <v>2908</v>
      </c>
      <c r="P827" t="str">
        <f t="shared" si="24"/>
        <v>Sat</v>
      </c>
      <c r="Q827" t="str">
        <f t="shared" si="25"/>
        <v>Lightly Active</v>
      </c>
    </row>
    <row r="828" spans="1:17">
      <c r="A828">
        <v>8378563200</v>
      </c>
      <c r="B828" s="1">
        <v>42492</v>
      </c>
      <c r="C828" s="3">
        <v>6064</v>
      </c>
      <c r="D828" s="2">
        <v>4.8099999427795401</v>
      </c>
      <c r="E828" s="2">
        <v>4.8099999427795401</v>
      </c>
      <c r="F828" s="2">
        <v>2.0921471118927002</v>
      </c>
      <c r="G828" s="2">
        <v>0.62999999523162797</v>
      </c>
      <c r="H828" s="2">
        <v>0.17000000178813901</v>
      </c>
      <c r="I828" s="2">
        <v>4.0100002288818404</v>
      </c>
      <c r="J828" s="2">
        <v>0</v>
      </c>
      <c r="K828" s="3">
        <v>63</v>
      </c>
      <c r="L828" s="3">
        <v>4</v>
      </c>
      <c r="M828" s="3">
        <v>142</v>
      </c>
      <c r="N828" s="3">
        <v>802</v>
      </c>
      <c r="O828" s="3">
        <v>3491</v>
      </c>
      <c r="P828" t="str">
        <f t="shared" si="24"/>
        <v>Mon</v>
      </c>
      <c r="Q828" t="str">
        <f t="shared" si="25"/>
        <v>Lightly Active</v>
      </c>
    </row>
    <row r="829" spans="1:17">
      <c r="A829">
        <v>8378563200</v>
      </c>
      <c r="B829" s="1">
        <v>42489</v>
      </c>
      <c r="C829" s="3">
        <v>6175</v>
      </c>
      <c r="D829" s="2">
        <v>4.9000000953674299</v>
      </c>
      <c r="E829" s="2">
        <v>4.9000000953674299</v>
      </c>
      <c r="F829" s="2">
        <v>0</v>
      </c>
      <c r="G829" s="2">
        <v>0.25</v>
      </c>
      <c r="H829" s="2">
        <v>0.36000001430511502</v>
      </c>
      <c r="I829" s="2">
        <v>4.2699999809265101</v>
      </c>
      <c r="J829" s="2">
        <v>0</v>
      </c>
      <c r="K829" s="3">
        <v>3</v>
      </c>
      <c r="L829" s="3">
        <v>7</v>
      </c>
      <c r="M829" s="3">
        <v>172</v>
      </c>
      <c r="N829" s="3">
        <v>767</v>
      </c>
      <c r="O829" s="3">
        <v>2982</v>
      </c>
      <c r="P829" t="str">
        <f t="shared" si="24"/>
        <v>Fri</v>
      </c>
      <c r="Q829" t="str">
        <f t="shared" si="25"/>
        <v>Lightly Active</v>
      </c>
    </row>
    <row r="830" spans="1:17">
      <c r="A830">
        <v>8378563200</v>
      </c>
      <c r="B830" s="1">
        <v>42500</v>
      </c>
      <c r="C830" s="3">
        <v>6582</v>
      </c>
      <c r="D830" s="2">
        <v>5.2199997901916504</v>
      </c>
      <c r="E830" s="2">
        <v>5.2199997901916504</v>
      </c>
      <c r="F830" s="2">
        <v>2.2530810832977299</v>
      </c>
      <c r="G830" s="2">
        <v>0.66000002622604403</v>
      </c>
      <c r="H830" s="2">
        <v>0.63999998569488503</v>
      </c>
      <c r="I830" s="2">
        <v>3.9200000762939502</v>
      </c>
      <c r="J830" s="2">
        <v>0</v>
      </c>
      <c r="K830" s="3">
        <v>63</v>
      </c>
      <c r="L830" s="3">
        <v>13</v>
      </c>
      <c r="M830" s="3">
        <v>152</v>
      </c>
      <c r="N830" s="3">
        <v>840</v>
      </c>
      <c r="O830" s="3">
        <v>3586</v>
      </c>
      <c r="P830" t="str">
        <f t="shared" si="24"/>
        <v>Tue</v>
      </c>
      <c r="Q830" t="str">
        <f t="shared" si="25"/>
        <v>Lightly Active</v>
      </c>
    </row>
    <row r="831" spans="1:17">
      <c r="A831">
        <v>8378563200</v>
      </c>
      <c r="B831" s="1">
        <v>42496</v>
      </c>
      <c r="C831" s="3">
        <v>7045</v>
      </c>
      <c r="D831" s="2">
        <v>5.5900001525878897</v>
      </c>
      <c r="E831" s="2">
        <v>5.5900001525878897</v>
      </c>
      <c r="F831" s="2">
        <v>2.0921471118927002</v>
      </c>
      <c r="G831" s="2">
        <v>1.54999995231628</v>
      </c>
      <c r="H831" s="2">
        <v>0.25</v>
      </c>
      <c r="I831" s="2">
        <v>3.7799999713897701</v>
      </c>
      <c r="J831" s="2">
        <v>0</v>
      </c>
      <c r="K831" s="3">
        <v>74</v>
      </c>
      <c r="L831" s="3">
        <v>5</v>
      </c>
      <c r="M831" s="3">
        <v>166</v>
      </c>
      <c r="N831" s="3">
        <v>831</v>
      </c>
      <c r="O831" s="3">
        <v>3644</v>
      </c>
      <c r="P831" t="str">
        <f t="shared" si="24"/>
        <v>Fri</v>
      </c>
      <c r="Q831" t="str">
        <f t="shared" si="25"/>
        <v>Lightly Active</v>
      </c>
    </row>
    <row r="832" spans="1:17">
      <c r="A832">
        <v>8378563200</v>
      </c>
      <c r="B832" s="1">
        <v>42487</v>
      </c>
      <c r="C832" s="3">
        <v>7359</v>
      </c>
      <c r="D832" s="2">
        <v>5.8400001525878897</v>
      </c>
      <c r="E832" s="2">
        <v>5.8400001525878897</v>
      </c>
      <c r="F832" s="2">
        <v>0</v>
      </c>
      <c r="G832" s="2">
        <v>0.33000001311302202</v>
      </c>
      <c r="H832" s="2">
        <v>0.18000000715255701</v>
      </c>
      <c r="I832" s="2">
        <v>5.3299999237060502</v>
      </c>
      <c r="J832" s="2">
        <v>0</v>
      </c>
      <c r="K832" s="3">
        <v>4</v>
      </c>
      <c r="L832" s="3">
        <v>4</v>
      </c>
      <c r="M832" s="3">
        <v>192</v>
      </c>
      <c r="N832" s="3">
        <v>676</v>
      </c>
      <c r="O832" s="3">
        <v>3061</v>
      </c>
      <c r="P832" t="str">
        <f t="shared" si="24"/>
        <v>Wed</v>
      </c>
      <c r="Q832" t="str">
        <f t="shared" si="25"/>
        <v>Lightly Active</v>
      </c>
    </row>
    <row r="833" spans="1:17">
      <c r="A833">
        <v>8378563200</v>
      </c>
      <c r="B833" s="1">
        <v>42472</v>
      </c>
      <c r="C833" s="3">
        <v>7626</v>
      </c>
      <c r="D833" s="2">
        <v>6.0500001907348597</v>
      </c>
      <c r="E833" s="2">
        <v>6.0500001907348597</v>
      </c>
      <c r="F833" s="2">
        <v>2.2530810832977299</v>
      </c>
      <c r="G833" s="2">
        <v>0.82999998331069902</v>
      </c>
      <c r="H833" s="2">
        <v>0.70999997854232799</v>
      </c>
      <c r="I833" s="2">
        <v>4.5</v>
      </c>
      <c r="J833" s="2">
        <v>0</v>
      </c>
      <c r="K833" s="3">
        <v>65</v>
      </c>
      <c r="L833" s="3">
        <v>15</v>
      </c>
      <c r="M833" s="3">
        <v>156</v>
      </c>
      <c r="N833" s="3">
        <v>723</v>
      </c>
      <c r="O833" s="3">
        <v>3635</v>
      </c>
      <c r="P833" t="str">
        <f t="shared" si="24"/>
        <v>Tue</v>
      </c>
      <c r="Q833" t="str">
        <f t="shared" si="25"/>
        <v>Fairly Active</v>
      </c>
    </row>
    <row r="834" spans="1:17">
      <c r="A834">
        <v>8378563200</v>
      </c>
      <c r="B834" s="1">
        <v>42494</v>
      </c>
      <c r="C834" s="3">
        <v>7875</v>
      </c>
      <c r="D834" s="2">
        <v>6.2399997711181596</v>
      </c>
      <c r="E834" s="2">
        <v>6.2399997711181596</v>
      </c>
      <c r="F834" s="2">
        <v>0</v>
      </c>
      <c r="G834" s="2">
        <v>1.5599999427795399</v>
      </c>
      <c r="H834" s="2">
        <v>0.490000009536743</v>
      </c>
      <c r="I834" s="2">
        <v>4.1999998092651403</v>
      </c>
      <c r="J834" s="2">
        <v>0</v>
      </c>
      <c r="K834" s="3">
        <v>19</v>
      </c>
      <c r="L834" s="3">
        <v>10</v>
      </c>
      <c r="M834" s="3">
        <v>167</v>
      </c>
      <c r="N834" s="3">
        <v>680</v>
      </c>
      <c r="O834" s="3">
        <v>3110</v>
      </c>
      <c r="P834" t="str">
        <f t="shared" ref="P834:P897" si="26">TEXT(B834, "ddd")</f>
        <v>Wed</v>
      </c>
      <c r="Q834" t="str">
        <f t="shared" ref="Q834:Q897" si="27">IF(C834&lt;5000, "Sedentary", IF(C834&lt;7500, "Lightly Active",IF(C834&lt;10000, "Fairly Active", "Vey Active")))</f>
        <v>Fairly Active</v>
      </c>
    </row>
    <row r="835" spans="1:17">
      <c r="A835">
        <v>8378563200</v>
      </c>
      <c r="B835" s="1">
        <v>42499</v>
      </c>
      <c r="C835" s="3">
        <v>8382</v>
      </c>
      <c r="D835" s="2">
        <v>6.6500000953674299</v>
      </c>
      <c r="E835" s="2">
        <v>6.6500000953674299</v>
      </c>
      <c r="F835" s="2">
        <v>2.0921471118927002</v>
      </c>
      <c r="G835" s="2">
        <v>1.2699999809265099</v>
      </c>
      <c r="H835" s="2">
        <v>0.66000002622604403</v>
      </c>
      <c r="I835" s="2">
        <v>4.7199997901916504</v>
      </c>
      <c r="J835" s="2">
        <v>0</v>
      </c>
      <c r="K835" s="3">
        <v>71</v>
      </c>
      <c r="L835" s="3">
        <v>13</v>
      </c>
      <c r="M835" s="3">
        <v>171</v>
      </c>
      <c r="N835" s="3">
        <v>772</v>
      </c>
      <c r="O835" s="3">
        <v>3721</v>
      </c>
      <c r="P835" t="str">
        <f t="shared" si="26"/>
        <v>Mon</v>
      </c>
      <c r="Q835" t="str">
        <f t="shared" si="27"/>
        <v>Fairly Active</v>
      </c>
    </row>
    <row r="836" spans="1:17">
      <c r="A836">
        <v>8378563200</v>
      </c>
      <c r="B836" s="1">
        <v>42495</v>
      </c>
      <c r="C836" s="3">
        <v>8567</v>
      </c>
      <c r="D836" s="2">
        <v>6.78999996185303</v>
      </c>
      <c r="E836" s="2">
        <v>6.78999996185303</v>
      </c>
      <c r="F836" s="2">
        <v>2.2530810832977299</v>
      </c>
      <c r="G836" s="2">
        <v>0.88999998569488503</v>
      </c>
      <c r="H836" s="2">
        <v>0.15999999642372101</v>
      </c>
      <c r="I836" s="2">
        <v>5.7399997711181596</v>
      </c>
      <c r="J836" s="2">
        <v>0</v>
      </c>
      <c r="K836" s="3">
        <v>66</v>
      </c>
      <c r="L836" s="3">
        <v>3</v>
      </c>
      <c r="M836" s="3">
        <v>214</v>
      </c>
      <c r="N836" s="3">
        <v>764</v>
      </c>
      <c r="O836" s="3">
        <v>3783</v>
      </c>
      <c r="P836" t="str">
        <f t="shared" si="26"/>
        <v>Thu</v>
      </c>
      <c r="Q836" t="str">
        <f t="shared" si="27"/>
        <v>Fairly Active</v>
      </c>
    </row>
    <row r="837" spans="1:17">
      <c r="A837">
        <v>8378563200</v>
      </c>
      <c r="B837" s="1">
        <v>42493</v>
      </c>
      <c r="C837" s="3">
        <v>8712</v>
      </c>
      <c r="D837" s="2">
        <v>6.9099998474121103</v>
      </c>
      <c r="E837" s="2">
        <v>6.9099998474121103</v>
      </c>
      <c r="F837" s="2">
        <v>2.2530810832977299</v>
      </c>
      <c r="G837" s="2">
        <v>1.3400000333786</v>
      </c>
      <c r="H837" s="2">
        <v>1.0599999427795399</v>
      </c>
      <c r="I837" s="2">
        <v>4.5</v>
      </c>
      <c r="J837" s="2">
        <v>0</v>
      </c>
      <c r="K837" s="3">
        <v>71</v>
      </c>
      <c r="L837" s="3">
        <v>20</v>
      </c>
      <c r="M837" s="3">
        <v>195</v>
      </c>
      <c r="N837" s="3">
        <v>822</v>
      </c>
      <c r="O837" s="3">
        <v>3784</v>
      </c>
      <c r="P837" t="str">
        <f t="shared" si="26"/>
        <v>Tue</v>
      </c>
      <c r="Q837" t="str">
        <f t="shared" si="27"/>
        <v>Fairly Active</v>
      </c>
    </row>
    <row r="838" spans="1:17">
      <c r="A838">
        <v>8378563200</v>
      </c>
      <c r="B838" s="1">
        <v>42501</v>
      </c>
      <c r="C838" s="3">
        <v>9143</v>
      </c>
      <c r="D838" s="2">
        <v>7.25</v>
      </c>
      <c r="E838" s="2">
        <v>7.25</v>
      </c>
      <c r="F838" s="2">
        <v>2.0921471118927002</v>
      </c>
      <c r="G838" s="2">
        <v>1.3899999856948899</v>
      </c>
      <c r="H838" s="2">
        <v>0.58999997377395597</v>
      </c>
      <c r="I838" s="2">
        <v>5.2699999809265101</v>
      </c>
      <c r="J838" s="2">
        <v>0</v>
      </c>
      <c r="K838" s="3">
        <v>72</v>
      </c>
      <c r="L838" s="3">
        <v>10</v>
      </c>
      <c r="M838" s="3">
        <v>184</v>
      </c>
      <c r="N838" s="3">
        <v>763</v>
      </c>
      <c r="O838" s="3">
        <v>3788</v>
      </c>
      <c r="P838" t="str">
        <f t="shared" si="26"/>
        <v>Wed</v>
      </c>
      <c r="Q838" t="str">
        <f t="shared" si="27"/>
        <v>Fairly Active</v>
      </c>
    </row>
    <row r="839" spans="1:17">
      <c r="A839">
        <v>8378563200</v>
      </c>
      <c r="B839" s="1">
        <v>42480</v>
      </c>
      <c r="C839" s="3">
        <v>9388</v>
      </c>
      <c r="D839" s="2">
        <v>7.4400000572204599</v>
      </c>
      <c r="E839" s="2">
        <v>7.4400000572204599</v>
      </c>
      <c r="F839" s="2">
        <v>2.0921471118927002</v>
      </c>
      <c r="G839" s="2">
        <v>2.2300000190734899</v>
      </c>
      <c r="H839" s="2">
        <v>0.43999999761581399</v>
      </c>
      <c r="I839" s="2">
        <v>4.7800002098083496</v>
      </c>
      <c r="J839" s="2">
        <v>0</v>
      </c>
      <c r="K839" s="3">
        <v>82</v>
      </c>
      <c r="L839" s="3">
        <v>8</v>
      </c>
      <c r="M839" s="3">
        <v>169</v>
      </c>
      <c r="N839" s="3">
        <v>763</v>
      </c>
      <c r="O839" s="3">
        <v>3787</v>
      </c>
      <c r="P839" t="str">
        <f t="shared" si="26"/>
        <v>Wed</v>
      </c>
      <c r="Q839" t="str">
        <f t="shared" si="27"/>
        <v>Fairly Active</v>
      </c>
    </row>
    <row r="840" spans="1:17">
      <c r="A840">
        <v>8378563200</v>
      </c>
      <c r="B840" s="1">
        <v>42476</v>
      </c>
      <c r="C840" s="3">
        <v>11207</v>
      </c>
      <c r="D840" s="2">
        <v>8.8900003433227504</v>
      </c>
      <c r="E840" s="2">
        <v>8.8900003433227504</v>
      </c>
      <c r="F840" s="2">
        <v>0</v>
      </c>
      <c r="G840" s="2">
        <v>5.3699998855590803</v>
      </c>
      <c r="H840" s="2">
        <v>1.0700000524520901</v>
      </c>
      <c r="I840" s="2">
        <v>2.4400000572204599</v>
      </c>
      <c r="J840" s="2">
        <v>0</v>
      </c>
      <c r="K840" s="3">
        <v>64</v>
      </c>
      <c r="L840" s="3">
        <v>21</v>
      </c>
      <c r="M840" s="3">
        <v>142</v>
      </c>
      <c r="N840" s="3">
        <v>563</v>
      </c>
      <c r="O840" s="3">
        <v>3363</v>
      </c>
      <c r="P840" t="str">
        <f t="shared" si="26"/>
        <v>Sat</v>
      </c>
      <c r="Q840" t="str">
        <f t="shared" si="27"/>
        <v>Vey Active</v>
      </c>
    </row>
    <row r="841" spans="1:17">
      <c r="A841">
        <v>8378563200</v>
      </c>
      <c r="B841" s="1">
        <v>42491</v>
      </c>
      <c r="C841" s="3">
        <v>11419</v>
      </c>
      <c r="D841" s="2">
        <v>9.0600004196166992</v>
      </c>
      <c r="E841" s="2">
        <v>9.0600004196166992</v>
      </c>
      <c r="F841" s="2">
        <v>0</v>
      </c>
      <c r="G841" s="2">
        <v>6.0300002098083496</v>
      </c>
      <c r="H841" s="2">
        <v>0.56000000238418601</v>
      </c>
      <c r="I841" s="2">
        <v>2.4700000286102299</v>
      </c>
      <c r="J841" s="2">
        <v>0</v>
      </c>
      <c r="K841" s="3">
        <v>71</v>
      </c>
      <c r="L841" s="3">
        <v>10</v>
      </c>
      <c r="M841" s="3">
        <v>127</v>
      </c>
      <c r="N841" s="3">
        <v>669</v>
      </c>
      <c r="O841" s="3">
        <v>3369</v>
      </c>
      <c r="P841" t="str">
        <f t="shared" si="26"/>
        <v>Sun</v>
      </c>
      <c r="Q841" t="str">
        <f t="shared" si="27"/>
        <v>Vey Active</v>
      </c>
    </row>
    <row r="842" spans="1:17">
      <c r="A842">
        <v>8378563200</v>
      </c>
      <c r="B842" s="1">
        <v>42482</v>
      </c>
      <c r="C842" s="3">
        <v>12200</v>
      </c>
      <c r="D842" s="2">
        <v>9.6700000762939506</v>
      </c>
      <c r="E842" s="2">
        <v>9.6700000762939506</v>
      </c>
      <c r="F842" s="2">
        <v>2.0921471118927002</v>
      </c>
      <c r="G842" s="2">
        <v>4.9099998474121103</v>
      </c>
      <c r="H842" s="2">
        <v>0.58999997377395597</v>
      </c>
      <c r="I842" s="2">
        <v>4.1799998283386204</v>
      </c>
      <c r="J842" s="2">
        <v>0</v>
      </c>
      <c r="K842" s="3">
        <v>113</v>
      </c>
      <c r="L842" s="3">
        <v>12</v>
      </c>
      <c r="M842" s="3">
        <v>159</v>
      </c>
      <c r="N842" s="3">
        <v>769</v>
      </c>
      <c r="O842" s="3">
        <v>4044</v>
      </c>
      <c r="P842" t="str">
        <f t="shared" si="26"/>
        <v>Fri</v>
      </c>
      <c r="Q842" t="str">
        <f t="shared" si="27"/>
        <v>Vey Active</v>
      </c>
    </row>
    <row r="843" spans="1:17">
      <c r="A843">
        <v>8378563200</v>
      </c>
      <c r="B843" s="1">
        <v>42473</v>
      </c>
      <c r="C843" s="3">
        <v>12386</v>
      </c>
      <c r="D843" s="2">
        <v>9.8199996948242205</v>
      </c>
      <c r="E843" s="2">
        <v>9.8199996948242205</v>
      </c>
      <c r="F843" s="2">
        <v>2.0921471118927002</v>
      </c>
      <c r="G843" s="2">
        <v>4.96000003814697</v>
      </c>
      <c r="H843" s="2">
        <v>0.64999997615814198</v>
      </c>
      <c r="I843" s="2">
        <v>4.21000003814697</v>
      </c>
      <c r="J843" s="2">
        <v>0</v>
      </c>
      <c r="K843" s="3">
        <v>116</v>
      </c>
      <c r="L843" s="3">
        <v>14</v>
      </c>
      <c r="M843" s="3">
        <v>169</v>
      </c>
      <c r="N843" s="3">
        <v>680</v>
      </c>
      <c r="O843" s="3">
        <v>4079</v>
      </c>
      <c r="P843" t="str">
        <f t="shared" si="26"/>
        <v>Wed</v>
      </c>
      <c r="Q843" t="str">
        <f t="shared" si="27"/>
        <v>Vey Active</v>
      </c>
    </row>
    <row r="844" spans="1:17">
      <c r="A844">
        <v>8378563200</v>
      </c>
      <c r="B844" s="1">
        <v>42485</v>
      </c>
      <c r="C844" s="3">
        <v>12405</v>
      </c>
      <c r="D844" s="2">
        <v>9.8400001525878906</v>
      </c>
      <c r="E844" s="2">
        <v>9.8400001525878906</v>
      </c>
      <c r="F844" s="2">
        <v>2.0921471118927002</v>
      </c>
      <c r="G844" s="2">
        <v>5.0500001907348597</v>
      </c>
      <c r="H844" s="2">
        <v>0.87000000476837203</v>
      </c>
      <c r="I844" s="2">
        <v>3.9200000762939502</v>
      </c>
      <c r="J844" s="2">
        <v>0</v>
      </c>
      <c r="K844" s="3">
        <v>117</v>
      </c>
      <c r="L844" s="3">
        <v>16</v>
      </c>
      <c r="M844" s="3">
        <v>141</v>
      </c>
      <c r="N844" s="3">
        <v>692</v>
      </c>
      <c r="O844" s="3">
        <v>4005</v>
      </c>
      <c r="P844" t="str">
        <f t="shared" si="26"/>
        <v>Mon</v>
      </c>
      <c r="Q844" t="str">
        <f t="shared" si="27"/>
        <v>Vey Active</v>
      </c>
    </row>
    <row r="845" spans="1:17">
      <c r="A845">
        <v>8378563200</v>
      </c>
      <c r="B845" s="1">
        <v>42479</v>
      </c>
      <c r="C845" s="3">
        <v>13070</v>
      </c>
      <c r="D845" s="2">
        <v>10.3599996566772</v>
      </c>
      <c r="E845" s="2">
        <v>10.3599996566772</v>
      </c>
      <c r="F845" s="2">
        <v>2.2530810832977299</v>
      </c>
      <c r="G845" s="2">
        <v>5.3000001907348597</v>
      </c>
      <c r="H845" s="2">
        <v>0.87999999523162797</v>
      </c>
      <c r="I845" s="2">
        <v>4.1799998283386204</v>
      </c>
      <c r="J845" s="2">
        <v>0</v>
      </c>
      <c r="K845" s="3">
        <v>120</v>
      </c>
      <c r="L845" s="3">
        <v>19</v>
      </c>
      <c r="M845" s="3">
        <v>154</v>
      </c>
      <c r="N845" s="3">
        <v>737</v>
      </c>
      <c r="O845" s="3">
        <v>4092</v>
      </c>
      <c r="P845" t="str">
        <f t="shared" si="26"/>
        <v>Tue</v>
      </c>
      <c r="Q845" t="str">
        <f t="shared" si="27"/>
        <v>Vey Active</v>
      </c>
    </row>
    <row r="846" spans="1:17">
      <c r="A846">
        <v>8378563200</v>
      </c>
      <c r="B846" s="1">
        <v>42474</v>
      </c>
      <c r="C846" s="3">
        <v>13318</v>
      </c>
      <c r="D846" s="2">
        <v>10.560000419616699</v>
      </c>
      <c r="E846" s="2">
        <v>10.560000419616699</v>
      </c>
      <c r="F846" s="2">
        <v>2.2530810832977299</v>
      </c>
      <c r="G846" s="2">
        <v>5.6199998855590803</v>
      </c>
      <c r="H846" s="2">
        <v>1.0299999713897701</v>
      </c>
      <c r="I846" s="2">
        <v>3.9100000858306898</v>
      </c>
      <c r="J846" s="2">
        <v>0</v>
      </c>
      <c r="K846" s="3">
        <v>123</v>
      </c>
      <c r="L846" s="3">
        <v>21</v>
      </c>
      <c r="M846" s="3">
        <v>174</v>
      </c>
      <c r="N846" s="3">
        <v>699</v>
      </c>
      <c r="O846" s="3">
        <v>4163</v>
      </c>
      <c r="P846" t="str">
        <f t="shared" si="26"/>
        <v>Thu</v>
      </c>
      <c r="Q846" t="str">
        <f t="shared" si="27"/>
        <v>Vey Active</v>
      </c>
    </row>
    <row r="847" spans="1:17">
      <c r="A847">
        <v>8378563200</v>
      </c>
      <c r="B847" s="1">
        <v>42478</v>
      </c>
      <c r="C847" s="3">
        <v>13630</v>
      </c>
      <c r="D847" s="2">
        <v>10.810000419616699</v>
      </c>
      <c r="E847" s="2">
        <v>10.810000419616699</v>
      </c>
      <c r="F847" s="2">
        <v>2.0921471118927002</v>
      </c>
      <c r="G847" s="2">
        <v>5.0500001907348597</v>
      </c>
      <c r="H847" s="2">
        <v>0.56000000238418601</v>
      </c>
      <c r="I847" s="2">
        <v>5.1999998092651403</v>
      </c>
      <c r="J847" s="2">
        <v>0</v>
      </c>
      <c r="K847" s="3">
        <v>117</v>
      </c>
      <c r="L847" s="3">
        <v>10</v>
      </c>
      <c r="M847" s="3">
        <v>174</v>
      </c>
      <c r="N847" s="3">
        <v>720</v>
      </c>
      <c r="O847" s="3">
        <v>4157</v>
      </c>
      <c r="P847" t="str">
        <f t="shared" si="26"/>
        <v>Mon</v>
      </c>
      <c r="Q847" t="str">
        <f t="shared" si="27"/>
        <v>Vey Active</v>
      </c>
    </row>
    <row r="848" spans="1:17">
      <c r="A848">
        <v>8378563200</v>
      </c>
      <c r="B848" s="1">
        <v>42475</v>
      </c>
      <c r="C848" s="3">
        <v>14461</v>
      </c>
      <c r="D848" s="2">
        <v>11.4700002670288</v>
      </c>
      <c r="E848" s="2">
        <v>11.4700002670288</v>
      </c>
      <c r="F848" s="2">
        <v>0</v>
      </c>
      <c r="G848" s="2">
        <v>4.9099998474121103</v>
      </c>
      <c r="H848" s="2">
        <v>1.1499999761581401</v>
      </c>
      <c r="I848" s="2">
        <v>5.4099998474121103</v>
      </c>
      <c r="J848" s="2">
        <v>0</v>
      </c>
      <c r="K848" s="3">
        <v>60</v>
      </c>
      <c r="L848" s="3">
        <v>23</v>
      </c>
      <c r="M848" s="3">
        <v>190</v>
      </c>
      <c r="N848" s="3">
        <v>729</v>
      </c>
      <c r="O848" s="3">
        <v>3666</v>
      </c>
      <c r="P848" t="str">
        <f t="shared" si="26"/>
        <v>Fri</v>
      </c>
      <c r="Q848" t="str">
        <f t="shared" si="27"/>
        <v>Vey Active</v>
      </c>
    </row>
    <row r="849" spans="1:17">
      <c r="A849">
        <v>8378563200</v>
      </c>
      <c r="B849" s="1">
        <v>42481</v>
      </c>
      <c r="C849" s="3">
        <v>15148</v>
      </c>
      <c r="D849" s="2">
        <v>12.0100002288818</v>
      </c>
      <c r="E849" s="2">
        <v>12.0100002288818</v>
      </c>
      <c r="F849" s="2">
        <v>2.2530810832977299</v>
      </c>
      <c r="G849" s="2">
        <v>6.9000000953674299</v>
      </c>
      <c r="H849" s="2">
        <v>0.81999999284744296</v>
      </c>
      <c r="I849" s="2">
        <v>4.28999996185303</v>
      </c>
      <c r="J849" s="2">
        <v>0</v>
      </c>
      <c r="K849" s="3">
        <v>137</v>
      </c>
      <c r="L849" s="3">
        <v>16</v>
      </c>
      <c r="M849" s="3">
        <v>145</v>
      </c>
      <c r="N849" s="3">
        <v>677</v>
      </c>
      <c r="O849" s="3">
        <v>4236</v>
      </c>
      <c r="P849" t="str">
        <f t="shared" si="26"/>
        <v>Thu</v>
      </c>
      <c r="Q849" t="str">
        <f t="shared" si="27"/>
        <v>Vey Active</v>
      </c>
    </row>
    <row r="850" spans="1:17">
      <c r="A850">
        <v>8378563200</v>
      </c>
      <c r="B850" s="1">
        <v>42486</v>
      </c>
      <c r="C850" s="3">
        <v>16208</v>
      </c>
      <c r="D850" s="2">
        <v>12.8500003814697</v>
      </c>
      <c r="E850" s="2">
        <v>12.8500003814697</v>
      </c>
      <c r="F850" s="2">
        <v>0</v>
      </c>
      <c r="G850" s="2">
        <v>7.5100002288818404</v>
      </c>
      <c r="H850" s="2">
        <v>0.92000001668930098</v>
      </c>
      <c r="I850" s="2">
        <v>4.4200000762939498</v>
      </c>
      <c r="J850" s="2">
        <v>0</v>
      </c>
      <c r="K850" s="3">
        <v>90</v>
      </c>
      <c r="L850" s="3">
        <v>18</v>
      </c>
      <c r="M850" s="3">
        <v>161</v>
      </c>
      <c r="N850" s="3">
        <v>593</v>
      </c>
      <c r="O850" s="3">
        <v>3763</v>
      </c>
      <c r="P850" t="str">
        <f t="shared" si="26"/>
        <v>Tue</v>
      </c>
      <c r="Q850" t="str">
        <f t="shared" si="27"/>
        <v>Vey Active</v>
      </c>
    </row>
    <row r="851" spans="1:17">
      <c r="A851">
        <v>8583815059</v>
      </c>
      <c r="B851" s="1">
        <v>42502</v>
      </c>
      <c r="C851" s="3">
        <v>0</v>
      </c>
      <c r="D851" s="2">
        <v>0</v>
      </c>
      <c r="E851" s="2">
        <v>0</v>
      </c>
      <c r="F851" s="2">
        <v>0</v>
      </c>
      <c r="G851" s="2">
        <v>0</v>
      </c>
      <c r="H851" s="2">
        <v>0</v>
      </c>
      <c r="I851" s="2">
        <v>0</v>
      </c>
      <c r="J851" s="2">
        <v>0</v>
      </c>
      <c r="K851" s="3">
        <v>0</v>
      </c>
      <c r="L851" s="3">
        <v>0</v>
      </c>
      <c r="M851" s="3">
        <v>0</v>
      </c>
      <c r="N851" s="3">
        <v>1440</v>
      </c>
      <c r="O851" s="3">
        <v>0</v>
      </c>
      <c r="P851" t="str">
        <f t="shared" si="26"/>
        <v>Thu</v>
      </c>
      <c r="Q851" t="str">
        <f t="shared" si="27"/>
        <v>Sedentary</v>
      </c>
    </row>
    <row r="852" spans="1:17">
      <c r="A852">
        <v>8583815059</v>
      </c>
      <c r="B852" s="1">
        <v>42477</v>
      </c>
      <c r="C852" s="3">
        <v>3008</v>
      </c>
      <c r="D852" s="2">
        <v>2.3499999046325701</v>
      </c>
      <c r="E852" s="2">
        <v>2.3499999046325701</v>
      </c>
      <c r="F852" s="2">
        <v>0</v>
      </c>
      <c r="G852" s="2">
        <v>0</v>
      </c>
      <c r="H852" s="2">
        <v>0</v>
      </c>
      <c r="I852" s="2">
        <v>0</v>
      </c>
      <c r="J852" s="2">
        <v>0</v>
      </c>
      <c r="K852" s="3">
        <v>0</v>
      </c>
      <c r="L852" s="3">
        <v>0</v>
      </c>
      <c r="M852" s="3">
        <v>0</v>
      </c>
      <c r="N852" s="3">
        <v>1440</v>
      </c>
      <c r="O852" s="3">
        <v>2439</v>
      </c>
      <c r="P852" t="str">
        <f t="shared" si="26"/>
        <v>Sun</v>
      </c>
      <c r="Q852" t="str">
        <f t="shared" si="27"/>
        <v>Sedentary</v>
      </c>
    </row>
    <row r="853" spans="1:17">
      <c r="A853">
        <v>8583815059</v>
      </c>
      <c r="B853" s="1">
        <v>42474</v>
      </c>
      <c r="C853" s="3">
        <v>3135</v>
      </c>
      <c r="D853" s="2">
        <v>2.4500000476837198</v>
      </c>
      <c r="E853" s="2">
        <v>2.4500000476837198</v>
      </c>
      <c r="F853" s="2">
        <v>0</v>
      </c>
      <c r="G853" s="2">
        <v>0</v>
      </c>
      <c r="H853" s="2">
        <v>0</v>
      </c>
      <c r="I853" s="2">
        <v>2.4300000667571999</v>
      </c>
      <c r="J853" s="2">
        <v>0</v>
      </c>
      <c r="K853" s="3">
        <v>0</v>
      </c>
      <c r="L853" s="3">
        <v>0</v>
      </c>
      <c r="M853" s="3">
        <v>134</v>
      </c>
      <c r="N853" s="3">
        <v>1306</v>
      </c>
      <c r="O853" s="3">
        <v>2443</v>
      </c>
      <c r="P853" t="str">
        <f t="shared" si="26"/>
        <v>Thu</v>
      </c>
      <c r="Q853" t="str">
        <f t="shared" si="27"/>
        <v>Sedentary</v>
      </c>
    </row>
    <row r="854" spans="1:17">
      <c r="A854">
        <v>8583815059</v>
      </c>
      <c r="B854" s="1">
        <v>42475</v>
      </c>
      <c r="C854" s="3">
        <v>3430</v>
      </c>
      <c r="D854" s="2">
        <v>2.6800000667571999</v>
      </c>
      <c r="E854" s="2">
        <v>2.6800000667571999</v>
      </c>
      <c r="F854" s="2">
        <v>0</v>
      </c>
      <c r="G854" s="2">
        <v>0</v>
      </c>
      <c r="H854" s="2">
        <v>0</v>
      </c>
      <c r="I854" s="2">
        <v>0.89999997615814198</v>
      </c>
      <c r="J854" s="2">
        <v>0</v>
      </c>
      <c r="K854" s="3">
        <v>0</v>
      </c>
      <c r="L854" s="3">
        <v>0</v>
      </c>
      <c r="M854" s="3">
        <v>65</v>
      </c>
      <c r="N854" s="3">
        <v>1375</v>
      </c>
      <c r="O854" s="3">
        <v>2505</v>
      </c>
      <c r="P854" t="str">
        <f t="shared" si="26"/>
        <v>Fri</v>
      </c>
      <c r="Q854" t="str">
        <f t="shared" si="27"/>
        <v>Sedentary</v>
      </c>
    </row>
    <row r="855" spans="1:17">
      <c r="A855">
        <v>8583815059</v>
      </c>
      <c r="B855" s="1">
        <v>42494</v>
      </c>
      <c r="C855" s="3">
        <v>3588</v>
      </c>
      <c r="D855" s="2">
        <v>2.7999999523162802</v>
      </c>
      <c r="E855" s="2">
        <v>2.7999999523162802</v>
      </c>
      <c r="F855" s="2">
        <v>0</v>
      </c>
      <c r="G855" s="2">
        <v>0</v>
      </c>
      <c r="H855" s="2">
        <v>0</v>
      </c>
      <c r="I855" s="2">
        <v>0</v>
      </c>
      <c r="J855" s="2">
        <v>0</v>
      </c>
      <c r="K855" s="3">
        <v>0</v>
      </c>
      <c r="L855" s="3">
        <v>0</v>
      </c>
      <c r="M855" s="3">
        <v>0</v>
      </c>
      <c r="N855" s="3">
        <v>1440</v>
      </c>
      <c r="O855" s="3">
        <v>2516</v>
      </c>
      <c r="P855" t="str">
        <f t="shared" si="26"/>
        <v>Wed</v>
      </c>
      <c r="Q855" t="str">
        <f t="shared" si="27"/>
        <v>Sedentary</v>
      </c>
    </row>
    <row r="856" spans="1:17">
      <c r="A856">
        <v>8583815059</v>
      </c>
      <c r="B856" s="1">
        <v>42478</v>
      </c>
      <c r="C856" s="3">
        <v>3864</v>
      </c>
      <c r="D856" s="2">
        <v>3.0099999904632599</v>
      </c>
      <c r="E856" s="2">
        <v>3.0099999904632599</v>
      </c>
      <c r="F856" s="2">
        <v>0</v>
      </c>
      <c r="G856" s="2">
        <v>0.31000000238418601</v>
      </c>
      <c r="H856" s="2">
        <v>1.0599999427795399</v>
      </c>
      <c r="I856" s="2">
        <v>1.3500000238418599</v>
      </c>
      <c r="J856" s="2">
        <v>0</v>
      </c>
      <c r="K856" s="3">
        <v>4</v>
      </c>
      <c r="L856" s="3">
        <v>22</v>
      </c>
      <c r="M856" s="3">
        <v>105</v>
      </c>
      <c r="N856" s="3">
        <v>1309</v>
      </c>
      <c r="O856" s="3">
        <v>2536</v>
      </c>
      <c r="P856" t="str">
        <f t="shared" si="26"/>
        <v>Mon</v>
      </c>
      <c r="Q856" t="str">
        <f t="shared" si="27"/>
        <v>Sedentary</v>
      </c>
    </row>
    <row r="857" spans="1:17">
      <c r="A857">
        <v>8583815059</v>
      </c>
      <c r="B857" s="1">
        <v>42485</v>
      </c>
      <c r="C857" s="3">
        <v>4503</v>
      </c>
      <c r="D857" s="2">
        <v>3.5099999904632599</v>
      </c>
      <c r="E857" s="2">
        <v>3.5099999904632599</v>
      </c>
      <c r="F857" s="2">
        <v>0</v>
      </c>
      <c r="G857" s="2">
        <v>1.4700000286102299</v>
      </c>
      <c r="H857" s="2">
        <v>0.239999994635582</v>
      </c>
      <c r="I857" s="2">
        <v>1.8099999427795399</v>
      </c>
      <c r="J857" s="2">
        <v>0</v>
      </c>
      <c r="K857" s="3">
        <v>18</v>
      </c>
      <c r="L857" s="3">
        <v>6</v>
      </c>
      <c r="M857" s="3">
        <v>122</v>
      </c>
      <c r="N857" s="3">
        <v>1294</v>
      </c>
      <c r="O857" s="3">
        <v>2547</v>
      </c>
      <c r="P857" t="str">
        <f t="shared" si="26"/>
        <v>Mon</v>
      </c>
      <c r="Q857" t="str">
        <f t="shared" si="27"/>
        <v>Sedentary</v>
      </c>
    </row>
    <row r="858" spans="1:17">
      <c r="A858">
        <v>8583815059</v>
      </c>
      <c r="B858" s="1">
        <v>42491</v>
      </c>
      <c r="C858" s="3">
        <v>4512</v>
      </c>
      <c r="D858" s="2">
        <v>3.5199999809265101</v>
      </c>
      <c r="E858" s="2">
        <v>3.5199999809265101</v>
      </c>
      <c r="F858" s="2">
        <v>0</v>
      </c>
      <c r="G858" s="2">
        <v>0.77999997138977095</v>
      </c>
      <c r="H858" s="2">
        <v>0.119999997317791</v>
      </c>
      <c r="I858" s="2">
        <v>2.03999996185303</v>
      </c>
      <c r="J858" s="2">
        <v>0</v>
      </c>
      <c r="K858" s="3">
        <v>10</v>
      </c>
      <c r="L858" s="3">
        <v>2</v>
      </c>
      <c r="M858" s="3">
        <v>117</v>
      </c>
      <c r="N858" s="3">
        <v>1311</v>
      </c>
      <c r="O858" s="3">
        <v>2596</v>
      </c>
      <c r="P858" t="str">
        <f t="shared" si="26"/>
        <v>Sun</v>
      </c>
      <c r="Q858" t="str">
        <f t="shared" si="27"/>
        <v>Sedentary</v>
      </c>
    </row>
    <row r="859" spans="1:17">
      <c r="A859">
        <v>8583815059</v>
      </c>
      <c r="B859" s="1">
        <v>42472</v>
      </c>
      <c r="C859" s="3">
        <v>5014</v>
      </c>
      <c r="D859" s="2">
        <v>3.9100000858306898</v>
      </c>
      <c r="E859" s="2">
        <v>3.9100000858306898</v>
      </c>
      <c r="F859" s="2">
        <v>0</v>
      </c>
      <c r="G859" s="2">
        <v>0</v>
      </c>
      <c r="H859" s="2">
        <v>0.33000001311302202</v>
      </c>
      <c r="I859" s="2">
        <v>3.5799999237060498</v>
      </c>
      <c r="J859" s="2">
        <v>0</v>
      </c>
      <c r="K859" s="3">
        <v>0</v>
      </c>
      <c r="L859" s="3">
        <v>7</v>
      </c>
      <c r="M859" s="3">
        <v>196</v>
      </c>
      <c r="N859" s="3">
        <v>1237</v>
      </c>
      <c r="O859" s="3">
        <v>2650</v>
      </c>
      <c r="P859" t="str">
        <f t="shared" si="26"/>
        <v>Tue</v>
      </c>
      <c r="Q859" t="str">
        <f t="shared" si="27"/>
        <v>Lightly Active</v>
      </c>
    </row>
    <row r="860" spans="1:17">
      <c r="A860">
        <v>8583815059</v>
      </c>
      <c r="B860" s="1">
        <v>42480</v>
      </c>
      <c r="C860" s="3">
        <v>5273</v>
      </c>
      <c r="D860" s="2">
        <v>4.1100001335143999</v>
      </c>
      <c r="E860" s="2">
        <v>4.1100001335143999</v>
      </c>
      <c r="F860" s="2">
        <v>0</v>
      </c>
      <c r="G860" s="2">
        <v>0</v>
      </c>
      <c r="H860" s="2">
        <v>1.03999996185303</v>
      </c>
      <c r="I860" s="2">
        <v>3.0699999332428001</v>
      </c>
      <c r="J860" s="2">
        <v>0</v>
      </c>
      <c r="K860" s="3">
        <v>0</v>
      </c>
      <c r="L860" s="3">
        <v>27</v>
      </c>
      <c r="M860" s="3">
        <v>167</v>
      </c>
      <c r="N860" s="3">
        <v>1246</v>
      </c>
      <c r="O860" s="3">
        <v>2647</v>
      </c>
      <c r="P860" t="str">
        <f t="shared" si="26"/>
        <v>Wed</v>
      </c>
      <c r="Q860" t="str">
        <f t="shared" si="27"/>
        <v>Lightly Active</v>
      </c>
    </row>
    <row r="861" spans="1:17">
      <c r="A861">
        <v>8583815059</v>
      </c>
      <c r="B861" s="1">
        <v>42476</v>
      </c>
      <c r="C861" s="3">
        <v>5319</v>
      </c>
      <c r="D861" s="2">
        <v>4.1500000953674299</v>
      </c>
      <c r="E861" s="2">
        <v>4.1500000953674299</v>
      </c>
      <c r="F861" s="2">
        <v>0</v>
      </c>
      <c r="G861" s="2">
        <v>0</v>
      </c>
      <c r="H861" s="2">
        <v>0</v>
      </c>
      <c r="I861" s="2">
        <v>0</v>
      </c>
      <c r="J861" s="2">
        <v>0</v>
      </c>
      <c r="K861" s="3">
        <v>0</v>
      </c>
      <c r="L861" s="3">
        <v>0</v>
      </c>
      <c r="M861" s="3">
        <v>0</v>
      </c>
      <c r="N861" s="3">
        <v>1440</v>
      </c>
      <c r="O861" s="3">
        <v>2693</v>
      </c>
      <c r="P861" t="str">
        <f t="shared" si="26"/>
        <v>Sat</v>
      </c>
      <c r="Q861" t="str">
        <f t="shared" si="27"/>
        <v>Lightly Active</v>
      </c>
    </row>
    <row r="862" spans="1:17">
      <c r="A862">
        <v>8583815059</v>
      </c>
      <c r="B862" s="1">
        <v>42473</v>
      </c>
      <c r="C862" s="3">
        <v>5571</v>
      </c>
      <c r="D862" s="2">
        <v>4.3499999046325701</v>
      </c>
      <c r="E862" s="2">
        <v>4.3499999046325701</v>
      </c>
      <c r="F862" s="2">
        <v>0</v>
      </c>
      <c r="G862" s="2">
        <v>0.15000000596046401</v>
      </c>
      <c r="H862" s="2">
        <v>0.97000002861022905</v>
      </c>
      <c r="I862" s="2">
        <v>3.2300000190734899</v>
      </c>
      <c r="J862" s="2">
        <v>0</v>
      </c>
      <c r="K862" s="3">
        <v>2</v>
      </c>
      <c r="L862" s="3">
        <v>23</v>
      </c>
      <c r="M862" s="3">
        <v>163</v>
      </c>
      <c r="N862" s="3">
        <v>1252</v>
      </c>
      <c r="O862" s="3">
        <v>2654</v>
      </c>
      <c r="P862" t="str">
        <f t="shared" si="26"/>
        <v>Wed</v>
      </c>
      <c r="Q862" t="str">
        <f t="shared" si="27"/>
        <v>Lightly Active</v>
      </c>
    </row>
    <row r="863" spans="1:17">
      <c r="A863">
        <v>8583815059</v>
      </c>
      <c r="B863" s="1">
        <v>42479</v>
      </c>
      <c r="C863" s="3">
        <v>5697</v>
      </c>
      <c r="D863" s="2">
        <v>4.4400000572204599</v>
      </c>
      <c r="E863" s="2">
        <v>4.4400000572204599</v>
      </c>
      <c r="F863" s="2">
        <v>0</v>
      </c>
      <c r="G863" s="2">
        <v>0.52999997138977095</v>
      </c>
      <c r="H863" s="2">
        <v>0.479999989271164</v>
      </c>
      <c r="I863" s="2">
        <v>3.4400000572204599</v>
      </c>
      <c r="J863" s="2">
        <v>0</v>
      </c>
      <c r="K863" s="3">
        <v>7</v>
      </c>
      <c r="L863" s="3">
        <v>10</v>
      </c>
      <c r="M863" s="3">
        <v>166</v>
      </c>
      <c r="N863" s="3">
        <v>1257</v>
      </c>
      <c r="O863" s="3">
        <v>2668</v>
      </c>
      <c r="P863" t="str">
        <f t="shared" si="26"/>
        <v>Tue</v>
      </c>
      <c r="Q863" t="str">
        <f t="shared" si="27"/>
        <v>Lightly Active</v>
      </c>
    </row>
    <row r="864" spans="1:17">
      <c r="A864">
        <v>8583815059</v>
      </c>
      <c r="B864" s="1">
        <v>42496</v>
      </c>
      <c r="C864" s="3">
        <v>5843</v>
      </c>
      <c r="D864" s="2">
        <v>4.5599999427795401</v>
      </c>
      <c r="E864" s="2">
        <v>4.5599999427795401</v>
      </c>
      <c r="F864" s="2">
        <v>0</v>
      </c>
      <c r="G864" s="2">
        <v>0.140000000596046</v>
      </c>
      <c r="H864" s="2">
        <v>1.1900000572204601</v>
      </c>
      <c r="I864" s="2">
        <v>3.2300000190734899</v>
      </c>
      <c r="J864" s="2">
        <v>0</v>
      </c>
      <c r="K864" s="3">
        <v>2</v>
      </c>
      <c r="L864" s="3">
        <v>22</v>
      </c>
      <c r="M864" s="3">
        <v>166</v>
      </c>
      <c r="N864" s="3">
        <v>1250</v>
      </c>
      <c r="O864" s="3">
        <v>2683</v>
      </c>
      <c r="P864" t="str">
        <f t="shared" si="26"/>
        <v>Fri</v>
      </c>
      <c r="Q864" t="str">
        <f t="shared" si="27"/>
        <v>Lightly Active</v>
      </c>
    </row>
    <row r="865" spans="1:17">
      <c r="A865">
        <v>8583815059</v>
      </c>
      <c r="B865" s="1">
        <v>42497</v>
      </c>
      <c r="C865" s="3">
        <v>6117</v>
      </c>
      <c r="D865" s="2">
        <v>4.7699999809265101</v>
      </c>
      <c r="E865" s="2">
        <v>4.7699999809265101</v>
      </c>
      <c r="F865" s="2">
        <v>0</v>
      </c>
      <c r="G865" s="2">
        <v>0</v>
      </c>
      <c r="H865" s="2">
        <v>0</v>
      </c>
      <c r="I865" s="2">
        <v>4.7699999809265101</v>
      </c>
      <c r="J865" s="2">
        <v>0</v>
      </c>
      <c r="K865" s="3">
        <v>0</v>
      </c>
      <c r="L865" s="3">
        <v>0</v>
      </c>
      <c r="M865" s="3">
        <v>250</v>
      </c>
      <c r="N865" s="3">
        <v>1190</v>
      </c>
      <c r="O865" s="3">
        <v>2810</v>
      </c>
      <c r="P865" t="str">
        <f t="shared" si="26"/>
        <v>Sat</v>
      </c>
      <c r="Q865" t="str">
        <f t="shared" si="27"/>
        <v>Lightly Active</v>
      </c>
    </row>
    <row r="866" spans="1:17">
      <c r="A866">
        <v>8583815059</v>
      </c>
      <c r="B866" s="1">
        <v>42488</v>
      </c>
      <c r="C866" s="3">
        <v>6174</v>
      </c>
      <c r="D866" s="2">
        <v>4.8200001716613796</v>
      </c>
      <c r="E866" s="2">
        <v>4.8200001716613796</v>
      </c>
      <c r="F866" s="2">
        <v>0</v>
      </c>
      <c r="G866" s="2">
        <v>0</v>
      </c>
      <c r="H866" s="2">
        <v>1.20000004768372</v>
      </c>
      <c r="I866" s="2">
        <v>3.6099998950958301</v>
      </c>
      <c r="J866" s="2">
        <v>0</v>
      </c>
      <c r="K866" s="3">
        <v>0</v>
      </c>
      <c r="L866" s="3">
        <v>28</v>
      </c>
      <c r="M866" s="3">
        <v>203</v>
      </c>
      <c r="N866" s="3">
        <v>1209</v>
      </c>
      <c r="O866" s="3">
        <v>2757</v>
      </c>
      <c r="P866" t="str">
        <f t="shared" si="26"/>
        <v>Thu</v>
      </c>
      <c r="Q866" t="str">
        <f t="shared" si="27"/>
        <v>Lightly Active</v>
      </c>
    </row>
    <row r="867" spans="1:17">
      <c r="A867">
        <v>8583815059</v>
      </c>
      <c r="B867" s="1">
        <v>42500</v>
      </c>
      <c r="C867" s="3">
        <v>8240</v>
      </c>
      <c r="D867" s="2">
        <v>6.4299998283386204</v>
      </c>
      <c r="E867" s="2">
        <v>6.4299998283386204</v>
      </c>
      <c r="F867" s="2">
        <v>0</v>
      </c>
      <c r="G867" s="2">
        <v>0.68999999761581399</v>
      </c>
      <c r="H867" s="2">
        <v>2.0099999904632599</v>
      </c>
      <c r="I867" s="2">
        <v>3.7200000286102299</v>
      </c>
      <c r="J867" s="2">
        <v>0</v>
      </c>
      <c r="K867" s="3">
        <v>9</v>
      </c>
      <c r="L867" s="3">
        <v>43</v>
      </c>
      <c r="M867" s="3">
        <v>162</v>
      </c>
      <c r="N867" s="3">
        <v>1226</v>
      </c>
      <c r="O867" s="3">
        <v>2846</v>
      </c>
      <c r="P867" t="str">
        <f t="shared" si="26"/>
        <v>Tue</v>
      </c>
      <c r="Q867" t="str">
        <f t="shared" si="27"/>
        <v>Fairly Active</v>
      </c>
    </row>
    <row r="868" spans="1:17">
      <c r="A868">
        <v>8583815059</v>
      </c>
      <c r="B868" s="1">
        <v>42484</v>
      </c>
      <c r="C868" s="3">
        <v>8286</v>
      </c>
      <c r="D868" s="2">
        <v>6.46000003814697</v>
      </c>
      <c r="E868" s="2">
        <v>6.46000003814697</v>
      </c>
      <c r="F868" s="2">
        <v>0</v>
      </c>
      <c r="G868" s="2">
        <v>0.15000000596046401</v>
      </c>
      <c r="H868" s="2">
        <v>2.0499999523162802</v>
      </c>
      <c r="I868" s="2">
        <v>4.2699999809265101</v>
      </c>
      <c r="J868" s="2">
        <v>0</v>
      </c>
      <c r="K868" s="3">
        <v>2</v>
      </c>
      <c r="L868" s="3">
        <v>44</v>
      </c>
      <c r="M868" s="3">
        <v>206</v>
      </c>
      <c r="N868" s="3">
        <v>1188</v>
      </c>
      <c r="O868" s="3">
        <v>2889</v>
      </c>
      <c r="P868" t="str">
        <f t="shared" si="26"/>
        <v>Sun</v>
      </c>
      <c r="Q868" t="str">
        <f t="shared" si="27"/>
        <v>Fairly Active</v>
      </c>
    </row>
    <row r="869" spans="1:17">
      <c r="A869">
        <v>8583815059</v>
      </c>
      <c r="B869" s="1">
        <v>42492</v>
      </c>
      <c r="C869" s="3">
        <v>8469</v>
      </c>
      <c r="D869" s="2">
        <v>6.6100001335143999</v>
      </c>
      <c r="E869" s="2">
        <v>6.6100001335143999</v>
      </c>
      <c r="F869" s="2">
        <v>0</v>
      </c>
      <c r="G869" s="2">
        <v>0</v>
      </c>
      <c r="H869" s="2">
        <v>0</v>
      </c>
      <c r="I869" s="2">
        <v>0</v>
      </c>
      <c r="J869" s="2">
        <v>0</v>
      </c>
      <c r="K869" s="3">
        <v>0</v>
      </c>
      <c r="L869" s="3">
        <v>0</v>
      </c>
      <c r="M869" s="3">
        <v>0</v>
      </c>
      <c r="N869" s="3">
        <v>1440</v>
      </c>
      <c r="O869" s="3">
        <v>2894</v>
      </c>
      <c r="P869" t="str">
        <f t="shared" si="26"/>
        <v>Mon</v>
      </c>
      <c r="Q869" t="str">
        <f t="shared" si="27"/>
        <v>Fairly Active</v>
      </c>
    </row>
    <row r="870" spans="1:17">
      <c r="A870">
        <v>8583815059</v>
      </c>
      <c r="B870" s="1">
        <v>42481</v>
      </c>
      <c r="C870" s="3">
        <v>8538</v>
      </c>
      <c r="D870" s="2">
        <v>6.6599998474121103</v>
      </c>
      <c r="E870" s="2">
        <v>6.6599998474121103</v>
      </c>
      <c r="F870" s="2">
        <v>0</v>
      </c>
      <c r="G870" s="2">
        <v>2.6300001144409202</v>
      </c>
      <c r="H870" s="2">
        <v>1.0199999809265099</v>
      </c>
      <c r="I870" s="2">
        <v>3.0099999904632599</v>
      </c>
      <c r="J870" s="2">
        <v>0</v>
      </c>
      <c r="K870" s="3">
        <v>35</v>
      </c>
      <c r="L870" s="3">
        <v>18</v>
      </c>
      <c r="M870" s="3">
        <v>158</v>
      </c>
      <c r="N870" s="3">
        <v>1229</v>
      </c>
      <c r="O870" s="3">
        <v>2883</v>
      </c>
      <c r="P870" t="str">
        <f t="shared" si="26"/>
        <v>Thu</v>
      </c>
      <c r="Q870" t="str">
        <f t="shared" si="27"/>
        <v>Fairly Active</v>
      </c>
    </row>
    <row r="871" spans="1:17">
      <c r="A871">
        <v>8583815059</v>
      </c>
      <c r="B871" s="1">
        <v>42482</v>
      </c>
      <c r="C871" s="3">
        <v>8687</v>
      </c>
      <c r="D871" s="2">
        <v>6.7800002098083496</v>
      </c>
      <c r="E871" s="2">
        <v>6.7800002098083496</v>
      </c>
      <c r="F871" s="2">
        <v>0</v>
      </c>
      <c r="G871" s="2">
        <v>0.28999999165535001</v>
      </c>
      <c r="H871" s="2">
        <v>2.4100000858306898</v>
      </c>
      <c r="I871" s="2">
        <v>4.0799999237060502</v>
      </c>
      <c r="J871" s="2">
        <v>0</v>
      </c>
      <c r="K871" s="3">
        <v>4</v>
      </c>
      <c r="L871" s="3">
        <v>54</v>
      </c>
      <c r="M871" s="3">
        <v>212</v>
      </c>
      <c r="N871" s="3">
        <v>1170</v>
      </c>
      <c r="O871" s="3">
        <v>2944</v>
      </c>
      <c r="P871" t="str">
        <f t="shared" si="26"/>
        <v>Fri</v>
      </c>
      <c r="Q871" t="str">
        <f t="shared" si="27"/>
        <v>Fairly Active</v>
      </c>
    </row>
    <row r="872" spans="1:17">
      <c r="A872">
        <v>8583815059</v>
      </c>
      <c r="B872" s="1">
        <v>42501</v>
      </c>
      <c r="C872" s="3">
        <v>8701</v>
      </c>
      <c r="D872" s="2">
        <v>6.78999996185303</v>
      </c>
      <c r="E872" s="2">
        <v>6.78999996185303</v>
      </c>
      <c r="F872" s="2">
        <v>0</v>
      </c>
      <c r="G872" s="2">
        <v>0.37000000476837203</v>
      </c>
      <c r="H872" s="2">
        <v>3.2400000095367401</v>
      </c>
      <c r="I872" s="2">
        <v>3.1700000762939502</v>
      </c>
      <c r="J872" s="2">
        <v>0</v>
      </c>
      <c r="K872" s="3">
        <v>5</v>
      </c>
      <c r="L872" s="3">
        <v>71</v>
      </c>
      <c r="M872" s="3">
        <v>177</v>
      </c>
      <c r="N872" s="3">
        <v>1106</v>
      </c>
      <c r="O872" s="3">
        <v>2804</v>
      </c>
      <c r="P872" t="str">
        <f t="shared" si="26"/>
        <v>Wed</v>
      </c>
      <c r="Q872" t="str">
        <f t="shared" si="27"/>
        <v>Fairly Active</v>
      </c>
    </row>
    <row r="873" spans="1:17">
      <c r="A873">
        <v>8583815059</v>
      </c>
      <c r="B873" s="1">
        <v>42498</v>
      </c>
      <c r="C873" s="3">
        <v>9217</v>
      </c>
      <c r="D873" s="2">
        <v>7.1900000572204599</v>
      </c>
      <c r="E873" s="2">
        <v>7.1900000572204599</v>
      </c>
      <c r="F873" s="2">
        <v>0</v>
      </c>
      <c r="G873" s="2">
        <v>0.21999999880790699</v>
      </c>
      <c r="H873" s="2">
        <v>3.3099999427795401</v>
      </c>
      <c r="I873" s="2">
        <v>3.6600000858306898</v>
      </c>
      <c r="J873" s="2">
        <v>0</v>
      </c>
      <c r="K873" s="3">
        <v>3</v>
      </c>
      <c r="L873" s="3">
        <v>72</v>
      </c>
      <c r="M873" s="3">
        <v>182</v>
      </c>
      <c r="N873" s="3">
        <v>1183</v>
      </c>
      <c r="O873" s="3">
        <v>2940</v>
      </c>
      <c r="P873" t="str">
        <f t="shared" si="26"/>
        <v>Sun</v>
      </c>
      <c r="Q873" t="str">
        <f t="shared" si="27"/>
        <v>Fairly Active</v>
      </c>
    </row>
    <row r="874" spans="1:17">
      <c r="A874">
        <v>8583815059</v>
      </c>
      <c r="B874" s="1">
        <v>42483</v>
      </c>
      <c r="C874" s="3">
        <v>9423</v>
      </c>
      <c r="D874" s="2">
        <v>7.3499999046325701</v>
      </c>
      <c r="E874" s="2">
        <v>7.3499999046325701</v>
      </c>
      <c r="F874" s="2">
        <v>0</v>
      </c>
      <c r="G874" s="2">
        <v>0.52999997138977095</v>
      </c>
      <c r="H874" s="2">
        <v>2.0299999713897701</v>
      </c>
      <c r="I874" s="2">
        <v>4.75</v>
      </c>
      <c r="J874" s="2">
        <v>0</v>
      </c>
      <c r="K874" s="3">
        <v>7</v>
      </c>
      <c r="L874" s="3">
        <v>44</v>
      </c>
      <c r="M874" s="3">
        <v>238</v>
      </c>
      <c r="N874" s="3">
        <v>1151</v>
      </c>
      <c r="O874" s="3">
        <v>3012</v>
      </c>
      <c r="P874" t="str">
        <f t="shared" si="26"/>
        <v>Sat</v>
      </c>
      <c r="Q874" t="str">
        <f t="shared" si="27"/>
        <v>Fairly Active</v>
      </c>
    </row>
    <row r="875" spans="1:17">
      <c r="A875">
        <v>8583815059</v>
      </c>
      <c r="B875" s="1">
        <v>42499</v>
      </c>
      <c r="C875" s="3">
        <v>9877</v>
      </c>
      <c r="D875" s="2">
        <v>7.6999998092651403</v>
      </c>
      <c r="E875" s="2">
        <v>7.6999998092651403</v>
      </c>
      <c r="F875" s="2">
        <v>0</v>
      </c>
      <c r="G875" s="2">
        <v>5.7600002288818404</v>
      </c>
      <c r="H875" s="2">
        <v>0.17000000178813901</v>
      </c>
      <c r="I875" s="2">
        <v>1.7300000190734901</v>
      </c>
      <c r="J875" s="2">
        <v>0</v>
      </c>
      <c r="K875" s="3">
        <v>66</v>
      </c>
      <c r="L875" s="3">
        <v>4</v>
      </c>
      <c r="M875" s="3">
        <v>110</v>
      </c>
      <c r="N875" s="3">
        <v>1260</v>
      </c>
      <c r="O875" s="3">
        <v>2947</v>
      </c>
      <c r="P875" t="str">
        <f t="shared" si="26"/>
        <v>Mon</v>
      </c>
      <c r="Q875" t="str">
        <f t="shared" si="27"/>
        <v>Fairly Active</v>
      </c>
    </row>
    <row r="876" spans="1:17">
      <c r="A876">
        <v>8583815059</v>
      </c>
      <c r="B876" s="1">
        <v>42490</v>
      </c>
      <c r="C876" s="3">
        <v>10085</v>
      </c>
      <c r="D876" s="2">
        <v>7.8699998855590803</v>
      </c>
      <c r="E876" s="2">
        <v>7.8699998855590803</v>
      </c>
      <c r="F876" s="2">
        <v>0</v>
      </c>
      <c r="G876" s="2">
        <v>0.15000000596046401</v>
      </c>
      <c r="H876" s="2">
        <v>1.2799999713897701</v>
      </c>
      <c r="I876" s="2">
        <v>6.4299998283386204</v>
      </c>
      <c r="J876" s="2">
        <v>0</v>
      </c>
      <c r="K876" s="3">
        <v>2</v>
      </c>
      <c r="L876" s="3">
        <v>28</v>
      </c>
      <c r="M876" s="3">
        <v>317</v>
      </c>
      <c r="N876" s="3">
        <v>1093</v>
      </c>
      <c r="O876" s="3">
        <v>3164</v>
      </c>
      <c r="P876" t="str">
        <f t="shared" si="26"/>
        <v>Sat</v>
      </c>
      <c r="Q876" t="str">
        <f t="shared" si="27"/>
        <v>Vey Active</v>
      </c>
    </row>
    <row r="877" spans="1:17">
      <c r="A877">
        <v>8583815059</v>
      </c>
      <c r="B877" s="1">
        <v>42486</v>
      </c>
      <c r="C877" s="3">
        <v>10499</v>
      </c>
      <c r="D877" s="2">
        <v>8.1899995803833008</v>
      </c>
      <c r="E877" s="2">
        <v>8.1899995803833008</v>
      </c>
      <c r="F877" s="2">
        <v>0</v>
      </c>
      <c r="G877" s="2">
        <v>7.0000000298023196E-2</v>
      </c>
      <c r="H877" s="2">
        <v>4.2199997901916504</v>
      </c>
      <c r="I877" s="2">
        <v>3.8900001049041699</v>
      </c>
      <c r="J877" s="2">
        <v>0</v>
      </c>
      <c r="K877" s="3">
        <v>1</v>
      </c>
      <c r="L877" s="3">
        <v>91</v>
      </c>
      <c r="M877" s="3">
        <v>214</v>
      </c>
      <c r="N877" s="3">
        <v>1134</v>
      </c>
      <c r="O877" s="3">
        <v>3093</v>
      </c>
      <c r="P877" t="str">
        <f t="shared" si="26"/>
        <v>Tue</v>
      </c>
      <c r="Q877" t="str">
        <f t="shared" si="27"/>
        <v>Vey Active</v>
      </c>
    </row>
    <row r="878" spans="1:17">
      <c r="A878">
        <v>8583815059</v>
      </c>
      <c r="B878" s="1">
        <v>42493</v>
      </c>
      <c r="C878" s="3">
        <v>12015</v>
      </c>
      <c r="D878" s="2">
        <v>9.3699998855590803</v>
      </c>
      <c r="E878" s="2">
        <v>9.3699998855590803</v>
      </c>
      <c r="F878" s="2">
        <v>0</v>
      </c>
      <c r="G878" s="2">
        <v>0</v>
      </c>
      <c r="H878" s="2">
        <v>0</v>
      </c>
      <c r="I878" s="2">
        <v>0</v>
      </c>
      <c r="J878" s="2">
        <v>0</v>
      </c>
      <c r="K878" s="3">
        <v>0</v>
      </c>
      <c r="L878" s="3">
        <v>0</v>
      </c>
      <c r="M878" s="3">
        <v>0</v>
      </c>
      <c r="N878" s="3">
        <v>1440</v>
      </c>
      <c r="O878" s="3">
        <v>3212</v>
      </c>
      <c r="P878" t="str">
        <f t="shared" si="26"/>
        <v>Tue</v>
      </c>
      <c r="Q878" t="str">
        <f t="shared" si="27"/>
        <v>Vey Active</v>
      </c>
    </row>
    <row r="879" spans="1:17">
      <c r="A879">
        <v>8583815059</v>
      </c>
      <c r="B879" s="1">
        <v>42495</v>
      </c>
      <c r="C879" s="3">
        <v>12427</v>
      </c>
      <c r="D879" s="2">
        <v>9.6899995803833008</v>
      </c>
      <c r="E879" s="2">
        <v>9.6899995803833008</v>
      </c>
      <c r="F879" s="2">
        <v>0</v>
      </c>
      <c r="G879" s="2">
        <v>0</v>
      </c>
      <c r="H879" s="2">
        <v>0</v>
      </c>
      <c r="I879" s="2">
        <v>1.1799999475479099</v>
      </c>
      <c r="J879" s="2">
        <v>0</v>
      </c>
      <c r="K879" s="3">
        <v>0</v>
      </c>
      <c r="L879" s="3">
        <v>0</v>
      </c>
      <c r="M879" s="3">
        <v>70</v>
      </c>
      <c r="N879" s="3">
        <v>1370</v>
      </c>
      <c r="O879" s="3">
        <v>3266</v>
      </c>
      <c r="P879" t="str">
        <f t="shared" si="26"/>
        <v>Thu</v>
      </c>
      <c r="Q879" t="str">
        <f t="shared" si="27"/>
        <v>Vey Active</v>
      </c>
    </row>
    <row r="880" spans="1:17">
      <c r="A880">
        <v>8583815059</v>
      </c>
      <c r="B880" s="1">
        <v>42487</v>
      </c>
      <c r="C880" s="3">
        <v>12474</v>
      </c>
      <c r="D880" s="2">
        <v>9.7299995422363299</v>
      </c>
      <c r="E880" s="2">
        <v>9.7299995422363299</v>
      </c>
      <c r="F880" s="2">
        <v>0</v>
      </c>
      <c r="G880" s="2">
        <v>6.5999999046325701</v>
      </c>
      <c r="H880" s="2">
        <v>0.270000010728836</v>
      </c>
      <c r="I880" s="2">
        <v>2.8699998855590798</v>
      </c>
      <c r="J880" s="2">
        <v>0</v>
      </c>
      <c r="K880" s="3">
        <v>77</v>
      </c>
      <c r="L880" s="3">
        <v>5</v>
      </c>
      <c r="M880" s="3">
        <v>129</v>
      </c>
      <c r="N880" s="3">
        <v>1229</v>
      </c>
      <c r="O880" s="3">
        <v>3142</v>
      </c>
      <c r="P880" t="str">
        <f t="shared" si="26"/>
        <v>Wed</v>
      </c>
      <c r="Q880" t="str">
        <f t="shared" si="27"/>
        <v>Vey Active</v>
      </c>
    </row>
    <row r="881" spans="1:17">
      <c r="A881">
        <v>8583815059</v>
      </c>
      <c r="B881" s="1">
        <v>42489</v>
      </c>
      <c r="C881" s="3">
        <v>15168</v>
      </c>
      <c r="D881" s="2">
        <v>11.829999923706101</v>
      </c>
      <c r="E881" s="2">
        <v>11.829999923706101</v>
      </c>
      <c r="F881" s="2">
        <v>0</v>
      </c>
      <c r="G881" s="2">
        <v>3.9000000953674299</v>
      </c>
      <c r="H881" s="2">
        <v>3</v>
      </c>
      <c r="I881" s="2">
        <v>4.9200000762939498</v>
      </c>
      <c r="J881" s="2">
        <v>0</v>
      </c>
      <c r="K881" s="3">
        <v>46</v>
      </c>
      <c r="L881" s="3">
        <v>67</v>
      </c>
      <c r="M881" s="3">
        <v>258</v>
      </c>
      <c r="N881" s="3">
        <v>1069</v>
      </c>
      <c r="O881" s="3">
        <v>3513</v>
      </c>
      <c r="P881" t="str">
        <f t="shared" si="26"/>
        <v>Fri</v>
      </c>
      <c r="Q881" t="str">
        <f t="shared" si="27"/>
        <v>Vey Active</v>
      </c>
    </row>
    <row r="882" spans="1:17">
      <c r="A882">
        <v>8792009665</v>
      </c>
      <c r="B882" s="1">
        <v>42477</v>
      </c>
      <c r="C882" s="3">
        <v>0</v>
      </c>
      <c r="D882" s="2">
        <v>0</v>
      </c>
      <c r="E882" s="2">
        <v>0</v>
      </c>
      <c r="F882" s="2">
        <v>0</v>
      </c>
      <c r="G882" s="2">
        <v>0</v>
      </c>
      <c r="H882" s="2">
        <v>0</v>
      </c>
      <c r="I882" s="2">
        <v>0</v>
      </c>
      <c r="J882" s="2">
        <v>0</v>
      </c>
      <c r="K882" s="3">
        <v>0</v>
      </c>
      <c r="L882" s="3">
        <v>0</v>
      </c>
      <c r="M882" s="3">
        <v>0</v>
      </c>
      <c r="N882" s="3">
        <v>1440</v>
      </c>
      <c r="O882" s="3">
        <v>1688</v>
      </c>
      <c r="P882" t="str">
        <f t="shared" si="26"/>
        <v>Sun</v>
      </c>
      <c r="Q882" t="str">
        <f t="shared" si="27"/>
        <v>Sedentary</v>
      </c>
    </row>
    <row r="883" spans="1:17">
      <c r="A883">
        <v>8792009665</v>
      </c>
      <c r="B883" s="1">
        <v>42478</v>
      </c>
      <c r="C883" s="3">
        <v>0</v>
      </c>
      <c r="D883" s="2">
        <v>0</v>
      </c>
      <c r="E883" s="2">
        <v>0</v>
      </c>
      <c r="F883" s="2">
        <v>0</v>
      </c>
      <c r="G883" s="2">
        <v>0</v>
      </c>
      <c r="H883" s="2">
        <v>0</v>
      </c>
      <c r="I883" s="2">
        <v>0</v>
      </c>
      <c r="J883" s="2">
        <v>0</v>
      </c>
      <c r="K883" s="3">
        <v>0</v>
      </c>
      <c r="L883" s="3">
        <v>0</v>
      </c>
      <c r="M883" s="3">
        <v>0</v>
      </c>
      <c r="N883" s="3">
        <v>1440</v>
      </c>
      <c r="O883" s="3">
        <v>1688</v>
      </c>
      <c r="P883" t="str">
        <f t="shared" si="26"/>
        <v>Mon</v>
      </c>
      <c r="Q883" t="str">
        <f t="shared" si="27"/>
        <v>Sedentary</v>
      </c>
    </row>
    <row r="884" spans="1:17">
      <c r="A884">
        <v>8792009665</v>
      </c>
      <c r="B884" s="1">
        <v>42479</v>
      </c>
      <c r="C884" s="3">
        <v>0</v>
      </c>
      <c r="D884" s="2">
        <v>0</v>
      </c>
      <c r="E884" s="2">
        <v>0</v>
      </c>
      <c r="F884" s="2">
        <v>0</v>
      </c>
      <c r="G884" s="2">
        <v>0</v>
      </c>
      <c r="H884" s="2">
        <v>0</v>
      </c>
      <c r="I884" s="2">
        <v>0</v>
      </c>
      <c r="J884" s="2">
        <v>0</v>
      </c>
      <c r="K884" s="3">
        <v>0</v>
      </c>
      <c r="L884" s="3">
        <v>0</v>
      </c>
      <c r="M884" s="3">
        <v>0</v>
      </c>
      <c r="N884" s="3">
        <v>1440</v>
      </c>
      <c r="O884" s="3">
        <v>1688</v>
      </c>
      <c r="P884" t="str">
        <f t="shared" si="26"/>
        <v>Tue</v>
      </c>
      <c r="Q884" t="str">
        <f t="shared" si="27"/>
        <v>Sedentary</v>
      </c>
    </row>
    <row r="885" spans="1:17">
      <c r="A885">
        <v>8792009665</v>
      </c>
      <c r="B885" s="1">
        <v>42485</v>
      </c>
      <c r="C885" s="3">
        <v>0</v>
      </c>
      <c r="D885" s="2">
        <v>0</v>
      </c>
      <c r="E885" s="2">
        <v>0</v>
      </c>
      <c r="F885" s="2">
        <v>0</v>
      </c>
      <c r="G885" s="2">
        <v>0</v>
      </c>
      <c r="H885" s="2">
        <v>0</v>
      </c>
      <c r="I885" s="2">
        <v>0</v>
      </c>
      <c r="J885" s="2">
        <v>0</v>
      </c>
      <c r="K885" s="3">
        <v>0</v>
      </c>
      <c r="L885" s="3">
        <v>0</v>
      </c>
      <c r="M885" s="3">
        <v>0</v>
      </c>
      <c r="N885" s="3">
        <v>1440</v>
      </c>
      <c r="O885" s="3">
        <v>1688</v>
      </c>
      <c r="P885" t="str">
        <f t="shared" si="26"/>
        <v>Mon</v>
      </c>
      <c r="Q885" t="str">
        <f t="shared" si="27"/>
        <v>Sedentary</v>
      </c>
    </row>
    <row r="886" spans="1:17">
      <c r="A886">
        <v>8792009665</v>
      </c>
      <c r="B886" s="1">
        <v>42495</v>
      </c>
      <c r="C886" s="3">
        <v>0</v>
      </c>
      <c r="D886" s="2">
        <v>0</v>
      </c>
      <c r="E886" s="2">
        <v>0</v>
      </c>
      <c r="F886" s="2">
        <v>0</v>
      </c>
      <c r="G886" s="2">
        <v>0</v>
      </c>
      <c r="H886" s="2">
        <v>0</v>
      </c>
      <c r="I886" s="2">
        <v>0</v>
      </c>
      <c r="J886" s="2">
        <v>0</v>
      </c>
      <c r="K886" s="3">
        <v>0</v>
      </c>
      <c r="L886" s="3">
        <v>0</v>
      </c>
      <c r="M886" s="3">
        <v>0</v>
      </c>
      <c r="N886" s="3">
        <v>1440</v>
      </c>
      <c r="O886" s="3">
        <v>1688</v>
      </c>
      <c r="P886" t="str">
        <f t="shared" si="26"/>
        <v>Thu</v>
      </c>
      <c r="Q886" t="str">
        <f t="shared" si="27"/>
        <v>Sedentary</v>
      </c>
    </row>
    <row r="887" spans="1:17">
      <c r="A887">
        <v>8792009665</v>
      </c>
      <c r="B887" s="1">
        <v>42496</v>
      </c>
      <c r="C887" s="3">
        <v>0</v>
      </c>
      <c r="D887" s="2">
        <v>0</v>
      </c>
      <c r="E887" s="2">
        <v>0</v>
      </c>
      <c r="F887" s="2">
        <v>0</v>
      </c>
      <c r="G887" s="2">
        <v>0</v>
      </c>
      <c r="H887" s="2">
        <v>0</v>
      </c>
      <c r="I887" s="2">
        <v>0</v>
      </c>
      <c r="J887" s="2">
        <v>0</v>
      </c>
      <c r="K887" s="3">
        <v>0</v>
      </c>
      <c r="L887" s="3">
        <v>0</v>
      </c>
      <c r="M887" s="3">
        <v>0</v>
      </c>
      <c r="N887" s="3">
        <v>1440</v>
      </c>
      <c r="O887" s="3">
        <v>1688</v>
      </c>
      <c r="P887" t="str">
        <f t="shared" si="26"/>
        <v>Fri</v>
      </c>
      <c r="Q887" t="str">
        <f t="shared" si="27"/>
        <v>Sedentary</v>
      </c>
    </row>
    <row r="888" spans="1:17">
      <c r="A888">
        <v>8792009665</v>
      </c>
      <c r="B888" s="1">
        <v>42497</v>
      </c>
      <c r="C888" s="3">
        <v>0</v>
      </c>
      <c r="D888" s="2">
        <v>0</v>
      </c>
      <c r="E888" s="2">
        <v>0</v>
      </c>
      <c r="F888" s="2">
        <v>0</v>
      </c>
      <c r="G888" s="2">
        <v>0</v>
      </c>
      <c r="H888" s="2">
        <v>0</v>
      </c>
      <c r="I888" s="2">
        <v>0</v>
      </c>
      <c r="J888" s="2">
        <v>0</v>
      </c>
      <c r="K888" s="3">
        <v>0</v>
      </c>
      <c r="L888" s="3">
        <v>0</v>
      </c>
      <c r="M888" s="3">
        <v>0</v>
      </c>
      <c r="N888" s="3">
        <v>1440</v>
      </c>
      <c r="O888" s="3">
        <v>1688</v>
      </c>
      <c r="P888" t="str">
        <f t="shared" si="26"/>
        <v>Sat</v>
      </c>
      <c r="Q888" t="str">
        <f t="shared" si="27"/>
        <v>Sedentary</v>
      </c>
    </row>
    <row r="889" spans="1:17">
      <c r="A889">
        <v>8792009665</v>
      </c>
      <c r="B889" s="1">
        <v>42498</v>
      </c>
      <c r="C889" s="3">
        <v>0</v>
      </c>
      <c r="D889" s="2">
        <v>0</v>
      </c>
      <c r="E889" s="2">
        <v>0</v>
      </c>
      <c r="F889" s="2">
        <v>0</v>
      </c>
      <c r="G889" s="2">
        <v>0</v>
      </c>
      <c r="H889" s="2">
        <v>0</v>
      </c>
      <c r="I889" s="2">
        <v>0</v>
      </c>
      <c r="J889" s="2">
        <v>0</v>
      </c>
      <c r="K889" s="3">
        <v>0</v>
      </c>
      <c r="L889" s="3">
        <v>0</v>
      </c>
      <c r="M889" s="3">
        <v>0</v>
      </c>
      <c r="N889" s="3">
        <v>1440</v>
      </c>
      <c r="O889" s="3">
        <v>1688</v>
      </c>
      <c r="P889" t="str">
        <f t="shared" si="26"/>
        <v>Sun</v>
      </c>
      <c r="Q889" t="str">
        <f t="shared" si="27"/>
        <v>Sedentary</v>
      </c>
    </row>
    <row r="890" spans="1:17">
      <c r="A890">
        <v>8792009665</v>
      </c>
      <c r="B890" s="1">
        <v>42499</v>
      </c>
      <c r="C890" s="3">
        <v>0</v>
      </c>
      <c r="D890" s="2">
        <v>0</v>
      </c>
      <c r="E890" s="2">
        <v>0</v>
      </c>
      <c r="F890" s="2">
        <v>0</v>
      </c>
      <c r="G890" s="2">
        <v>0</v>
      </c>
      <c r="H890" s="2">
        <v>0</v>
      </c>
      <c r="I890" s="2">
        <v>0</v>
      </c>
      <c r="J890" s="2">
        <v>0</v>
      </c>
      <c r="K890" s="3">
        <v>0</v>
      </c>
      <c r="L890" s="3">
        <v>0</v>
      </c>
      <c r="M890" s="3">
        <v>0</v>
      </c>
      <c r="N890" s="3">
        <v>1440</v>
      </c>
      <c r="O890" s="3">
        <v>1688</v>
      </c>
      <c r="P890" t="str">
        <f t="shared" si="26"/>
        <v>Mon</v>
      </c>
      <c r="Q890" t="str">
        <f t="shared" si="27"/>
        <v>Sedentary</v>
      </c>
    </row>
    <row r="891" spans="1:17">
      <c r="A891">
        <v>8792009665</v>
      </c>
      <c r="B891" s="1">
        <v>42500</v>
      </c>
      <c r="C891" s="3">
        <v>0</v>
      </c>
      <c r="D891" s="2">
        <v>0</v>
      </c>
      <c r="E891" s="2">
        <v>0</v>
      </c>
      <c r="F891" s="2">
        <v>0</v>
      </c>
      <c r="G891" s="2">
        <v>0</v>
      </c>
      <c r="H891" s="2">
        <v>0</v>
      </c>
      <c r="I891" s="2">
        <v>0</v>
      </c>
      <c r="J891" s="2">
        <v>0</v>
      </c>
      <c r="K891" s="3">
        <v>0</v>
      </c>
      <c r="L891" s="3">
        <v>0</v>
      </c>
      <c r="M891" s="3">
        <v>0</v>
      </c>
      <c r="N891" s="3">
        <v>48</v>
      </c>
      <c r="O891" s="3">
        <v>57</v>
      </c>
      <c r="P891" t="str">
        <f t="shared" si="26"/>
        <v>Tue</v>
      </c>
      <c r="Q891" t="str">
        <f t="shared" si="27"/>
        <v>Sedentary</v>
      </c>
    </row>
    <row r="892" spans="1:17">
      <c r="A892">
        <v>8792009665</v>
      </c>
      <c r="B892" s="1">
        <v>42481</v>
      </c>
      <c r="C892" s="3">
        <v>144</v>
      </c>
      <c r="D892" s="2">
        <v>9.00000035762787E-2</v>
      </c>
      <c r="E892" s="2">
        <v>9.00000035762787E-2</v>
      </c>
      <c r="F892" s="2">
        <v>0</v>
      </c>
      <c r="G892" s="2">
        <v>0</v>
      </c>
      <c r="H892" s="2">
        <v>0</v>
      </c>
      <c r="I892" s="2">
        <v>9.00000035762787E-2</v>
      </c>
      <c r="J892" s="2">
        <v>0</v>
      </c>
      <c r="K892" s="3">
        <v>0</v>
      </c>
      <c r="L892" s="3">
        <v>0</v>
      </c>
      <c r="M892" s="3">
        <v>9</v>
      </c>
      <c r="N892" s="3">
        <v>1431</v>
      </c>
      <c r="O892" s="3">
        <v>1720</v>
      </c>
      <c r="P892" t="str">
        <f t="shared" si="26"/>
        <v>Thu</v>
      </c>
      <c r="Q892" t="str">
        <f t="shared" si="27"/>
        <v>Sedentary</v>
      </c>
    </row>
    <row r="893" spans="1:17">
      <c r="A893">
        <v>8792009665</v>
      </c>
      <c r="B893" s="1">
        <v>42476</v>
      </c>
      <c r="C893" s="3">
        <v>244</v>
      </c>
      <c r="D893" s="2">
        <v>0.15999999642372101</v>
      </c>
      <c r="E893" s="2">
        <v>0.15999999642372101</v>
      </c>
      <c r="F893" s="2">
        <v>0</v>
      </c>
      <c r="G893" s="2">
        <v>0</v>
      </c>
      <c r="H893" s="2">
        <v>0</v>
      </c>
      <c r="I893" s="2">
        <v>0.15999999642372101</v>
      </c>
      <c r="J893" s="2">
        <v>0</v>
      </c>
      <c r="K893" s="3">
        <v>0</v>
      </c>
      <c r="L893" s="3">
        <v>0</v>
      </c>
      <c r="M893" s="3">
        <v>12</v>
      </c>
      <c r="N893" s="3">
        <v>1428</v>
      </c>
      <c r="O893" s="3">
        <v>1721</v>
      </c>
      <c r="P893" t="str">
        <f t="shared" si="26"/>
        <v>Sat</v>
      </c>
      <c r="Q893" t="str">
        <f t="shared" si="27"/>
        <v>Sedentary</v>
      </c>
    </row>
    <row r="894" spans="1:17">
      <c r="A894">
        <v>8792009665</v>
      </c>
      <c r="B894" s="1">
        <v>42484</v>
      </c>
      <c r="C894" s="3">
        <v>400</v>
      </c>
      <c r="D894" s="2">
        <v>0.259999990463257</v>
      </c>
      <c r="E894" s="2">
        <v>0.259999990463257</v>
      </c>
      <c r="F894" s="2">
        <v>0</v>
      </c>
      <c r="G894" s="2">
        <v>3.9999999105930301E-2</v>
      </c>
      <c r="H894" s="2">
        <v>5.0000000745058101E-2</v>
      </c>
      <c r="I894" s="2">
        <v>0.15999999642372101</v>
      </c>
      <c r="J894" s="2">
        <v>0</v>
      </c>
      <c r="K894" s="3">
        <v>3</v>
      </c>
      <c r="L894" s="3">
        <v>8</v>
      </c>
      <c r="M894" s="3">
        <v>19</v>
      </c>
      <c r="N894" s="3">
        <v>1410</v>
      </c>
      <c r="O894" s="3">
        <v>1799</v>
      </c>
      <c r="P894" t="str">
        <f t="shared" si="26"/>
        <v>Sun</v>
      </c>
      <c r="Q894" t="str">
        <f t="shared" si="27"/>
        <v>Sedentary</v>
      </c>
    </row>
    <row r="895" spans="1:17">
      <c r="A895">
        <v>8792009665</v>
      </c>
      <c r="B895" s="1">
        <v>42474</v>
      </c>
      <c r="C895" s="3">
        <v>1219</v>
      </c>
      <c r="D895" s="2">
        <v>0.77999997138977095</v>
      </c>
      <c r="E895" s="2">
        <v>0.77999997138977095</v>
      </c>
      <c r="F895" s="2">
        <v>0</v>
      </c>
      <c r="G895" s="2">
        <v>0</v>
      </c>
      <c r="H895" s="2">
        <v>0</v>
      </c>
      <c r="I895" s="2">
        <v>0.77999997138977095</v>
      </c>
      <c r="J895" s="2">
        <v>0</v>
      </c>
      <c r="K895" s="3">
        <v>0</v>
      </c>
      <c r="L895" s="3">
        <v>0</v>
      </c>
      <c r="M895" s="3">
        <v>84</v>
      </c>
      <c r="N895" s="3">
        <v>853</v>
      </c>
      <c r="O895" s="3">
        <v>1963</v>
      </c>
      <c r="P895" t="str">
        <f t="shared" si="26"/>
        <v>Thu</v>
      </c>
      <c r="Q895" t="str">
        <f t="shared" si="27"/>
        <v>Sedentary</v>
      </c>
    </row>
    <row r="896" spans="1:17">
      <c r="A896">
        <v>8792009665</v>
      </c>
      <c r="B896" s="1">
        <v>42473</v>
      </c>
      <c r="C896" s="3">
        <v>1320</v>
      </c>
      <c r="D896" s="2">
        <v>0.83999997377395597</v>
      </c>
      <c r="E896" s="2">
        <v>0.83999997377395597</v>
      </c>
      <c r="F896" s="2">
        <v>0</v>
      </c>
      <c r="G896" s="2">
        <v>0</v>
      </c>
      <c r="H896" s="2">
        <v>0</v>
      </c>
      <c r="I896" s="2">
        <v>0.83999997377395597</v>
      </c>
      <c r="J896" s="2">
        <v>0</v>
      </c>
      <c r="K896" s="3">
        <v>0</v>
      </c>
      <c r="L896" s="3">
        <v>0</v>
      </c>
      <c r="M896" s="3">
        <v>82</v>
      </c>
      <c r="N896" s="3">
        <v>806</v>
      </c>
      <c r="O896" s="3">
        <v>1934</v>
      </c>
      <c r="P896" t="str">
        <f t="shared" si="26"/>
        <v>Wed</v>
      </c>
      <c r="Q896" t="str">
        <f t="shared" si="27"/>
        <v>Sedentary</v>
      </c>
    </row>
    <row r="897" spans="1:17">
      <c r="A897">
        <v>8792009665</v>
      </c>
      <c r="B897" s="1">
        <v>42486</v>
      </c>
      <c r="C897" s="3">
        <v>1321</v>
      </c>
      <c r="D897" s="2">
        <v>0.85000002384185802</v>
      </c>
      <c r="E897" s="2">
        <v>0.85000002384185802</v>
      </c>
      <c r="F897" s="2">
        <v>0</v>
      </c>
      <c r="G897" s="2">
        <v>0</v>
      </c>
      <c r="H897" s="2">
        <v>0</v>
      </c>
      <c r="I897" s="2">
        <v>0.85000002384185802</v>
      </c>
      <c r="J897" s="2">
        <v>0</v>
      </c>
      <c r="K897" s="3">
        <v>0</v>
      </c>
      <c r="L897" s="3">
        <v>0</v>
      </c>
      <c r="M897" s="3">
        <v>80</v>
      </c>
      <c r="N897" s="3">
        <v>1360</v>
      </c>
      <c r="O897" s="3">
        <v>1928</v>
      </c>
      <c r="P897" t="str">
        <f t="shared" si="26"/>
        <v>Tue</v>
      </c>
      <c r="Q897" t="str">
        <f t="shared" si="27"/>
        <v>Sedentary</v>
      </c>
    </row>
    <row r="898" spans="1:17">
      <c r="A898">
        <v>8792009665</v>
      </c>
      <c r="B898" s="1">
        <v>42491</v>
      </c>
      <c r="C898" s="3">
        <v>1619</v>
      </c>
      <c r="D898" s="2">
        <v>1.03999996185303</v>
      </c>
      <c r="E898" s="2">
        <v>1.03999996185303</v>
      </c>
      <c r="F898" s="2">
        <v>0</v>
      </c>
      <c r="G898" s="2">
        <v>0</v>
      </c>
      <c r="H898" s="2">
        <v>0</v>
      </c>
      <c r="I898" s="2">
        <v>1.03999996185303</v>
      </c>
      <c r="J898" s="2">
        <v>0</v>
      </c>
      <c r="K898" s="3">
        <v>0</v>
      </c>
      <c r="L898" s="3">
        <v>0</v>
      </c>
      <c r="M898" s="3">
        <v>79</v>
      </c>
      <c r="N898" s="3">
        <v>834</v>
      </c>
      <c r="O898" s="3">
        <v>1962</v>
      </c>
      <c r="P898" t="str">
        <f t="shared" ref="P898:P941" si="28">TEXT(B898, "ddd")</f>
        <v>Sun</v>
      </c>
      <c r="Q898" t="str">
        <f t="shared" ref="Q898:Q941" si="29">IF(C898&lt;5000, "Sedentary", IF(C898&lt;7500, "Lightly Active",IF(C898&lt;10000, "Fairly Active", "Vey Active")))</f>
        <v>Sedentary</v>
      </c>
    </row>
    <row r="899" spans="1:17">
      <c r="A899">
        <v>8792009665</v>
      </c>
      <c r="B899" s="1">
        <v>42487</v>
      </c>
      <c r="C899" s="3">
        <v>1758</v>
      </c>
      <c r="D899" s="2">
        <v>1.12999999523163</v>
      </c>
      <c r="E899" s="2">
        <v>1.12999999523163</v>
      </c>
      <c r="F899" s="2">
        <v>0</v>
      </c>
      <c r="G899" s="2">
        <v>0</v>
      </c>
      <c r="H899" s="2">
        <v>0</v>
      </c>
      <c r="I899" s="2">
        <v>1.12999999523163</v>
      </c>
      <c r="J899" s="2">
        <v>0</v>
      </c>
      <c r="K899" s="3">
        <v>0</v>
      </c>
      <c r="L899" s="3">
        <v>0</v>
      </c>
      <c r="M899" s="3">
        <v>112</v>
      </c>
      <c r="N899" s="3">
        <v>900</v>
      </c>
      <c r="O899" s="3">
        <v>2067</v>
      </c>
      <c r="P899" t="str">
        <f t="shared" si="28"/>
        <v>Wed</v>
      </c>
      <c r="Q899" t="str">
        <f t="shared" si="29"/>
        <v>Sedentary</v>
      </c>
    </row>
    <row r="900" spans="1:17">
      <c r="A900">
        <v>8792009665</v>
      </c>
      <c r="B900" s="1">
        <v>42492</v>
      </c>
      <c r="C900" s="3">
        <v>1831</v>
      </c>
      <c r="D900" s="2">
        <v>1.16999995708466</v>
      </c>
      <c r="E900" s="2">
        <v>1.16999995708466</v>
      </c>
      <c r="F900" s="2">
        <v>0</v>
      </c>
      <c r="G900" s="2">
        <v>0</v>
      </c>
      <c r="H900" s="2">
        <v>0</v>
      </c>
      <c r="I900" s="2">
        <v>1.16999995708466</v>
      </c>
      <c r="J900" s="2">
        <v>0</v>
      </c>
      <c r="K900" s="3">
        <v>0</v>
      </c>
      <c r="L900" s="3">
        <v>0</v>
      </c>
      <c r="M900" s="3">
        <v>101</v>
      </c>
      <c r="N900" s="3">
        <v>916</v>
      </c>
      <c r="O900" s="3">
        <v>2015</v>
      </c>
      <c r="P900" t="str">
        <f t="shared" si="28"/>
        <v>Mon</v>
      </c>
      <c r="Q900" t="str">
        <f t="shared" si="29"/>
        <v>Sedentary</v>
      </c>
    </row>
    <row r="901" spans="1:17">
      <c r="A901">
        <v>8792009665</v>
      </c>
      <c r="B901" s="1">
        <v>42494</v>
      </c>
      <c r="C901" s="3">
        <v>2283</v>
      </c>
      <c r="D901" s="2">
        <v>1.46000003814697</v>
      </c>
      <c r="E901" s="2">
        <v>1.46000003814697</v>
      </c>
      <c r="F901" s="2">
        <v>0</v>
      </c>
      <c r="G901" s="2">
        <v>0</v>
      </c>
      <c r="H901" s="2">
        <v>0</v>
      </c>
      <c r="I901" s="2">
        <v>1.46000003814697</v>
      </c>
      <c r="J901" s="2">
        <v>0</v>
      </c>
      <c r="K901" s="3">
        <v>0</v>
      </c>
      <c r="L901" s="3">
        <v>0</v>
      </c>
      <c r="M901" s="3">
        <v>129</v>
      </c>
      <c r="N901" s="3">
        <v>848</v>
      </c>
      <c r="O901" s="3">
        <v>2067</v>
      </c>
      <c r="P901" t="str">
        <f t="shared" si="28"/>
        <v>Wed</v>
      </c>
      <c r="Q901" t="str">
        <f t="shared" si="29"/>
        <v>Sedentary</v>
      </c>
    </row>
    <row r="902" spans="1:17">
      <c r="A902">
        <v>8792009665</v>
      </c>
      <c r="B902" s="1">
        <v>42493</v>
      </c>
      <c r="C902" s="3">
        <v>2421</v>
      </c>
      <c r="D902" s="2">
        <v>1.54999995231628</v>
      </c>
      <c r="E902" s="2">
        <v>1.54999995231628</v>
      </c>
      <c r="F902" s="2">
        <v>0</v>
      </c>
      <c r="G902" s="2">
        <v>0</v>
      </c>
      <c r="H902" s="2">
        <v>0</v>
      </c>
      <c r="I902" s="2">
        <v>1.54999995231628</v>
      </c>
      <c r="J902" s="2">
        <v>0</v>
      </c>
      <c r="K902" s="3">
        <v>0</v>
      </c>
      <c r="L902" s="3">
        <v>0</v>
      </c>
      <c r="M902" s="3">
        <v>156</v>
      </c>
      <c r="N902" s="3">
        <v>739</v>
      </c>
      <c r="O902" s="3">
        <v>2297</v>
      </c>
      <c r="P902" t="str">
        <f t="shared" si="28"/>
        <v>Tue</v>
      </c>
      <c r="Q902" t="str">
        <f t="shared" si="29"/>
        <v>Sedentary</v>
      </c>
    </row>
    <row r="903" spans="1:17">
      <c r="A903">
        <v>8792009665</v>
      </c>
      <c r="B903" s="1">
        <v>42475</v>
      </c>
      <c r="C903" s="3">
        <v>2483</v>
      </c>
      <c r="D903" s="2">
        <v>1.5900000333786</v>
      </c>
      <c r="E903" s="2">
        <v>1.5900000333786</v>
      </c>
      <c r="F903" s="2">
        <v>0</v>
      </c>
      <c r="G903" s="2">
        <v>0</v>
      </c>
      <c r="H903" s="2">
        <v>0</v>
      </c>
      <c r="I903" s="2">
        <v>1.5900000333786</v>
      </c>
      <c r="J903" s="2">
        <v>0</v>
      </c>
      <c r="K903" s="3">
        <v>0</v>
      </c>
      <c r="L903" s="3">
        <v>0</v>
      </c>
      <c r="M903" s="3">
        <v>126</v>
      </c>
      <c r="N903" s="3">
        <v>937</v>
      </c>
      <c r="O903" s="3">
        <v>2009</v>
      </c>
      <c r="P903" t="str">
        <f t="shared" si="28"/>
        <v>Fri</v>
      </c>
      <c r="Q903" t="str">
        <f t="shared" si="29"/>
        <v>Sedentary</v>
      </c>
    </row>
    <row r="904" spans="1:17">
      <c r="A904">
        <v>8792009665</v>
      </c>
      <c r="B904" s="1">
        <v>42472</v>
      </c>
      <c r="C904" s="3">
        <v>2564</v>
      </c>
      <c r="D904" s="2">
        <v>1.6399999856948899</v>
      </c>
      <c r="E904" s="2">
        <v>1.6399999856948899</v>
      </c>
      <c r="F904" s="2">
        <v>0</v>
      </c>
      <c r="G904" s="2">
        <v>0</v>
      </c>
      <c r="H904" s="2">
        <v>0</v>
      </c>
      <c r="I904" s="2">
        <v>1.6399999856948899</v>
      </c>
      <c r="J904" s="2">
        <v>0</v>
      </c>
      <c r="K904" s="3">
        <v>0</v>
      </c>
      <c r="L904" s="3">
        <v>0</v>
      </c>
      <c r="M904" s="3">
        <v>116</v>
      </c>
      <c r="N904" s="3">
        <v>831</v>
      </c>
      <c r="O904" s="3">
        <v>2044</v>
      </c>
      <c r="P904" t="str">
        <f t="shared" si="28"/>
        <v>Tue</v>
      </c>
      <c r="Q904" t="str">
        <f t="shared" si="29"/>
        <v>Sedentary</v>
      </c>
    </row>
    <row r="905" spans="1:17">
      <c r="A905">
        <v>8792009665</v>
      </c>
      <c r="B905" s="1">
        <v>42480</v>
      </c>
      <c r="C905" s="3">
        <v>3147</v>
      </c>
      <c r="D905" s="2">
        <v>2.0099999904632599</v>
      </c>
      <c r="E905" s="2">
        <v>2.0099999904632599</v>
      </c>
      <c r="F905" s="2">
        <v>0</v>
      </c>
      <c r="G905" s="2">
        <v>0</v>
      </c>
      <c r="H905" s="2">
        <v>0.28000000119209301</v>
      </c>
      <c r="I905" s="2">
        <v>1.7400000095367401</v>
      </c>
      <c r="J905" s="2">
        <v>0</v>
      </c>
      <c r="K905" s="3">
        <v>0</v>
      </c>
      <c r="L905" s="3">
        <v>10</v>
      </c>
      <c r="M905" s="3">
        <v>139</v>
      </c>
      <c r="N905" s="3">
        <v>744</v>
      </c>
      <c r="O905" s="3">
        <v>2188</v>
      </c>
      <c r="P905" t="str">
        <f t="shared" si="28"/>
        <v>Wed</v>
      </c>
      <c r="Q905" t="str">
        <f t="shared" si="29"/>
        <v>Sedentary</v>
      </c>
    </row>
    <row r="906" spans="1:17">
      <c r="A906">
        <v>8792009665</v>
      </c>
      <c r="B906" s="1">
        <v>42482</v>
      </c>
      <c r="C906" s="3">
        <v>4068</v>
      </c>
      <c r="D906" s="2">
        <v>2.5999999046325701</v>
      </c>
      <c r="E906" s="2">
        <v>2.5999999046325701</v>
      </c>
      <c r="F906" s="2">
        <v>0</v>
      </c>
      <c r="G906" s="2">
        <v>5.0000000745058101E-2</v>
      </c>
      <c r="H906" s="2">
        <v>0.28000000119209301</v>
      </c>
      <c r="I906" s="2">
        <v>2.2699999809265101</v>
      </c>
      <c r="J906" s="2">
        <v>0</v>
      </c>
      <c r="K906" s="3">
        <v>1</v>
      </c>
      <c r="L906" s="3">
        <v>20</v>
      </c>
      <c r="M906" s="3">
        <v>195</v>
      </c>
      <c r="N906" s="3">
        <v>817</v>
      </c>
      <c r="O906" s="3">
        <v>2419</v>
      </c>
      <c r="P906" t="str">
        <f t="shared" si="28"/>
        <v>Fri</v>
      </c>
      <c r="Q906" t="str">
        <f t="shared" si="29"/>
        <v>Sedentary</v>
      </c>
    </row>
    <row r="907" spans="1:17">
      <c r="A907">
        <v>8792009665</v>
      </c>
      <c r="B907" s="1">
        <v>42483</v>
      </c>
      <c r="C907" s="3">
        <v>5245</v>
      </c>
      <c r="D907" s="2">
        <v>3.3599998950958301</v>
      </c>
      <c r="E907" s="2">
        <v>3.3599998950958301</v>
      </c>
      <c r="F907" s="2">
        <v>0</v>
      </c>
      <c r="G907" s="2">
        <v>0.15999999642372101</v>
      </c>
      <c r="H907" s="2">
        <v>0.43999999761581399</v>
      </c>
      <c r="I907" s="2">
        <v>2.75</v>
      </c>
      <c r="J907" s="2">
        <v>0</v>
      </c>
      <c r="K907" s="3">
        <v>8</v>
      </c>
      <c r="L907" s="3">
        <v>45</v>
      </c>
      <c r="M907" s="3">
        <v>232</v>
      </c>
      <c r="N907" s="3">
        <v>795</v>
      </c>
      <c r="O907" s="3">
        <v>2748</v>
      </c>
      <c r="P907" t="str">
        <f t="shared" si="28"/>
        <v>Sat</v>
      </c>
      <c r="Q907" t="str">
        <f t="shared" si="29"/>
        <v>Lightly Active</v>
      </c>
    </row>
    <row r="908" spans="1:17">
      <c r="A908">
        <v>8792009665</v>
      </c>
      <c r="B908" s="1">
        <v>42488</v>
      </c>
      <c r="C908" s="3">
        <v>6157</v>
      </c>
      <c r="D908" s="2">
        <v>3.9400000572204599</v>
      </c>
      <c r="E908" s="2">
        <v>3.9400000572204599</v>
      </c>
      <c r="F908" s="2">
        <v>0</v>
      </c>
      <c r="G908" s="2">
        <v>0</v>
      </c>
      <c r="H908" s="2">
        <v>0</v>
      </c>
      <c r="I908" s="2">
        <v>3.9400000572204599</v>
      </c>
      <c r="J908" s="2">
        <v>0</v>
      </c>
      <c r="K908" s="3">
        <v>0</v>
      </c>
      <c r="L908" s="3">
        <v>0</v>
      </c>
      <c r="M908" s="3">
        <v>310</v>
      </c>
      <c r="N908" s="3">
        <v>714</v>
      </c>
      <c r="O908" s="3">
        <v>2780</v>
      </c>
      <c r="P908" t="str">
        <f t="shared" si="28"/>
        <v>Thu</v>
      </c>
      <c r="Q908" t="str">
        <f t="shared" si="29"/>
        <v>Lightly Active</v>
      </c>
    </row>
    <row r="909" spans="1:17">
      <c r="A909">
        <v>8792009665</v>
      </c>
      <c r="B909" s="1">
        <v>42490</v>
      </c>
      <c r="C909" s="3">
        <v>7174</v>
      </c>
      <c r="D909" s="2">
        <v>4.5900001525878897</v>
      </c>
      <c r="E909" s="2">
        <v>4.5900001525878897</v>
      </c>
      <c r="F909" s="2">
        <v>0</v>
      </c>
      <c r="G909" s="2">
        <v>0.33000001311302202</v>
      </c>
      <c r="H909" s="2">
        <v>0.36000001430511502</v>
      </c>
      <c r="I909" s="2">
        <v>3.9100000858306898</v>
      </c>
      <c r="J909" s="2">
        <v>0</v>
      </c>
      <c r="K909" s="3">
        <v>10</v>
      </c>
      <c r="L909" s="3">
        <v>20</v>
      </c>
      <c r="M909" s="3">
        <v>301</v>
      </c>
      <c r="N909" s="3">
        <v>749</v>
      </c>
      <c r="O909" s="3">
        <v>2896</v>
      </c>
      <c r="P909" t="str">
        <f t="shared" si="28"/>
        <v>Sat</v>
      </c>
      <c r="Q909" t="str">
        <f t="shared" si="29"/>
        <v>Lightly Active</v>
      </c>
    </row>
    <row r="910" spans="1:17">
      <c r="A910">
        <v>8792009665</v>
      </c>
      <c r="B910" s="1">
        <v>42489</v>
      </c>
      <c r="C910" s="3">
        <v>8360</v>
      </c>
      <c r="D910" s="2">
        <v>5.3499999046325701</v>
      </c>
      <c r="E910" s="2">
        <v>5.3499999046325701</v>
      </c>
      <c r="F910" s="2">
        <v>0</v>
      </c>
      <c r="G910" s="2">
        <v>0.140000000596046</v>
      </c>
      <c r="H910" s="2">
        <v>0.28000000119209301</v>
      </c>
      <c r="I910" s="2">
        <v>4.9299998283386204</v>
      </c>
      <c r="J910" s="2">
        <v>0</v>
      </c>
      <c r="K910" s="3">
        <v>6</v>
      </c>
      <c r="L910" s="3">
        <v>14</v>
      </c>
      <c r="M910" s="3">
        <v>380</v>
      </c>
      <c r="N910" s="3">
        <v>634</v>
      </c>
      <c r="O910" s="3">
        <v>3101</v>
      </c>
      <c r="P910" t="str">
        <f t="shared" si="28"/>
        <v>Fri</v>
      </c>
      <c r="Q910" t="str">
        <f t="shared" si="29"/>
        <v>Fairly Active</v>
      </c>
    </row>
    <row r="911" spans="1:17">
      <c r="A911">
        <v>8877689391</v>
      </c>
      <c r="B911" s="1">
        <v>42492</v>
      </c>
      <c r="C911" s="3">
        <v>4790</v>
      </c>
      <c r="D911" s="2">
        <v>3.6400001049041699</v>
      </c>
      <c r="E911" s="2">
        <v>3.6400001049041699</v>
      </c>
      <c r="F911" s="2">
        <v>0</v>
      </c>
      <c r="G911" s="2">
        <v>0</v>
      </c>
      <c r="H911" s="2">
        <v>0</v>
      </c>
      <c r="I911" s="2">
        <v>3.5599999427795401</v>
      </c>
      <c r="J911" s="2">
        <v>0</v>
      </c>
      <c r="K911" s="3">
        <v>0</v>
      </c>
      <c r="L911" s="3">
        <v>0</v>
      </c>
      <c r="M911" s="3">
        <v>105</v>
      </c>
      <c r="N911" s="3">
        <v>1335</v>
      </c>
      <c r="O911" s="3">
        <v>2189</v>
      </c>
      <c r="P911" t="str">
        <f t="shared" si="28"/>
        <v>Mon</v>
      </c>
      <c r="Q911" t="str">
        <f t="shared" si="29"/>
        <v>Sedentary</v>
      </c>
    </row>
    <row r="912" spans="1:17">
      <c r="A912">
        <v>8877689391</v>
      </c>
      <c r="B912" s="1">
        <v>42502</v>
      </c>
      <c r="C912" s="3">
        <v>8064</v>
      </c>
      <c r="D912" s="2">
        <v>6.1199998855590803</v>
      </c>
      <c r="E912" s="2">
        <v>6.1199998855590803</v>
      </c>
      <c r="F912" s="2">
        <v>0</v>
      </c>
      <c r="G912" s="2">
        <v>1.8200000524520901</v>
      </c>
      <c r="H912" s="2">
        <v>3.9999999105930301E-2</v>
      </c>
      <c r="I912" s="2">
        <v>4.25</v>
      </c>
      <c r="J912" s="2">
        <v>0</v>
      </c>
      <c r="K912" s="3">
        <v>23</v>
      </c>
      <c r="L912" s="3">
        <v>1</v>
      </c>
      <c r="M912" s="3">
        <v>137</v>
      </c>
      <c r="N912" s="3">
        <v>770</v>
      </c>
      <c r="O912" s="3">
        <v>1849</v>
      </c>
      <c r="P912" t="str">
        <f t="shared" si="28"/>
        <v>Thu</v>
      </c>
      <c r="Q912" t="str">
        <f t="shared" si="29"/>
        <v>Fairly Active</v>
      </c>
    </row>
    <row r="913" spans="1:17">
      <c r="A913">
        <v>8877689391</v>
      </c>
      <c r="B913" s="1">
        <v>42489</v>
      </c>
      <c r="C913" s="3">
        <v>9733</v>
      </c>
      <c r="D913" s="2">
        <v>7.3899998664856001</v>
      </c>
      <c r="E913" s="2">
        <v>7.3899998664856001</v>
      </c>
      <c r="F913" s="2">
        <v>0</v>
      </c>
      <c r="G913" s="2">
        <v>1.37999999523163</v>
      </c>
      <c r="H913" s="2">
        <v>0.17000000178813901</v>
      </c>
      <c r="I913" s="2">
        <v>5.78999996185303</v>
      </c>
      <c r="J913" s="2">
        <v>0</v>
      </c>
      <c r="K913" s="3">
        <v>18</v>
      </c>
      <c r="L913" s="3">
        <v>5</v>
      </c>
      <c r="M913" s="3">
        <v>210</v>
      </c>
      <c r="N913" s="3">
        <v>1207</v>
      </c>
      <c r="O913" s="3">
        <v>2698</v>
      </c>
      <c r="P913" t="str">
        <f t="shared" si="28"/>
        <v>Fri</v>
      </c>
      <c r="Q913" t="str">
        <f t="shared" si="29"/>
        <v>Fairly Active</v>
      </c>
    </row>
    <row r="914" spans="1:17">
      <c r="A914">
        <v>8877689391</v>
      </c>
      <c r="B914" s="1">
        <v>42498</v>
      </c>
      <c r="C914" s="3">
        <v>10686</v>
      </c>
      <c r="D914" s="2">
        <v>8.1099996566772496</v>
      </c>
      <c r="E914" s="2">
        <v>8.1099996566772496</v>
      </c>
      <c r="F914" s="2">
        <v>0</v>
      </c>
      <c r="G914" s="2">
        <v>1.08000004291534</v>
      </c>
      <c r="H914" s="2">
        <v>0.20000000298023199</v>
      </c>
      <c r="I914" s="2">
        <v>6.8000001907348597</v>
      </c>
      <c r="J914" s="2">
        <v>0</v>
      </c>
      <c r="K914" s="3">
        <v>17</v>
      </c>
      <c r="L914" s="3">
        <v>4</v>
      </c>
      <c r="M914" s="3">
        <v>245</v>
      </c>
      <c r="N914" s="3">
        <v>1174</v>
      </c>
      <c r="O914" s="3">
        <v>2847</v>
      </c>
      <c r="P914" t="str">
        <f t="shared" si="28"/>
        <v>Sun</v>
      </c>
      <c r="Q914" t="str">
        <f t="shared" si="29"/>
        <v>Vey Active</v>
      </c>
    </row>
    <row r="915" spans="1:17">
      <c r="A915">
        <v>8877689391</v>
      </c>
      <c r="B915" s="1">
        <v>42500</v>
      </c>
      <c r="C915" s="3">
        <v>10733</v>
      </c>
      <c r="D915" s="2">
        <v>8.1499996185302699</v>
      </c>
      <c r="E915" s="2">
        <v>8.1499996185302699</v>
      </c>
      <c r="F915" s="2">
        <v>0</v>
      </c>
      <c r="G915" s="2">
        <v>1.3500000238418599</v>
      </c>
      <c r="H915" s="2">
        <v>0.46000000834464999</v>
      </c>
      <c r="I915" s="2">
        <v>6.2800002098083496</v>
      </c>
      <c r="J915" s="2">
        <v>0</v>
      </c>
      <c r="K915" s="3">
        <v>18</v>
      </c>
      <c r="L915" s="3">
        <v>11</v>
      </c>
      <c r="M915" s="3">
        <v>224</v>
      </c>
      <c r="N915" s="3">
        <v>1187</v>
      </c>
      <c r="O915" s="3">
        <v>2832</v>
      </c>
      <c r="P915" t="str">
        <f t="shared" si="28"/>
        <v>Tue</v>
      </c>
      <c r="Q915" t="str">
        <f t="shared" si="29"/>
        <v>Vey Active</v>
      </c>
    </row>
    <row r="916" spans="1:17">
      <c r="A916">
        <v>8877689391</v>
      </c>
      <c r="B916" s="1">
        <v>42493</v>
      </c>
      <c r="C916" s="3">
        <v>10818</v>
      </c>
      <c r="D916" s="2">
        <v>8.2100000381469709</v>
      </c>
      <c r="E916" s="2">
        <v>8.2100000381469709</v>
      </c>
      <c r="F916" s="2">
        <v>0</v>
      </c>
      <c r="G916" s="2">
        <v>1.3899999856948899</v>
      </c>
      <c r="H916" s="2">
        <v>0.10000000149011599</v>
      </c>
      <c r="I916" s="2">
        <v>6.6700000762939498</v>
      </c>
      <c r="J916" s="2">
        <v>9.9999997764825804E-3</v>
      </c>
      <c r="K916" s="3">
        <v>19</v>
      </c>
      <c r="L916" s="3">
        <v>3</v>
      </c>
      <c r="M916" s="3">
        <v>229</v>
      </c>
      <c r="N916" s="3">
        <v>1189</v>
      </c>
      <c r="O916" s="3">
        <v>2817</v>
      </c>
      <c r="P916" t="str">
        <f t="shared" si="28"/>
        <v>Tue</v>
      </c>
      <c r="Q916" t="str">
        <f t="shared" si="29"/>
        <v>Vey Active</v>
      </c>
    </row>
    <row r="917" spans="1:17">
      <c r="A917">
        <v>8877689391</v>
      </c>
      <c r="B917" s="1">
        <v>42491</v>
      </c>
      <c r="C917" s="3">
        <v>10930</v>
      </c>
      <c r="D917" s="2">
        <v>8.3199996948242205</v>
      </c>
      <c r="E917" s="2">
        <v>8.3199996948242205</v>
      </c>
      <c r="F917" s="2">
        <v>0</v>
      </c>
      <c r="G917" s="2">
        <v>3.1300001144409202</v>
      </c>
      <c r="H917" s="2">
        <v>0.56999999284744296</v>
      </c>
      <c r="I917" s="2">
        <v>4.5700001716613796</v>
      </c>
      <c r="J917" s="2">
        <v>0</v>
      </c>
      <c r="K917" s="3">
        <v>36</v>
      </c>
      <c r="L917" s="3">
        <v>12</v>
      </c>
      <c r="M917" s="3">
        <v>166</v>
      </c>
      <c r="N917" s="3">
        <v>1226</v>
      </c>
      <c r="O917" s="3">
        <v>2786</v>
      </c>
      <c r="P917" t="str">
        <f t="shared" si="28"/>
        <v>Sun</v>
      </c>
      <c r="Q917" t="str">
        <f t="shared" si="29"/>
        <v>Vey Active</v>
      </c>
    </row>
    <row r="918" spans="1:17">
      <c r="A918">
        <v>8877689391</v>
      </c>
      <c r="B918" s="1">
        <v>42486</v>
      </c>
      <c r="C918" s="3">
        <v>11101</v>
      </c>
      <c r="D918" s="2">
        <v>8.4300003051757795</v>
      </c>
      <c r="E918" s="2">
        <v>8.4300003051757795</v>
      </c>
      <c r="F918" s="2">
        <v>0</v>
      </c>
      <c r="G918" s="2">
        <v>1.7599999904632599</v>
      </c>
      <c r="H918" s="2">
        <v>0.129999995231628</v>
      </c>
      <c r="I918" s="2">
        <v>6.5</v>
      </c>
      <c r="J918" s="2">
        <v>0</v>
      </c>
      <c r="K918" s="3">
        <v>22</v>
      </c>
      <c r="L918" s="3">
        <v>3</v>
      </c>
      <c r="M918" s="3">
        <v>258</v>
      </c>
      <c r="N918" s="3">
        <v>1157</v>
      </c>
      <c r="O918" s="3">
        <v>2860</v>
      </c>
      <c r="P918" t="str">
        <f t="shared" si="28"/>
        <v>Tue</v>
      </c>
      <c r="Q918" t="str">
        <f t="shared" si="29"/>
        <v>Vey Active</v>
      </c>
    </row>
    <row r="919" spans="1:17">
      <c r="A919">
        <v>8877689391</v>
      </c>
      <c r="B919" s="1">
        <v>42483</v>
      </c>
      <c r="C919" s="3">
        <v>11200</v>
      </c>
      <c r="D919" s="2">
        <v>7.4299998283386204</v>
      </c>
      <c r="E919" s="2">
        <v>7.4299998283386204</v>
      </c>
      <c r="F919" s="2">
        <v>0</v>
      </c>
      <c r="G919" s="2">
        <v>0</v>
      </c>
      <c r="H919" s="2">
        <v>0</v>
      </c>
      <c r="I919" s="2">
        <v>7.4000000953674299</v>
      </c>
      <c r="J919" s="2">
        <v>9.9999997764825804E-3</v>
      </c>
      <c r="K919" s="3">
        <v>102</v>
      </c>
      <c r="L919" s="3">
        <v>6</v>
      </c>
      <c r="M919" s="3">
        <v>300</v>
      </c>
      <c r="N919" s="3">
        <v>1032</v>
      </c>
      <c r="O919" s="3">
        <v>3891</v>
      </c>
      <c r="P919" t="str">
        <f t="shared" si="28"/>
        <v>Sat</v>
      </c>
      <c r="Q919" t="str">
        <f t="shared" si="29"/>
        <v>Vey Active</v>
      </c>
    </row>
    <row r="920" spans="1:17">
      <c r="A920">
        <v>8877689391</v>
      </c>
      <c r="B920" s="1">
        <v>42478</v>
      </c>
      <c r="C920" s="3">
        <v>11423</v>
      </c>
      <c r="D920" s="2">
        <v>8.6700000762939506</v>
      </c>
      <c r="E920" s="2">
        <v>8.6700000762939506</v>
      </c>
      <c r="F920" s="2">
        <v>0</v>
      </c>
      <c r="G920" s="2">
        <v>2.4400000572204599</v>
      </c>
      <c r="H920" s="2">
        <v>0.270000010728836</v>
      </c>
      <c r="I920" s="2">
        <v>5.9400000572204599</v>
      </c>
      <c r="J920" s="2">
        <v>0</v>
      </c>
      <c r="K920" s="3">
        <v>29</v>
      </c>
      <c r="L920" s="3">
        <v>5</v>
      </c>
      <c r="M920" s="3">
        <v>191</v>
      </c>
      <c r="N920" s="3">
        <v>1215</v>
      </c>
      <c r="O920" s="3">
        <v>2761</v>
      </c>
      <c r="P920" t="str">
        <f t="shared" si="28"/>
        <v>Mon</v>
      </c>
      <c r="Q920" t="str">
        <f t="shared" si="29"/>
        <v>Vey Active</v>
      </c>
    </row>
    <row r="921" spans="1:17">
      <c r="A921">
        <v>8877689391</v>
      </c>
      <c r="B921" s="1">
        <v>42497</v>
      </c>
      <c r="C921" s="3">
        <v>12332</v>
      </c>
      <c r="D921" s="2">
        <v>8.1300001144409197</v>
      </c>
      <c r="E921" s="2">
        <v>8.1300001144409197</v>
      </c>
      <c r="F921" s="2">
        <v>0</v>
      </c>
      <c r="G921" s="2">
        <v>7.9999998211860698E-2</v>
      </c>
      <c r="H921" s="2">
        <v>0.95999997854232799</v>
      </c>
      <c r="I921" s="2">
        <v>6.9899997711181596</v>
      </c>
      <c r="J921" s="2">
        <v>0</v>
      </c>
      <c r="K921" s="3">
        <v>105</v>
      </c>
      <c r="L921" s="3">
        <v>28</v>
      </c>
      <c r="M921" s="3">
        <v>271</v>
      </c>
      <c r="N921" s="3">
        <v>1036</v>
      </c>
      <c r="O921" s="3">
        <v>4142</v>
      </c>
      <c r="P921" t="str">
        <f t="shared" si="28"/>
        <v>Sat</v>
      </c>
      <c r="Q921" t="str">
        <f t="shared" si="29"/>
        <v>Vey Active</v>
      </c>
    </row>
    <row r="922" spans="1:17">
      <c r="A922">
        <v>8877689391</v>
      </c>
      <c r="B922" s="1">
        <v>42485</v>
      </c>
      <c r="C922" s="3">
        <v>12986</v>
      </c>
      <c r="D922" s="2">
        <v>8.7399997711181605</v>
      </c>
      <c r="E922" s="2">
        <v>8.7399997711181605</v>
      </c>
      <c r="F922" s="2">
        <v>0</v>
      </c>
      <c r="G922" s="2">
        <v>2.3699998855590798</v>
      </c>
      <c r="H922" s="2">
        <v>7.0000000298023196E-2</v>
      </c>
      <c r="I922" s="2">
        <v>6.2699999809265101</v>
      </c>
      <c r="J922" s="2">
        <v>9.9999997764825804E-3</v>
      </c>
      <c r="K922" s="3">
        <v>113</v>
      </c>
      <c r="L922" s="3">
        <v>8</v>
      </c>
      <c r="M922" s="3">
        <v>218</v>
      </c>
      <c r="N922" s="3">
        <v>1101</v>
      </c>
      <c r="O922" s="3">
        <v>3802</v>
      </c>
      <c r="P922" t="str">
        <f t="shared" si="28"/>
        <v>Mon</v>
      </c>
      <c r="Q922" t="str">
        <f t="shared" si="29"/>
        <v>Vey Active</v>
      </c>
    </row>
    <row r="923" spans="1:17">
      <c r="A923">
        <v>8877689391</v>
      </c>
      <c r="B923" s="1">
        <v>42475</v>
      </c>
      <c r="C923" s="3">
        <v>13422</v>
      </c>
      <c r="D923" s="2">
        <v>7.1700000762939498</v>
      </c>
      <c r="E923" s="2">
        <v>7.1700000762939498</v>
      </c>
      <c r="F923" s="2">
        <v>0</v>
      </c>
      <c r="G923" s="2">
        <v>5.0000000745058101E-2</v>
      </c>
      <c r="H923" s="2">
        <v>5.0000000745058101E-2</v>
      </c>
      <c r="I923" s="2">
        <v>7.0100002288818404</v>
      </c>
      <c r="J923" s="2">
        <v>9.9999997764825804E-3</v>
      </c>
      <c r="K923" s="3">
        <v>106</v>
      </c>
      <c r="L923" s="3">
        <v>1</v>
      </c>
      <c r="M923" s="3">
        <v>281</v>
      </c>
      <c r="N923" s="3">
        <v>1052</v>
      </c>
      <c r="O923" s="3">
        <v>3934</v>
      </c>
      <c r="P923" t="str">
        <f t="shared" si="28"/>
        <v>Fri</v>
      </c>
      <c r="Q923" t="str">
        <f t="shared" si="29"/>
        <v>Vey Active</v>
      </c>
    </row>
    <row r="924" spans="1:17">
      <c r="A924">
        <v>8877689391</v>
      </c>
      <c r="B924" s="1">
        <v>42495</v>
      </c>
      <c r="C924" s="3">
        <v>14055</v>
      </c>
      <c r="D924" s="2">
        <v>10.670000076293899</v>
      </c>
      <c r="E924" s="2">
        <v>10.670000076293899</v>
      </c>
      <c r="F924" s="2">
        <v>0</v>
      </c>
      <c r="G924" s="2">
        <v>5.46000003814697</v>
      </c>
      <c r="H924" s="2">
        <v>0.81999999284744296</v>
      </c>
      <c r="I924" s="2">
        <v>4.3699998855590803</v>
      </c>
      <c r="J924" s="2">
        <v>0</v>
      </c>
      <c r="K924" s="3">
        <v>67</v>
      </c>
      <c r="L924" s="3">
        <v>15</v>
      </c>
      <c r="M924" s="3">
        <v>188</v>
      </c>
      <c r="N924" s="3">
        <v>1170</v>
      </c>
      <c r="O924" s="3">
        <v>3052</v>
      </c>
      <c r="P924" t="str">
        <f t="shared" si="28"/>
        <v>Thu</v>
      </c>
      <c r="Q924" t="str">
        <f t="shared" si="29"/>
        <v>Vey Active</v>
      </c>
    </row>
    <row r="925" spans="1:17">
      <c r="A925">
        <v>8877689391</v>
      </c>
      <c r="B925" s="1">
        <v>42488</v>
      </c>
      <c r="C925" s="3">
        <v>14890</v>
      </c>
      <c r="D925" s="2">
        <v>11.300000190734901</v>
      </c>
      <c r="E925" s="2">
        <v>11.300000190734901</v>
      </c>
      <c r="F925" s="2">
        <v>0</v>
      </c>
      <c r="G925" s="2">
        <v>4.9299998283386204</v>
      </c>
      <c r="H925" s="2">
        <v>0.37999999523162797</v>
      </c>
      <c r="I925" s="2">
        <v>5.9699997901916504</v>
      </c>
      <c r="J925" s="2">
        <v>0</v>
      </c>
      <c r="K925" s="3">
        <v>58</v>
      </c>
      <c r="L925" s="3">
        <v>8</v>
      </c>
      <c r="M925" s="3">
        <v>231</v>
      </c>
      <c r="N925" s="3">
        <v>1143</v>
      </c>
      <c r="O925" s="3">
        <v>3060</v>
      </c>
      <c r="P925" t="str">
        <f t="shared" si="28"/>
        <v>Thu</v>
      </c>
      <c r="Q925" t="str">
        <f t="shared" si="29"/>
        <v>Vey Active</v>
      </c>
    </row>
    <row r="926" spans="1:17">
      <c r="A926">
        <v>8877689391</v>
      </c>
      <c r="B926" s="1">
        <v>42477</v>
      </c>
      <c r="C926" s="3">
        <v>15118</v>
      </c>
      <c r="D926" s="2">
        <v>8.8699998855590803</v>
      </c>
      <c r="E926" s="2">
        <v>8.8699998855590803</v>
      </c>
      <c r="F926" s="2">
        <v>0</v>
      </c>
      <c r="G926" s="2">
        <v>0</v>
      </c>
      <c r="H926" s="2">
        <v>7.0000000298023196E-2</v>
      </c>
      <c r="I926" s="2">
        <v>8.7899999618530291</v>
      </c>
      <c r="J926" s="2">
        <v>0</v>
      </c>
      <c r="K926" s="3">
        <v>58</v>
      </c>
      <c r="L926" s="3">
        <v>15</v>
      </c>
      <c r="M926" s="3">
        <v>307</v>
      </c>
      <c r="N926" s="3">
        <v>1060</v>
      </c>
      <c r="O926" s="3">
        <v>3545</v>
      </c>
      <c r="P926" t="str">
        <f t="shared" si="28"/>
        <v>Sun</v>
      </c>
      <c r="Q926" t="str">
        <f t="shared" si="29"/>
        <v>Vey Active</v>
      </c>
    </row>
    <row r="927" spans="1:17">
      <c r="A927">
        <v>8877689391</v>
      </c>
      <c r="B927" s="1">
        <v>42473</v>
      </c>
      <c r="C927" s="3">
        <v>15337</v>
      </c>
      <c r="D927" s="2">
        <v>9.5799999237060494</v>
      </c>
      <c r="E927" s="2">
        <v>9.5799999237060494</v>
      </c>
      <c r="F927" s="2">
        <v>0</v>
      </c>
      <c r="G927" s="2">
        <v>3.5499999523162802</v>
      </c>
      <c r="H927" s="2">
        <v>0.37999999523162797</v>
      </c>
      <c r="I927" s="2">
        <v>5.6399998664856001</v>
      </c>
      <c r="J927" s="2">
        <v>0</v>
      </c>
      <c r="K927" s="3">
        <v>108</v>
      </c>
      <c r="L927" s="3">
        <v>18</v>
      </c>
      <c r="M927" s="3">
        <v>216</v>
      </c>
      <c r="N927" s="3">
        <v>1098</v>
      </c>
      <c r="O927" s="3">
        <v>3566</v>
      </c>
      <c r="P927" t="str">
        <f t="shared" si="28"/>
        <v>Wed</v>
      </c>
      <c r="Q927" t="str">
        <f t="shared" si="29"/>
        <v>Vey Active</v>
      </c>
    </row>
    <row r="928" spans="1:17">
      <c r="A928">
        <v>8877689391</v>
      </c>
      <c r="B928" s="1">
        <v>42484</v>
      </c>
      <c r="C928" s="3">
        <v>16674</v>
      </c>
      <c r="D928" s="2">
        <v>15.7399997711182</v>
      </c>
      <c r="E928" s="2">
        <v>15.7399997711182</v>
      </c>
      <c r="F928" s="2">
        <v>0</v>
      </c>
      <c r="G928" s="2">
        <v>11.0100002288818</v>
      </c>
      <c r="H928" s="2">
        <v>9.9999997764825804E-3</v>
      </c>
      <c r="I928" s="2">
        <v>4.6900000572204599</v>
      </c>
      <c r="J928" s="2">
        <v>0</v>
      </c>
      <c r="K928" s="3">
        <v>64</v>
      </c>
      <c r="L928" s="3">
        <v>1</v>
      </c>
      <c r="M928" s="3">
        <v>227</v>
      </c>
      <c r="N928" s="3">
        <v>1148</v>
      </c>
      <c r="O928" s="3">
        <v>3455</v>
      </c>
      <c r="P928" t="str">
        <f t="shared" si="28"/>
        <v>Sun</v>
      </c>
      <c r="Q928" t="str">
        <f t="shared" si="29"/>
        <v>Vey Active</v>
      </c>
    </row>
    <row r="929" spans="1:17">
      <c r="A929">
        <v>8877689391</v>
      </c>
      <c r="B929" s="1">
        <v>42494</v>
      </c>
      <c r="C929" s="3">
        <v>18193</v>
      </c>
      <c r="D929" s="2">
        <v>16.299999237060501</v>
      </c>
      <c r="E929" s="2">
        <v>16.299999237060501</v>
      </c>
      <c r="F929" s="2">
        <v>0</v>
      </c>
      <c r="G929" s="2">
        <v>10.420000076293899</v>
      </c>
      <c r="H929" s="2">
        <v>0.31000000238418601</v>
      </c>
      <c r="I929" s="2">
        <v>5.5300002098083496</v>
      </c>
      <c r="J929" s="2">
        <v>0</v>
      </c>
      <c r="K929" s="3">
        <v>66</v>
      </c>
      <c r="L929" s="3">
        <v>8</v>
      </c>
      <c r="M929" s="3">
        <v>212</v>
      </c>
      <c r="N929" s="3">
        <v>1154</v>
      </c>
      <c r="O929" s="3">
        <v>3477</v>
      </c>
      <c r="P929" t="str">
        <f t="shared" si="28"/>
        <v>Wed</v>
      </c>
      <c r="Q929" t="str">
        <f t="shared" si="29"/>
        <v>Vey Active</v>
      </c>
    </row>
    <row r="930" spans="1:17">
      <c r="A930">
        <v>8877689391</v>
      </c>
      <c r="B930" s="1">
        <v>42482</v>
      </c>
      <c r="C930" s="3">
        <v>18258</v>
      </c>
      <c r="D930" s="2">
        <v>16.309999465942401</v>
      </c>
      <c r="E930" s="2">
        <v>16.309999465942401</v>
      </c>
      <c r="F930" s="2">
        <v>0</v>
      </c>
      <c r="G930" s="2">
        <v>10.2299995422363</v>
      </c>
      <c r="H930" s="2">
        <v>2.9999999329447701E-2</v>
      </c>
      <c r="I930" s="2">
        <v>5.9699997901916504</v>
      </c>
      <c r="J930" s="2">
        <v>5.0000000745058101E-2</v>
      </c>
      <c r="K930" s="3">
        <v>61</v>
      </c>
      <c r="L930" s="3">
        <v>2</v>
      </c>
      <c r="M930" s="3">
        <v>236</v>
      </c>
      <c r="N930" s="3">
        <v>1141</v>
      </c>
      <c r="O930" s="3">
        <v>3427</v>
      </c>
      <c r="P930" t="str">
        <f t="shared" si="28"/>
        <v>Fri</v>
      </c>
      <c r="Q930" t="str">
        <f t="shared" si="29"/>
        <v>Vey Active</v>
      </c>
    </row>
    <row r="931" spans="1:17">
      <c r="A931">
        <v>8877689391</v>
      </c>
      <c r="B931" s="1">
        <v>42479</v>
      </c>
      <c r="C931" s="3">
        <v>18785</v>
      </c>
      <c r="D931" s="2">
        <v>17.399999618530298</v>
      </c>
      <c r="E931" s="2">
        <v>17.399999618530298</v>
      </c>
      <c r="F931" s="2">
        <v>0</v>
      </c>
      <c r="G931" s="2">
        <v>12.1499996185303</v>
      </c>
      <c r="H931" s="2">
        <v>0.18000000715255701</v>
      </c>
      <c r="I931" s="2">
        <v>5.0300002098083496</v>
      </c>
      <c r="J931" s="2">
        <v>0</v>
      </c>
      <c r="K931" s="3">
        <v>82</v>
      </c>
      <c r="L931" s="3">
        <v>13</v>
      </c>
      <c r="M931" s="3">
        <v>214</v>
      </c>
      <c r="N931" s="3">
        <v>1131</v>
      </c>
      <c r="O931" s="3">
        <v>3676</v>
      </c>
      <c r="P931" t="str">
        <f t="shared" si="28"/>
        <v>Tue</v>
      </c>
      <c r="Q931" t="str">
        <f t="shared" si="29"/>
        <v>Vey Active</v>
      </c>
    </row>
    <row r="932" spans="1:17">
      <c r="A932">
        <v>8877689391</v>
      </c>
      <c r="B932" s="1">
        <v>42481</v>
      </c>
      <c r="C932" s="3">
        <v>19377</v>
      </c>
      <c r="D932" s="2">
        <v>17.620000839233398</v>
      </c>
      <c r="E932" s="2">
        <v>17.620000839233398</v>
      </c>
      <c r="F932" s="2">
        <v>0</v>
      </c>
      <c r="G932" s="2">
        <v>12.289999961853001</v>
      </c>
      <c r="H932" s="2">
        <v>0.41999998688697798</v>
      </c>
      <c r="I932" s="2">
        <v>4.8899998664856001</v>
      </c>
      <c r="J932" s="2">
        <v>0</v>
      </c>
      <c r="K932" s="3">
        <v>82</v>
      </c>
      <c r="L932" s="3">
        <v>13</v>
      </c>
      <c r="M932" s="3">
        <v>226</v>
      </c>
      <c r="N932" s="3">
        <v>1119</v>
      </c>
      <c r="O932" s="3">
        <v>3659</v>
      </c>
      <c r="P932" t="str">
        <f t="shared" si="28"/>
        <v>Thu</v>
      </c>
      <c r="Q932" t="str">
        <f t="shared" si="29"/>
        <v>Vey Active</v>
      </c>
    </row>
    <row r="933" spans="1:17">
      <c r="A933">
        <v>8877689391</v>
      </c>
      <c r="B933" s="1">
        <v>42480</v>
      </c>
      <c r="C933" s="3">
        <v>19948</v>
      </c>
      <c r="D933" s="2">
        <v>18.110000610351602</v>
      </c>
      <c r="E933" s="2">
        <v>18.110000610351602</v>
      </c>
      <c r="F933" s="2">
        <v>0</v>
      </c>
      <c r="G933" s="2">
        <v>11.0200004577637</v>
      </c>
      <c r="H933" s="2">
        <v>0.68999999761581399</v>
      </c>
      <c r="I933" s="2">
        <v>6.3400001525878897</v>
      </c>
      <c r="J933" s="2">
        <v>0</v>
      </c>
      <c r="K933" s="3">
        <v>73</v>
      </c>
      <c r="L933" s="3">
        <v>19</v>
      </c>
      <c r="M933" s="3">
        <v>225</v>
      </c>
      <c r="N933" s="3">
        <v>1123</v>
      </c>
      <c r="O933" s="3">
        <v>3679</v>
      </c>
      <c r="P933" t="str">
        <f t="shared" si="28"/>
        <v>Wed</v>
      </c>
      <c r="Q933" t="str">
        <f t="shared" si="29"/>
        <v>Vey Active</v>
      </c>
    </row>
    <row r="934" spans="1:17">
      <c r="A934">
        <v>8877689391</v>
      </c>
      <c r="B934" s="1">
        <v>42499</v>
      </c>
      <c r="C934" s="3">
        <v>20226</v>
      </c>
      <c r="D934" s="2">
        <v>18.25</v>
      </c>
      <c r="E934" s="2">
        <v>18.25</v>
      </c>
      <c r="F934" s="2">
        <v>0</v>
      </c>
      <c r="G934" s="2">
        <v>11.1000003814697</v>
      </c>
      <c r="H934" s="2">
        <v>0.80000001192092896</v>
      </c>
      <c r="I934" s="2">
        <v>6.2399997711181596</v>
      </c>
      <c r="J934" s="2">
        <v>5.0000000745058101E-2</v>
      </c>
      <c r="K934" s="3">
        <v>73</v>
      </c>
      <c r="L934" s="3">
        <v>19</v>
      </c>
      <c r="M934" s="3">
        <v>217</v>
      </c>
      <c r="N934" s="3">
        <v>1131</v>
      </c>
      <c r="O934" s="3">
        <v>3710</v>
      </c>
      <c r="P934" t="str">
        <f t="shared" si="28"/>
        <v>Mon</v>
      </c>
      <c r="Q934" t="str">
        <f t="shared" si="29"/>
        <v>Vey Active</v>
      </c>
    </row>
    <row r="935" spans="1:17">
      <c r="A935">
        <v>8877689391</v>
      </c>
      <c r="B935" s="1">
        <v>42474</v>
      </c>
      <c r="C935" s="3">
        <v>21129</v>
      </c>
      <c r="D935" s="2">
        <v>18.9799995422363</v>
      </c>
      <c r="E935" s="2">
        <v>18.9799995422363</v>
      </c>
      <c r="F935" s="2">
        <v>0</v>
      </c>
      <c r="G935" s="2">
        <v>10.550000190734901</v>
      </c>
      <c r="H935" s="2">
        <v>0.58999997377395597</v>
      </c>
      <c r="I935" s="2">
        <v>7.75</v>
      </c>
      <c r="J935" s="2">
        <v>1.9999999552965199E-2</v>
      </c>
      <c r="K935" s="3">
        <v>68</v>
      </c>
      <c r="L935" s="3">
        <v>13</v>
      </c>
      <c r="M935" s="3">
        <v>298</v>
      </c>
      <c r="N935" s="3">
        <v>1061</v>
      </c>
      <c r="O935" s="3">
        <v>3793</v>
      </c>
      <c r="P935" t="str">
        <f t="shared" si="28"/>
        <v>Thu</v>
      </c>
      <c r="Q935" t="str">
        <f t="shared" si="29"/>
        <v>Vey Active</v>
      </c>
    </row>
    <row r="936" spans="1:17">
      <c r="A936">
        <v>8877689391</v>
      </c>
      <c r="B936" s="1">
        <v>42501</v>
      </c>
      <c r="C936" s="3">
        <v>21420</v>
      </c>
      <c r="D936" s="2">
        <v>19.559999465942401</v>
      </c>
      <c r="E936" s="2">
        <v>19.559999465942401</v>
      </c>
      <c r="F936" s="2">
        <v>0</v>
      </c>
      <c r="G936" s="2">
        <v>13.2200002670288</v>
      </c>
      <c r="H936" s="2">
        <v>0.40999999642372098</v>
      </c>
      <c r="I936" s="2">
        <v>5.8899998664856001</v>
      </c>
      <c r="J936" s="2">
        <v>0</v>
      </c>
      <c r="K936" s="3">
        <v>88</v>
      </c>
      <c r="L936" s="3">
        <v>12</v>
      </c>
      <c r="M936" s="3">
        <v>213</v>
      </c>
      <c r="N936" s="3">
        <v>1127</v>
      </c>
      <c r="O936" s="3">
        <v>3832</v>
      </c>
      <c r="P936" t="str">
        <f t="shared" si="28"/>
        <v>Wed</v>
      </c>
      <c r="Q936" t="str">
        <f t="shared" si="29"/>
        <v>Vey Active</v>
      </c>
    </row>
    <row r="937" spans="1:17">
      <c r="A937">
        <v>8877689391</v>
      </c>
      <c r="B937" s="1">
        <v>42496</v>
      </c>
      <c r="C937" s="3">
        <v>21727</v>
      </c>
      <c r="D937" s="2">
        <v>19.340000152587901</v>
      </c>
      <c r="E937" s="2">
        <v>19.340000152587901</v>
      </c>
      <c r="F937" s="2">
        <v>0</v>
      </c>
      <c r="G937" s="2">
        <v>12.789999961853001</v>
      </c>
      <c r="H937" s="2">
        <v>0.28999999165535001</v>
      </c>
      <c r="I937" s="2">
        <v>6.1599998474121103</v>
      </c>
      <c r="J937" s="2">
        <v>0</v>
      </c>
      <c r="K937" s="3">
        <v>96</v>
      </c>
      <c r="L937" s="3">
        <v>17</v>
      </c>
      <c r="M937" s="3">
        <v>232</v>
      </c>
      <c r="N937" s="3">
        <v>1095</v>
      </c>
      <c r="O937" s="3">
        <v>4015</v>
      </c>
      <c r="P937" t="str">
        <f t="shared" si="28"/>
        <v>Fri</v>
      </c>
      <c r="Q937" t="str">
        <f t="shared" si="29"/>
        <v>Vey Active</v>
      </c>
    </row>
    <row r="938" spans="1:17">
      <c r="A938">
        <v>8877689391</v>
      </c>
      <c r="B938" s="1">
        <v>42472</v>
      </c>
      <c r="C938" s="3">
        <v>23186</v>
      </c>
      <c r="D938" s="2">
        <v>20.399999618530298</v>
      </c>
      <c r="E938" s="2">
        <v>20.399999618530298</v>
      </c>
      <c r="F938" s="2">
        <v>0</v>
      </c>
      <c r="G938" s="2">
        <v>12.2200002670288</v>
      </c>
      <c r="H938" s="2">
        <v>0.34000000357627902</v>
      </c>
      <c r="I938" s="2">
        <v>7.8200001716613796</v>
      </c>
      <c r="J938" s="2">
        <v>0</v>
      </c>
      <c r="K938" s="3">
        <v>85</v>
      </c>
      <c r="L938" s="3">
        <v>7</v>
      </c>
      <c r="M938" s="3">
        <v>312</v>
      </c>
      <c r="N938" s="3">
        <v>1036</v>
      </c>
      <c r="O938" s="3">
        <v>3921</v>
      </c>
      <c r="P938" t="str">
        <f t="shared" si="28"/>
        <v>Tue</v>
      </c>
      <c r="Q938" t="str">
        <f t="shared" si="29"/>
        <v>Vey Active</v>
      </c>
    </row>
    <row r="939" spans="1:17">
      <c r="A939">
        <v>8877689391</v>
      </c>
      <c r="B939" s="1">
        <v>42487</v>
      </c>
      <c r="C939" s="3">
        <v>23629</v>
      </c>
      <c r="D939" s="2">
        <v>20.649999618530298</v>
      </c>
      <c r="E939" s="2">
        <v>20.649999618530298</v>
      </c>
      <c r="F939" s="2">
        <v>0</v>
      </c>
      <c r="G939" s="2">
        <v>13.069999694824199</v>
      </c>
      <c r="H939" s="2">
        <v>0.43999999761581399</v>
      </c>
      <c r="I939" s="2">
        <v>7.0999999046325701</v>
      </c>
      <c r="J939" s="2">
        <v>0</v>
      </c>
      <c r="K939" s="3">
        <v>93</v>
      </c>
      <c r="L939" s="3">
        <v>8</v>
      </c>
      <c r="M939" s="3">
        <v>235</v>
      </c>
      <c r="N939" s="3">
        <v>1104</v>
      </c>
      <c r="O939" s="3">
        <v>3808</v>
      </c>
      <c r="P939" t="str">
        <f t="shared" si="28"/>
        <v>Wed</v>
      </c>
      <c r="Q939" t="str">
        <f t="shared" si="29"/>
        <v>Vey Active</v>
      </c>
    </row>
    <row r="940" spans="1:17">
      <c r="A940">
        <v>8877689391</v>
      </c>
      <c r="B940" s="1">
        <v>42490</v>
      </c>
      <c r="C940" s="3">
        <v>27745</v>
      </c>
      <c r="D940" s="2">
        <v>26.719999313354499</v>
      </c>
      <c r="E940" s="2">
        <v>26.719999313354499</v>
      </c>
      <c r="F940" s="2">
        <v>0</v>
      </c>
      <c r="G940" s="2">
        <v>21.659999847412099</v>
      </c>
      <c r="H940" s="2">
        <v>7.9999998211860698E-2</v>
      </c>
      <c r="I940" s="2">
        <v>4.9299998283386204</v>
      </c>
      <c r="J940" s="2">
        <v>0</v>
      </c>
      <c r="K940" s="3">
        <v>124</v>
      </c>
      <c r="L940" s="3">
        <v>4</v>
      </c>
      <c r="M940" s="3">
        <v>223</v>
      </c>
      <c r="N940" s="3">
        <v>1089</v>
      </c>
      <c r="O940" s="3">
        <v>4398</v>
      </c>
      <c r="P940" t="str">
        <f t="shared" si="28"/>
        <v>Sat</v>
      </c>
      <c r="Q940" t="str">
        <f t="shared" si="29"/>
        <v>Vey Active</v>
      </c>
    </row>
    <row r="941" spans="1:17">
      <c r="A941">
        <v>8877689391</v>
      </c>
      <c r="B941" s="1">
        <v>42476</v>
      </c>
      <c r="C941" s="3">
        <v>29326</v>
      </c>
      <c r="D941" s="2">
        <v>25.290000915527301</v>
      </c>
      <c r="E941" s="2">
        <v>25.290000915527301</v>
      </c>
      <c r="F941" s="2">
        <v>0</v>
      </c>
      <c r="G941" s="2">
        <v>13.2399997711182</v>
      </c>
      <c r="H941" s="2">
        <v>1.21000003814697</v>
      </c>
      <c r="I941" s="2">
        <v>10.710000038146999</v>
      </c>
      <c r="J941" s="2">
        <v>0</v>
      </c>
      <c r="K941" s="3">
        <v>94</v>
      </c>
      <c r="L941" s="3">
        <v>29</v>
      </c>
      <c r="M941" s="3">
        <v>429</v>
      </c>
      <c r="N941" s="3">
        <v>888</v>
      </c>
      <c r="O941" s="3">
        <v>4547</v>
      </c>
      <c r="P941" t="str">
        <f t="shared" si="28"/>
        <v>Sat</v>
      </c>
      <c r="Q941" t="str">
        <f t="shared" si="29"/>
        <v>Vey Active</v>
      </c>
    </row>
  </sheetData>
  <sortState ref="A2:Q941">
    <sortCondition ref="A223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411"/>
  <sheetViews>
    <sheetView workbookViewId="0">
      <selection activeCell="A6" sqref="A6"/>
    </sheetView>
  </sheetViews>
  <sheetFormatPr defaultRowHeight="15"/>
  <cols>
    <col min="1" max="1" width="11" bestFit="1" customWidth="1"/>
    <col min="2" max="2" width="9.7109375" style="1" customWidth="1"/>
    <col min="3" max="3" width="17.5703125" style="3" customWidth="1"/>
    <col min="4" max="4" width="19.28515625" style="3" bestFit="1" customWidth="1"/>
    <col min="5" max="5" width="15.140625" style="3" bestFit="1" customWidth="1"/>
  </cols>
  <sheetData>
    <row r="1" spans="1:5" s="5" customFormat="1">
      <c r="A1" s="5" t="s">
        <v>0</v>
      </c>
      <c r="B1" s="6" t="s">
        <v>17</v>
      </c>
      <c r="C1" s="7" t="s">
        <v>18</v>
      </c>
      <c r="D1" s="7" t="s">
        <v>19</v>
      </c>
      <c r="E1" s="7" t="s">
        <v>20</v>
      </c>
    </row>
    <row r="2" spans="1:5">
      <c r="A2">
        <v>1503960366</v>
      </c>
      <c r="B2" s="1">
        <v>42472</v>
      </c>
      <c r="C2" s="3">
        <v>1</v>
      </c>
      <c r="D2" s="3">
        <v>327</v>
      </c>
      <c r="E2" s="3">
        <v>346</v>
      </c>
    </row>
    <row r="3" spans="1:5">
      <c r="A3">
        <v>1503960366</v>
      </c>
      <c r="B3" s="1">
        <v>42473</v>
      </c>
      <c r="C3" s="3">
        <v>2</v>
      </c>
      <c r="D3" s="3">
        <v>384</v>
      </c>
      <c r="E3" s="3">
        <v>407</v>
      </c>
    </row>
    <row r="4" spans="1:5">
      <c r="A4">
        <v>1503960366</v>
      </c>
      <c r="B4" s="1">
        <v>42475</v>
      </c>
      <c r="C4" s="3">
        <v>1</v>
      </c>
      <c r="D4" s="3">
        <v>412</v>
      </c>
      <c r="E4" s="3">
        <v>442</v>
      </c>
    </row>
    <row r="5" spans="1:5">
      <c r="A5">
        <v>1503960366</v>
      </c>
      <c r="B5" s="1">
        <v>42476</v>
      </c>
      <c r="C5" s="3">
        <v>2</v>
      </c>
      <c r="D5" s="3">
        <v>340</v>
      </c>
      <c r="E5" s="3">
        <v>367</v>
      </c>
    </row>
    <row r="6" spans="1:5">
      <c r="A6">
        <v>1503960366</v>
      </c>
      <c r="B6" s="1">
        <v>42477</v>
      </c>
      <c r="C6" s="3">
        <v>1</v>
      </c>
      <c r="D6" s="3">
        <v>700</v>
      </c>
      <c r="E6" s="3">
        <v>712</v>
      </c>
    </row>
    <row r="7" spans="1:5">
      <c r="A7">
        <v>1503960366</v>
      </c>
      <c r="B7" s="1">
        <v>42479</v>
      </c>
      <c r="C7" s="3">
        <v>1</v>
      </c>
      <c r="D7" s="3">
        <v>304</v>
      </c>
      <c r="E7" s="3">
        <v>320</v>
      </c>
    </row>
    <row r="8" spans="1:5">
      <c r="A8">
        <v>1503960366</v>
      </c>
      <c r="B8" s="1">
        <v>42480</v>
      </c>
      <c r="C8" s="3">
        <v>1</v>
      </c>
      <c r="D8" s="3">
        <v>360</v>
      </c>
      <c r="E8" s="3">
        <v>377</v>
      </c>
    </row>
    <row r="9" spans="1:5">
      <c r="A9">
        <v>1503960366</v>
      </c>
      <c r="B9" s="1">
        <v>42481</v>
      </c>
      <c r="C9" s="3">
        <v>1</v>
      </c>
      <c r="D9" s="3">
        <v>325</v>
      </c>
      <c r="E9" s="3">
        <v>364</v>
      </c>
    </row>
    <row r="10" spans="1:5">
      <c r="A10">
        <v>1503960366</v>
      </c>
      <c r="B10" s="1">
        <v>42483</v>
      </c>
      <c r="C10" s="3">
        <v>1</v>
      </c>
      <c r="D10" s="3">
        <v>361</v>
      </c>
      <c r="E10" s="3">
        <v>384</v>
      </c>
    </row>
    <row r="11" spans="1:5">
      <c r="A11">
        <v>1503960366</v>
      </c>
      <c r="B11" s="1">
        <v>42484</v>
      </c>
      <c r="C11" s="3">
        <v>1</v>
      </c>
      <c r="D11" s="3">
        <v>430</v>
      </c>
      <c r="E11" s="3">
        <v>449</v>
      </c>
    </row>
    <row r="12" spans="1:5">
      <c r="A12">
        <v>1503960366</v>
      </c>
      <c r="B12" s="1">
        <v>42485</v>
      </c>
      <c r="C12" s="3">
        <v>1</v>
      </c>
      <c r="D12" s="3">
        <v>277</v>
      </c>
      <c r="E12" s="3">
        <v>323</v>
      </c>
    </row>
    <row r="13" spans="1:5">
      <c r="A13">
        <v>1503960366</v>
      </c>
      <c r="B13" s="1">
        <v>42486</v>
      </c>
      <c r="C13" s="3">
        <v>1</v>
      </c>
      <c r="D13" s="3">
        <v>245</v>
      </c>
      <c r="E13" s="3">
        <v>274</v>
      </c>
    </row>
    <row r="14" spans="1:5">
      <c r="A14">
        <v>1503960366</v>
      </c>
      <c r="B14" s="1">
        <v>42488</v>
      </c>
      <c r="C14" s="3">
        <v>1</v>
      </c>
      <c r="D14" s="3">
        <v>366</v>
      </c>
      <c r="E14" s="3">
        <v>393</v>
      </c>
    </row>
    <row r="15" spans="1:5">
      <c r="A15">
        <v>1503960366</v>
      </c>
      <c r="B15" s="1">
        <v>42489</v>
      </c>
      <c r="C15" s="3">
        <v>1</v>
      </c>
      <c r="D15" s="3">
        <v>341</v>
      </c>
      <c r="E15" s="3">
        <v>354</v>
      </c>
    </row>
    <row r="16" spans="1:5">
      <c r="A16">
        <v>1503960366</v>
      </c>
      <c r="B16" s="1">
        <v>42490</v>
      </c>
      <c r="C16" s="3">
        <v>1</v>
      </c>
      <c r="D16" s="3">
        <v>404</v>
      </c>
      <c r="E16" s="3">
        <v>425</v>
      </c>
    </row>
    <row r="17" spans="1:5">
      <c r="A17">
        <v>1503960366</v>
      </c>
      <c r="B17" s="1">
        <v>42491</v>
      </c>
      <c r="C17" s="3">
        <v>1</v>
      </c>
      <c r="D17" s="3">
        <v>369</v>
      </c>
      <c r="E17" s="3">
        <v>396</v>
      </c>
    </row>
    <row r="18" spans="1:5">
      <c r="A18">
        <v>1503960366</v>
      </c>
      <c r="B18" s="1">
        <v>42492</v>
      </c>
      <c r="C18" s="3">
        <v>1</v>
      </c>
      <c r="D18" s="3">
        <v>277</v>
      </c>
      <c r="E18" s="3">
        <v>309</v>
      </c>
    </row>
    <row r="19" spans="1:5">
      <c r="A19">
        <v>1503960366</v>
      </c>
      <c r="B19" s="1">
        <v>42493</v>
      </c>
      <c r="C19" s="3">
        <v>1</v>
      </c>
      <c r="D19" s="3">
        <v>273</v>
      </c>
      <c r="E19" s="3">
        <v>296</v>
      </c>
    </row>
    <row r="20" spans="1:5">
      <c r="A20">
        <v>1503960366</v>
      </c>
      <c r="B20" s="1">
        <v>42495</v>
      </c>
      <c r="C20" s="3">
        <v>1</v>
      </c>
      <c r="D20" s="3">
        <v>247</v>
      </c>
      <c r="E20" s="3">
        <v>264</v>
      </c>
    </row>
    <row r="21" spans="1:5">
      <c r="A21">
        <v>1503960366</v>
      </c>
      <c r="B21" s="1">
        <v>42496</v>
      </c>
      <c r="C21" s="3">
        <v>1</v>
      </c>
      <c r="D21" s="3">
        <v>334</v>
      </c>
      <c r="E21" s="3">
        <v>367</v>
      </c>
    </row>
    <row r="22" spans="1:5">
      <c r="A22">
        <v>1503960366</v>
      </c>
      <c r="B22" s="1">
        <v>42497</v>
      </c>
      <c r="C22" s="3">
        <v>1</v>
      </c>
      <c r="D22" s="3">
        <v>331</v>
      </c>
      <c r="E22" s="3">
        <v>349</v>
      </c>
    </row>
    <row r="23" spans="1:5">
      <c r="A23">
        <v>1503960366</v>
      </c>
      <c r="B23" s="1">
        <v>42498</v>
      </c>
      <c r="C23" s="3">
        <v>1</v>
      </c>
      <c r="D23" s="3">
        <v>594</v>
      </c>
      <c r="E23" s="3">
        <v>611</v>
      </c>
    </row>
    <row r="24" spans="1:5">
      <c r="A24">
        <v>1503960366</v>
      </c>
      <c r="B24" s="1">
        <v>42499</v>
      </c>
      <c r="C24" s="3">
        <v>1</v>
      </c>
      <c r="D24" s="3">
        <v>338</v>
      </c>
      <c r="E24" s="3">
        <v>342</v>
      </c>
    </row>
    <row r="25" spans="1:5">
      <c r="A25">
        <v>1503960366</v>
      </c>
      <c r="B25" s="1">
        <v>42500</v>
      </c>
      <c r="C25" s="3">
        <v>1</v>
      </c>
      <c r="D25" s="3">
        <v>383</v>
      </c>
      <c r="E25" s="3">
        <v>403</v>
      </c>
    </row>
    <row r="26" spans="1:5">
      <c r="A26">
        <v>1503960366</v>
      </c>
      <c r="B26" s="1">
        <v>42501</v>
      </c>
      <c r="C26" s="3">
        <v>1</v>
      </c>
      <c r="D26" s="3">
        <v>285</v>
      </c>
      <c r="E26" s="3">
        <v>306</v>
      </c>
    </row>
    <row r="27" spans="1:5">
      <c r="A27">
        <v>1644430081</v>
      </c>
      <c r="B27" s="1">
        <v>42489</v>
      </c>
      <c r="C27" s="3">
        <v>1</v>
      </c>
      <c r="D27" s="3">
        <v>119</v>
      </c>
      <c r="E27" s="3">
        <v>127</v>
      </c>
    </row>
    <row r="28" spans="1:5">
      <c r="A28">
        <v>1644430081</v>
      </c>
      <c r="B28" s="1">
        <v>42490</v>
      </c>
      <c r="C28" s="3">
        <v>1</v>
      </c>
      <c r="D28" s="3">
        <v>124</v>
      </c>
      <c r="E28" s="3">
        <v>142</v>
      </c>
    </row>
    <row r="29" spans="1:5">
      <c r="A29">
        <v>1644430081</v>
      </c>
      <c r="B29" s="1">
        <v>42492</v>
      </c>
      <c r="C29" s="3">
        <v>1</v>
      </c>
      <c r="D29" s="3">
        <v>796</v>
      </c>
      <c r="E29" s="3">
        <v>961</v>
      </c>
    </row>
    <row r="30" spans="1:5">
      <c r="A30">
        <v>1644430081</v>
      </c>
      <c r="B30" s="1">
        <v>42498</v>
      </c>
      <c r="C30" s="3">
        <v>1</v>
      </c>
      <c r="D30" s="3">
        <v>137</v>
      </c>
      <c r="E30" s="3">
        <v>154</v>
      </c>
    </row>
    <row r="31" spans="1:5">
      <c r="A31">
        <v>1844505072</v>
      </c>
      <c r="B31" s="1">
        <v>42475</v>
      </c>
      <c r="C31" s="3">
        <v>1</v>
      </c>
      <c r="D31" s="3">
        <v>644</v>
      </c>
      <c r="E31" s="3">
        <v>961</v>
      </c>
    </row>
    <row r="32" spans="1:5">
      <c r="A32">
        <v>1844505072</v>
      </c>
      <c r="B32" s="1">
        <v>42490</v>
      </c>
      <c r="C32" s="3">
        <v>1</v>
      </c>
      <c r="D32" s="3">
        <v>722</v>
      </c>
      <c r="E32" s="3">
        <v>961</v>
      </c>
    </row>
    <row r="33" spans="1:5">
      <c r="A33">
        <v>1844505072</v>
      </c>
      <c r="B33" s="1">
        <v>42491</v>
      </c>
      <c r="C33" s="3">
        <v>1</v>
      </c>
      <c r="D33" s="3">
        <v>590</v>
      </c>
      <c r="E33" s="3">
        <v>961</v>
      </c>
    </row>
    <row r="34" spans="1:5">
      <c r="A34">
        <v>1927972279</v>
      </c>
      <c r="B34" s="1">
        <v>42472</v>
      </c>
      <c r="C34" s="3">
        <v>3</v>
      </c>
      <c r="D34" s="3">
        <v>750</v>
      </c>
      <c r="E34" s="3">
        <v>775</v>
      </c>
    </row>
    <row r="35" spans="1:5">
      <c r="A35">
        <v>1927972279</v>
      </c>
      <c r="B35" s="1">
        <v>42473</v>
      </c>
      <c r="C35" s="3">
        <v>1</v>
      </c>
      <c r="D35" s="3">
        <v>398</v>
      </c>
      <c r="E35" s="3">
        <v>422</v>
      </c>
    </row>
    <row r="36" spans="1:5">
      <c r="A36">
        <v>1927972279</v>
      </c>
      <c r="B36" s="1">
        <v>42475</v>
      </c>
      <c r="C36" s="3">
        <v>2</v>
      </c>
      <c r="D36" s="3">
        <v>475</v>
      </c>
      <c r="E36" s="3">
        <v>499</v>
      </c>
    </row>
    <row r="37" spans="1:5">
      <c r="A37">
        <v>1927972279</v>
      </c>
      <c r="B37" s="1">
        <v>42486</v>
      </c>
      <c r="C37" s="3">
        <v>1</v>
      </c>
      <c r="D37" s="3">
        <v>296</v>
      </c>
      <c r="E37" s="3">
        <v>315</v>
      </c>
    </row>
    <row r="38" spans="1:5">
      <c r="A38">
        <v>1927972279</v>
      </c>
      <c r="B38" s="1">
        <v>42488</v>
      </c>
      <c r="C38" s="3">
        <v>1</v>
      </c>
      <c r="D38" s="3">
        <v>166</v>
      </c>
      <c r="E38" s="3">
        <v>178</v>
      </c>
    </row>
    <row r="39" spans="1:5">
      <c r="A39">
        <v>2026352035</v>
      </c>
      <c r="B39" s="1">
        <v>42472</v>
      </c>
      <c r="C39" s="3">
        <v>1</v>
      </c>
      <c r="D39" s="3">
        <v>503</v>
      </c>
      <c r="E39" s="3">
        <v>546</v>
      </c>
    </row>
    <row r="40" spans="1:5">
      <c r="A40">
        <v>2026352035</v>
      </c>
      <c r="B40" s="1">
        <v>42473</v>
      </c>
      <c r="C40" s="3">
        <v>1</v>
      </c>
      <c r="D40" s="3">
        <v>531</v>
      </c>
      <c r="E40" s="3">
        <v>565</v>
      </c>
    </row>
    <row r="41" spans="1:5">
      <c r="A41">
        <v>2026352035</v>
      </c>
      <c r="B41" s="1">
        <v>42474</v>
      </c>
      <c r="C41" s="3">
        <v>1</v>
      </c>
      <c r="D41" s="3">
        <v>545</v>
      </c>
      <c r="E41" s="3">
        <v>568</v>
      </c>
    </row>
    <row r="42" spans="1:5">
      <c r="A42">
        <v>2026352035</v>
      </c>
      <c r="B42" s="1">
        <v>42475</v>
      </c>
      <c r="C42" s="3">
        <v>1</v>
      </c>
      <c r="D42" s="3">
        <v>523</v>
      </c>
      <c r="E42" s="3">
        <v>573</v>
      </c>
    </row>
    <row r="43" spans="1:5">
      <c r="A43">
        <v>2026352035</v>
      </c>
      <c r="B43" s="1">
        <v>42476</v>
      </c>
      <c r="C43" s="3">
        <v>1</v>
      </c>
      <c r="D43" s="3">
        <v>524</v>
      </c>
      <c r="E43" s="3">
        <v>567</v>
      </c>
    </row>
    <row r="44" spans="1:5">
      <c r="A44">
        <v>2026352035</v>
      </c>
      <c r="B44" s="1">
        <v>42477</v>
      </c>
      <c r="C44" s="3">
        <v>1</v>
      </c>
      <c r="D44" s="3">
        <v>437</v>
      </c>
      <c r="E44" s="3">
        <v>498</v>
      </c>
    </row>
    <row r="45" spans="1:5">
      <c r="A45">
        <v>2026352035</v>
      </c>
      <c r="B45" s="1">
        <v>42479</v>
      </c>
      <c r="C45" s="3">
        <v>1</v>
      </c>
      <c r="D45" s="3">
        <v>498</v>
      </c>
      <c r="E45" s="3">
        <v>540</v>
      </c>
    </row>
    <row r="46" spans="1:5">
      <c r="A46">
        <v>2026352035</v>
      </c>
      <c r="B46" s="1">
        <v>42480</v>
      </c>
      <c r="C46" s="3">
        <v>1</v>
      </c>
      <c r="D46" s="3">
        <v>461</v>
      </c>
      <c r="E46" s="3">
        <v>510</v>
      </c>
    </row>
    <row r="47" spans="1:5">
      <c r="A47">
        <v>2026352035</v>
      </c>
      <c r="B47" s="1">
        <v>42481</v>
      </c>
      <c r="C47" s="3">
        <v>1</v>
      </c>
      <c r="D47" s="3">
        <v>477</v>
      </c>
      <c r="E47" s="3">
        <v>514</v>
      </c>
    </row>
    <row r="48" spans="1:5">
      <c r="A48">
        <v>2026352035</v>
      </c>
      <c r="B48" s="1">
        <v>42482</v>
      </c>
      <c r="C48" s="3">
        <v>1</v>
      </c>
      <c r="D48" s="3">
        <v>520</v>
      </c>
      <c r="E48" s="3">
        <v>545</v>
      </c>
    </row>
    <row r="49" spans="1:5">
      <c r="A49">
        <v>2026352035</v>
      </c>
      <c r="B49" s="1">
        <v>42483</v>
      </c>
      <c r="C49" s="3">
        <v>1</v>
      </c>
      <c r="D49" s="3">
        <v>522</v>
      </c>
      <c r="E49" s="3">
        <v>554</v>
      </c>
    </row>
    <row r="50" spans="1:5">
      <c r="A50">
        <v>2026352035</v>
      </c>
      <c r="B50" s="1">
        <v>42484</v>
      </c>
      <c r="C50" s="3">
        <v>1</v>
      </c>
      <c r="D50" s="3">
        <v>555</v>
      </c>
      <c r="E50" s="3">
        <v>591</v>
      </c>
    </row>
    <row r="51" spans="1:5">
      <c r="A51">
        <v>2026352035</v>
      </c>
      <c r="B51" s="1">
        <v>42485</v>
      </c>
      <c r="C51" s="3">
        <v>1</v>
      </c>
      <c r="D51" s="3">
        <v>506</v>
      </c>
      <c r="E51" s="3">
        <v>531</v>
      </c>
    </row>
    <row r="52" spans="1:5">
      <c r="A52">
        <v>2026352035</v>
      </c>
      <c r="B52" s="1">
        <v>42487</v>
      </c>
      <c r="C52" s="3">
        <v>1</v>
      </c>
      <c r="D52" s="3">
        <v>508</v>
      </c>
      <c r="E52" s="3">
        <v>545</v>
      </c>
    </row>
    <row r="53" spans="1:5">
      <c r="A53">
        <v>2026352035</v>
      </c>
      <c r="B53" s="1">
        <v>42488</v>
      </c>
      <c r="C53" s="3">
        <v>1</v>
      </c>
      <c r="D53" s="3">
        <v>513</v>
      </c>
      <c r="E53" s="3">
        <v>545</v>
      </c>
    </row>
    <row r="54" spans="1:5">
      <c r="A54">
        <v>2026352035</v>
      </c>
      <c r="B54" s="1">
        <v>42489</v>
      </c>
      <c r="C54" s="3">
        <v>1</v>
      </c>
      <c r="D54" s="3">
        <v>490</v>
      </c>
      <c r="E54" s="3">
        <v>510</v>
      </c>
    </row>
    <row r="55" spans="1:5">
      <c r="A55">
        <v>2026352035</v>
      </c>
      <c r="B55" s="1">
        <v>42490</v>
      </c>
      <c r="C55" s="3">
        <v>1</v>
      </c>
      <c r="D55" s="3">
        <v>573</v>
      </c>
      <c r="E55" s="3">
        <v>607</v>
      </c>
    </row>
    <row r="56" spans="1:5">
      <c r="A56">
        <v>2026352035</v>
      </c>
      <c r="B56" s="1">
        <v>42491</v>
      </c>
      <c r="C56" s="3">
        <v>1</v>
      </c>
      <c r="D56" s="3">
        <v>527</v>
      </c>
      <c r="E56" s="3">
        <v>546</v>
      </c>
    </row>
    <row r="57" spans="1:5">
      <c r="A57">
        <v>2026352035</v>
      </c>
      <c r="B57" s="1">
        <v>42492</v>
      </c>
      <c r="C57" s="3">
        <v>1</v>
      </c>
      <c r="D57" s="3">
        <v>511</v>
      </c>
      <c r="E57" s="3">
        <v>543</v>
      </c>
    </row>
    <row r="58" spans="1:5">
      <c r="A58">
        <v>2026352035</v>
      </c>
      <c r="B58" s="1">
        <v>42494</v>
      </c>
      <c r="C58" s="3">
        <v>1</v>
      </c>
      <c r="D58" s="3">
        <v>538</v>
      </c>
      <c r="E58" s="3">
        <v>560</v>
      </c>
    </row>
    <row r="59" spans="1:5">
      <c r="A59">
        <v>2026352035</v>
      </c>
      <c r="B59" s="1">
        <v>42495</v>
      </c>
      <c r="C59" s="3">
        <v>1</v>
      </c>
      <c r="D59" s="3">
        <v>468</v>
      </c>
      <c r="E59" s="3">
        <v>485</v>
      </c>
    </row>
    <row r="60" spans="1:5">
      <c r="A60">
        <v>2026352035</v>
      </c>
      <c r="B60" s="1">
        <v>42496</v>
      </c>
      <c r="C60" s="3">
        <v>1</v>
      </c>
      <c r="D60" s="3">
        <v>524</v>
      </c>
      <c r="E60" s="3">
        <v>548</v>
      </c>
    </row>
    <row r="61" spans="1:5">
      <c r="A61">
        <v>2026352035</v>
      </c>
      <c r="B61" s="1">
        <v>42497</v>
      </c>
      <c r="C61" s="3">
        <v>1</v>
      </c>
      <c r="D61" s="3">
        <v>511</v>
      </c>
      <c r="E61" s="3">
        <v>521</v>
      </c>
    </row>
    <row r="62" spans="1:5">
      <c r="A62">
        <v>2026352035</v>
      </c>
      <c r="B62" s="1">
        <v>42498</v>
      </c>
      <c r="C62" s="3">
        <v>1</v>
      </c>
      <c r="D62" s="3">
        <v>541</v>
      </c>
      <c r="E62" s="3">
        <v>568</v>
      </c>
    </row>
    <row r="63" spans="1:5">
      <c r="A63">
        <v>2026352035</v>
      </c>
      <c r="B63" s="1">
        <v>42499</v>
      </c>
      <c r="C63" s="3">
        <v>1</v>
      </c>
      <c r="D63" s="3">
        <v>531</v>
      </c>
      <c r="E63" s="3">
        <v>556</v>
      </c>
    </row>
    <row r="64" spans="1:5">
      <c r="A64">
        <v>2026352035</v>
      </c>
      <c r="B64" s="1">
        <v>42500</v>
      </c>
      <c r="C64" s="3">
        <v>1</v>
      </c>
      <c r="D64" s="3">
        <v>357</v>
      </c>
      <c r="E64" s="3">
        <v>380</v>
      </c>
    </row>
    <row r="65" spans="1:5">
      <c r="A65">
        <v>2026352035</v>
      </c>
      <c r="B65" s="1">
        <v>42501</v>
      </c>
      <c r="C65" s="3">
        <v>1</v>
      </c>
      <c r="D65" s="3">
        <v>523</v>
      </c>
      <c r="E65" s="3">
        <v>553</v>
      </c>
    </row>
    <row r="66" spans="1:5">
      <c r="A66">
        <v>2026352035</v>
      </c>
      <c r="B66" s="1">
        <v>42502</v>
      </c>
      <c r="C66" s="3">
        <v>1</v>
      </c>
      <c r="D66" s="3">
        <v>456</v>
      </c>
      <c r="E66" s="3">
        <v>485</v>
      </c>
    </row>
    <row r="67" spans="1:5">
      <c r="A67">
        <v>2320127002</v>
      </c>
      <c r="B67" s="1">
        <v>42483</v>
      </c>
      <c r="C67" s="3">
        <v>1</v>
      </c>
      <c r="D67" s="3">
        <v>61</v>
      </c>
      <c r="E67" s="3">
        <v>69</v>
      </c>
    </row>
    <row r="68" spans="1:5">
      <c r="A68">
        <v>2347167796</v>
      </c>
      <c r="B68" s="1">
        <v>42473</v>
      </c>
      <c r="C68" s="3">
        <v>1</v>
      </c>
      <c r="D68" s="3">
        <v>467</v>
      </c>
      <c r="E68" s="3">
        <v>531</v>
      </c>
    </row>
    <row r="69" spans="1:5">
      <c r="A69">
        <v>2347167796</v>
      </c>
      <c r="B69" s="1">
        <v>42474</v>
      </c>
      <c r="C69" s="3">
        <v>1</v>
      </c>
      <c r="D69" s="3">
        <v>445</v>
      </c>
      <c r="E69" s="3">
        <v>489</v>
      </c>
    </row>
    <row r="70" spans="1:5">
      <c r="A70">
        <v>2347167796</v>
      </c>
      <c r="B70" s="1">
        <v>42475</v>
      </c>
      <c r="C70" s="3">
        <v>1</v>
      </c>
      <c r="D70" s="3">
        <v>452</v>
      </c>
      <c r="E70" s="3">
        <v>504</v>
      </c>
    </row>
    <row r="71" spans="1:5">
      <c r="A71">
        <v>2347167796</v>
      </c>
      <c r="B71" s="1">
        <v>42477</v>
      </c>
      <c r="C71" s="3">
        <v>1</v>
      </c>
      <c r="D71" s="3">
        <v>556</v>
      </c>
      <c r="E71" s="3">
        <v>602</v>
      </c>
    </row>
    <row r="72" spans="1:5">
      <c r="A72">
        <v>2347167796</v>
      </c>
      <c r="B72" s="1">
        <v>42478</v>
      </c>
      <c r="C72" s="3">
        <v>1</v>
      </c>
      <c r="D72" s="3">
        <v>500</v>
      </c>
      <c r="E72" s="3">
        <v>557</v>
      </c>
    </row>
    <row r="73" spans="1:5">
      <c r="A73">
        <v>2347167796</v>
      </c>
      <c r="B73" s="1">
        <v>42479</v>
      </c>
      <c r="C73" s="3">
        <v>1</v>
      </c>
      <c r="D73" s="3">
        <v>465</v>
      </c>
      <c r="E73" s="3">
        <v>514</v>
      </c>
    </row>
    <row r="74" spans="1:5">
      <c r="A74">
        <v>2347167796</v>
      </c>
      <c r="B74" s="1">
        <v>42481</v>
      </c>
      <c r="C74" s="3">
        <v>1</v>
      </c>
      <c r="D74" s="3">
        <v>460</v>
      </c>
      <c r="E74" s="3">
        <v>484</v>
      </c>
    </row>
    <row r="75" spans="1:5">
      <c r="A75">
        <v>2347167796</v>
      </c>
      <c r="B75" s="1">
        <v>42482</v>
      </c>
      <c r="C75" s="3">
        <v>1</v>
      </c>
      <c r="D75" s="3">
        <v>405</v>
      </c>
      <c r="E75" s="3">
        <v>461</v>
      </c>
    </row>
    <row r="76" spans="1:5">
      <c r="A76">
        <v>2347167796</v>
      </c>
      <c r="B76" s="1">
        <v>42483</v>
      </c>
      <c r="C76" s="3">
        <v>1</v>
      </c>
      <c r="D76" s="3">
        <v>374</v>
      </c>
      <c r="E76" s="3">
        <v>386</v>
      </c>
    </row>
    <row r="77" spans="1:5">
      <c r="A77">
        <v>2347167796</v>
      </c>
      <c r="B77" s="1">
        <v>42484</v>
      </c>
      <c r="C77" s="3">
        <v>1</v>
      </c>
      <c r="D77" s="3">
        <v>442</v>
      </c>
      <c r="E77" s="3">
        <v>459</v>
      </c>
    </row>
    <row r="78" spans="1:5">
      <c r="A78">
        <v>2347167796</v>
      </c>
      <c r="B78" s="1">
        <v>42485</v>
      </c>
      <c r="C78" s="3">
        <v>1</v>
      </c>
      <c r="D78" s="3">
        <v>433</v>
      </c>
      <c r="E78" s="3">
        <v>471</v>
      </c>
    </row>
    <row r="79" spans="1:5">
      <c r="A79">
        <v>2347167796</v>
      </c>
      <c r="B79" s="1">
        <v>42486</v>
      </c>
      <c r="C79" s="3">
        <v>1</v>
      </c>
      <c r="D79" s="3">
        <v>436</v>
      </c>
      <c r="E79" s="3">
        <v>490</v>
      </c>
    </row>
    <row r="80" spans="1:5">
      <c r="A80">
        <v>2347167796</v>
      </c>
      <c r="B80" s="1">
        <v>42487</v>
      </c>
      <c r="C80" s="3">
        <v>1</v>
      </c>
      <c r="D80" s="3">
        <v>448</v>
      </c>
      <c r="E80" s="3">
        <v>499</v>
      </c>
    </row>
    <row r="81" spans="1:5">
      <c r="A81">
        <v>2347167796</v>
      </c>
      <c r="B81" s="1">
        <v>42488</v>
      </c>
      <c r="C81" s="3">
        <v>1</v>
      </c>
      <c r="D81" s="3">
        <v>408</v>
      </c>
      <c r="E81" s="3">
        <v>450</v>
      </c>
    </row>
    <row r="82" spans="1:5">
      <c r="A82">
        <v>2347167796</v>
      </c>
      <c r="B82" s="1">
        <v>42489</v>
      </c>
      <c r="C82" s="3">
        <v>1</v>
      </c>
      <c r="D82" s="3">
        <v>411</v>
      </c>
      <c r="E82" s="3">
        <v>473</v>
      </c>
    </row>
    <row r="83" spans="1:5">
      <c r="A83">
        <v>3977333714</v>
      </c>
      <c r="B83" s="1">
        <v>42472</v>
      </c>
      <c r="C83" s="3">
        <v>1</v>
      </c>
      <c r="D83" s="3">
        <v>274</v>
      </c>
      <c r="E83" s="3">
        <v>469</v>
      </c>
    </row>
    <row r="84" spans="1:5">
      <c r="A84">
        <v>3977333714</v>
      </c>
      <c r="B84" s="1">
        <v>42473</v>
      </c>
      <c r="C84" s="3">
        <v>2</v>
      </c>
      <c r="D84" s="3">
        <v>295</v>
      </c>
      <c r="E84" s="3">
        <v>456</v>
      </c>
    </row>
    <row r="85" spans="1:5">
      <c r="A85">
        <v>3977333714</v>
      </c>
      <c r="B85" s="1">
        <v>42474</v>
      </c>
      <c r="C85" s="3">
        <v>1</v>
      </c>
      <c r="D85" s="3">
        <v>291</v>
      </c>
      <c r="E85" s="3">
        <v>397</v>
      </c>
    </row>
    <row r="86" spans="1:5">
      <c r="A86">
        <v>3977333714</v>
      </c>
      <c r="B86" s="1">
        <v>42475</v>
      </c>
      <c r="C86" s="3">
        <v>1</v>
      </c>
      <c r="D86" s="3">
        <v>424</v>
      </c>
      <c r="E86" s="3">
        <v>556</v>
      </c>
    </row>
    <row r="87" spans="1:5">
      <c r="A87">
        <v>3977333714</v>
      </c>
      <c r="B87" s="1">
        <v>42476</v>
      </c>
      <c r="C87" s="3">
        <v>1</v>
      </c>
      <c r="D87" s="3">
        <v>283</v>
      </c>
      <c r="E87" s="3">
        <v>510</v>
      </c>
    </row>
    <row r="88" spans="1:5">
      <c r="A88">
        <v>3977333714</v>
      </c>
      <c r="B88" s="1">
        <v>42477</v>
      </c>
      <c r="C88" s="3">
        <v>1</v>
      </c>
      <c r="D88" s="3">
        <v>381</v>
      </c>
      <c r="E88" s="3">
        <v>566</v>
      </c>
    </row>
    <row r="89" spans="1:5">
      <c r="A89">
        <v>3977333714</v>
      </c>
      <c r="B89" s="1">
        <v>42478</v>
      </c>
      <c r="C89" s="3">
        <v>2</v>
      </c>
      <c r="D89" s="3">
        <v>412</v>
      </c>
      <c r="E89" s="3">
        <v>522</v>
      </c>
    </row>
    <row r="90" spans="1:5">
      <c r="A90">
        <v>3977333714</v>
      </c>
      <c r="B90" s="1">
        <v>42479</v>
      </c>
      <c r="C90" s="3">
        <v>1</v>
      </c>
      <c r="D90" s="3">
        <v>219</v>
      </c>
      <c r="E90" s="3">
        <v>395</v>
      </c>
    </row>
    <row r="91" spans="1:5">
      <c r="A91">
        <v>3977333714</v>
      </c>
      <c r="B91" s="1">
        <v>42480</v>
      </c>
      <c r="C91" s="3">
        <v>2</v>
      </c>
      <c r="D91" s="3">
        <v>152</v>
      </c>
      <c r="E91" s="3">
        <v>305</v>
      </c>
    </row>
    <row r="92" spans="1:5">
      <c r="A92">
        <v>3977333714</v>
      </c>
      <c r="B92" s="1">
        <v>42481</v>
      </c>
      <c r="C92" s="3">
        <v>1</v>
      </c>
      <c r="D92" s="3">
        <v>332</v>
      </c>
      <c r="E92" s="3">
        <v>512</v>
      </c>
    </row>
    <row r="93" spans="1:5">
      <c r="A93">
        <v>3977333714</v>
      </c>
      <c r="B93" s="1">
        <v>42482</v>
      </c>
      <c r="C93" s="3">
        <v>1</v>
      </c>
      <c r="D93" s="3">
        <v>355</v>
      </c>
      <c r="E93" s="3">
        <v>476</v>
      </c>
    </row>
    <row r="94" spans="1:5">
      <c r="A94">
        <v>3977333714</v>
      </c>
      <c r="B94" s="1">
        <v>42483</v>
      </c>
      <c r="C94" s="3">
        <v>1</v>
      </c>
      <c r="D94" s="3">
        <v>235</v>
      </c>
      <c r="E94" s="3">
        <v>372</v>
      </c>
    </row>
    <row r="95" spans="1:5">
      <c r="A95">
        <v>3977333714</v>
      </c>
      <c r="B95" s="1">
        <v>42484</v>
      </c>
      <c r="C95" s="3">
        <v>1</v>
      </c>
      <c r="D95" s="3">
        <v>310</v>
      </c>
      <c r="E95" s="3">
        <v>526</v>
      </c>
    </row>
    <row r="96" spans="1:5">
      <c r="A96">
        <v>3977333714</v>
      </c>
      <c r="B96" s="1">
        <v>42485</v>
      </c>
      <c r="C96" s="3">
        <v>1</v>
      </c>
      <c r="D96" s="3">
        <v>262</v>
      </c>
      <c r="E96" s="3">
        <v>467</v>
      </c>
    </row>
    <row r="97" spans="1:5">
      <c r="A97">
        <v>3977333714</v>
      </c>
      <c r="B97" s="1">
        <v>42486</v>
      </c>
      <c r="C97" s="3">
        <v>1</v>
      </c>
      <c r="D97" s="3">
        <v>250</v>
      </c>
      <c r="E97" s="3">
        <v>371</v>
      </c>
    </row>
    <row r="98" spans="1:5">
      <c r="A98">
        <v>3977333714</v>
      </c>
      <c r="B98" s="1">
        <v>42487</v>
      </c>
      <c r="C98" s="3">
        <v>1</v>
      </c>
      <c r="D98" s="3">
        <v>349</v>
      </c>
      <c r="E98" s="3">
        <v>540</v>
      </c>
    </row>
    <row r="99" spans="1:5">
      <c r="A99">
        <v>3977333714</v>
      </c>
      <c r="B99" s="1">
        <v>42488</v>
      </c>
      <c r="C99" s="3">
        <v>1</v>
      </c>
      <c r="D99" s="3">
        <v>261</v>
      </c>
      <c r="E99" s="3">
        <v>423</v>
      </c>
    </row>
    <row r="100" spans="1:5">
      <c r="A100">
        <v>3977333714</v>
      </c>
      <c r="B100" s="1">
        <v>42489</v>
      </c>
      <c r="C100" s="3">
        <v>1</v>
      </c>
      <c r="D100" s="3">
        <v>333</v>
      </c>
      <c r="E100" s="3">
        <v>478</v>
      </c>
    </row>
    <row r="101" spans="1:5">
      <c r="A101">
        <v>3977333714</v>
      </c>
      <c r="B101" s="1">
        <v>42490</v>
      </c>
      <c r="C101" s="3">
        <v>1</v>
      </c>
      <c r="D101" s="3">
        <v>237</v>
      </c>
      <c r="E101" s="3">
        <v>382</v>
      </c>
    </row>
    <row r="102" spans="1:5">
      <c r="A102">
        <v>3977333714</v>
      </c>
      <c r="B102" s="1">
        <v>42491</v>
      </c>
      <c r="C102" s="3">
        <v>1</v>
      </c>
      <c r="D102" s="3">
        <v>383</v>
      </c>
      <c r="E102" s="3">
        <v>626</v>
      </c>
    </row>
    <row r="103" spans="1:5">
      <c r="A103">
        <v>3977333714</v>
      </c>
      <c r="B103" s="1">
        <v>42492</v>
      </c>
      <c r="C103" s="3">
        <v>1</v>
      </c>
      <c r="D103" s="3">
        <v>230</v>
      </c>
      <c r="E103" s="3">
        <v>384</v>
      </c>
    </row>
    <row r="104" spans="1:5">
      <c r="A104">
        <v>3977333714</v>
      </c>
      <c r="B104" s="1">
        <v>42493</v>
      </c>
      <c r="C104" s="3">
        <v>1</v>
      </c>
      <c r="D104" s="3">
        <v>292</v>
      </c>
      <c r="E104" s="3">
        <v>500</v>
      </c>
    </row>
    <row r="105" spans="1:5">
      <c r="A105">
        <v>3977333714</v>
      </c>
      <c r="B105" s="1">
        <v>42494</v>
      </c>
      <c r="C105" s="3">
        <v>1</v>
      </c>
      <c r="D105" s="3">
        <v>213</v>
      </c>
      <c r="E105" s="3">
        <v>336</v>
      </c>
    </row>
    <row r="106" spans="1:5">
      <c r="A106">
        <v>3977333714</v>
      </c>
      <c r="B106" s="1">
        <v>42495</v>
      </c>
      <c r="C106" s="3">
        <v>1</v>
      </c>
      <c r="D106" s="3">
        <v>318</v>
      </c>
      <c r="E106" s="3">
        <v>480</v>
      </c>
    </row>
    <row r="107" spans="1:5">
      <c r="A107">
        <v>3977333714</v>
      </c>
      <c r="B107" s="1">
        <v>42496</v>
      </c>
      <c r="C107" s="3">
        <v>1</v>
      </c>
      <c r="D107" s="3">
        <v>323</v>
      </c>
      <c r="E107" s="3">
        <v>512</v>
      </c>
    </row>
    <row r="108" spans="1:5">
      <c r="A108">
        <v>3977333714</v>
      </c>
      <c r="B108" s="1">
        <v>42497</v>
      </c>
      <c r="C108" s="3">
        <v>1</v>
      </c>
      <c r="D108" s="3">
        <v>237</v>
      </c>
      <c r="E108" s="3">
        <v>443</v>
      </c>
    </row>
    <row r="109" spans="1:5">
      <c r="A109">
        <v>3977333714</v>
      </c>
      <c r="B109" s="1">
        <v>42498</v>
      </c>
      <c r="C109" s="3">
        <v>2</v>
      </c>
      <c r="D109" s="3">
        <v>259</v>
      </c>
      <c r="E109" s="3">
        <v>456</v>
      </c>
    </row>
    <row r="110" spans="1:5">
      <c r="A110">
        <v>3977333714</v>
      </c>
      <c r="B110" s="1">
        <v>42500</v>
      </c>
      <c r="C110" s="3">
        <v>1</v>
      </c>
      <c r="D110" s="3">
        <v>312</v>
      </c>
      <c r="E110" s="3">
        <v>452</v>
      </c>
    </row>
    <row r="111" spans="1:5">
      <c r="A111">
        <v>4020332650</v>
      </c>
      <c r="B111" s="1">
        <v>42472</v>
      </c>
      <c r="C111" s="3">
        <v>1</v>
      </c>
      <c r="D111" s="3">
        <v>501</v>
      </c>
      <c r="E111" s="3">
        <v>541</v>
      </c>
    </row>
    <row r="112" spans="1:5">
      <c r="A112">
        <v>4020332650</v>
      </c>
      <c r="B112" s="1">
        <v>42476</v>
      </c>
      <c r="C112" s="3">
        <v>1</v>
      </c>
      <c r="D112" s="3">
        <v>77</v>
      </c>
      <c r="E112" s="3">
        <v>77</v>
      </c>
    </row>
    <row r="113" spans="1:5">
      <c r="A113">
        <v>4020332650</v>
      </c>
      <c r="B113" s="1">
        <v>42493</v>
      </c>
      <c r="C113" s="3">
        <v>1</v>
      </c>
      <c r="D113" s="3">
        <v>322</v>
      </c>
      <c r="E113" s="3">
        <v>332</v>
      </c>
    </row>
    <row r="114" spans="1:5">
      <c r="A114">
        <v>4020332650</v>
      </c>
      <c r="B114" s="1">
        <v>42494</v>
      </c>
      <c r="C114" s="3">
        <v>1</v>
      </c>
      <c r="D114" s="3">
        <v>478</v>
      </c>
      <c r="E114" s="3">
        <v>536</v>
      </c>
    </row>
    <row r="115" spans="1:5">
      <c r="A115">
        <v>4020332650</v>
      </c>
      <c r="B115" s="1">
        <v>42495</v>
      </c>
      <c r="C115" s="3">
        <v>1</v>
      </c>
      <c r="D115" s="3">
        <v>226</v>
      </c>
      <c r="E115" s="3">
        <v>248</v>
      </c>
    </row>
    <row r="116" spans="1:5">
      <c r="A116">
        <v>4020332650</v>
      </c>
      <c r="B116" s="1">
        <v>42496</v>
      </c>
      <c r="C116" s="3">
        <v>1</v>
      </c>
      <c r="D116" s="3">
        <v>385</v>
      </c>
      <c r="E116" s="3">
        <v>408</v>
      </c>
    </row>
    <row r="117" spans="1:5">
      <c r="A117">
        <v>4020332650</v>
      </c>
      <c r="B117" s="1">
        <v>42498</v>
      </c>
      <c r="C117" s="3">
        <v>1</v>
      </c>
      <c r="D117" s="3">
        <v>364</v>
      </c>
      <c r="E117" s="3">
        <v>402</v>
      </c>
    </row>
    <row r="118" spans="1:5">
      <c r="A118">
        <v>4020332650</v>
      </c>
      <c r="B118" s="1">
        <v>42500</v>
      </c>
      <c r="C118" s="3">
        <v>1</v>
      </c>
      <c r="D118" s="3">
        <v>442</v>
      </c>
      <c r="E118" s="3">
        <v>494</v>
      </c>
    </row>
    <row r="119" spans="1:5">
      <c r="A119">
        <v>4319703577</v>
      </c>
      <c r="B119" s="1">
        <v>42474</v>
      </c>
      <c r="C119" s="3">
        <v>1</v>
      </c>
      <c r="D119" s="3">
        <v>535</v>
      </c>
      <c r="E119" s="3">
        <v>557</v>
      </c>
    </row>
    <row r="120" spans="1:5">
      <c r="A120">
        <v>4319703577</v>
      </c>
      <c r="B120" s="1">
        <v>42475</v>
      </c>
      <c r="C120" s="3">
        <v>1</v>
      </c>
      <c r="D120" s="3">
        <v>465</v>
      </c>
      <c r="E120" s="3">
        <v>491</v>
      </c>
    </row>
    <row r="121" spans="1:5">
      <c r="A121">
        <v>4319703577</v>
      </c>
      <c r="B121" s="1">
        <v>42476</v>
      </c>
      <c r="C121" s="3">
        <v>1</v>
      </c>
      <c r="D121" s="3">
        <v>506</v>
      </c>
      <c r="E121" s="3">
        <v>522</v>
      </c>
    </row>
    <row r="122" spans="1:5">
      <c r="A122">
        <v>4319703577</v>
      </c>
      <c r="B122" s="1">
        <v>42478</v>
      </c>
      <c r="C122" s="3">
        <v>1</v>
      </c>
      <c r="D122" s="3">
        <v>515</v>
      </c>
      <c r="E122" s="3">
        <v>551</v>
      </c>
    </row>
    <row r="123" spans="1:5">
      <c r="A123">
        <v>4319703577</v>
      </c>
      <c r="B123" s="1">
        <v>42479</v>
      </c>
      <c r="C123" s="3">
        <v>2</v>
      </c>
      <c r="D123" s="3">
        <v>461</v>
      </c>
      <c r="E123" s="3">
        <v>498</v>
      </c>
    </row>
    <row r="124" spans="1:5">
      <c r="A124">
        <v>4319703577</v>
      </c>
      <c r="B124" s="1">
        <v>42480</v>
      </c>
      <c r="C124" s="3">
        <v>1</v>
      </c>
      <c r="D124" s="3">
        <v>523</v>
      </c>
      <c r="E124" s="3">
        <v>543</v>
      </c>
    </row>
    <row r="125" spans="1:5">
      <c r="A125">
        <v>4319703577</v>
      </c>
      <c r="B125" s="1">
        <v>42481</v>
      </c>
      <c r="C125" s="3">
        <v>1</v>
      </c>
      <c r="D125" s="3">
        <v>59</v>
      </c>
      <c r="E125" s="3">
        <v>65</v>
      </c>
    </row>
    <row r="126" spans="1:5">
      <c r="A126">
        <v>4319703577</v>
      </c>
      <c r="B126" s="1">
        <v>42482</v>
      </c>
      <c r="C126" s="3">
        <v>1</v>
      </c>
      <c r="D126" s="3">
        <v>533</v>
      </c>
      <c r="E126" s="3">
        <v>550</v>
      </c>
    </row>
    <row r="127" spans="1:5">
      <c r="A127">
        <v>4319703577</v>
      </c>
      <c r="B127" s="1">
        <v>42483</v>
      </c>
      <c r="C127" s="3">
        <v>1</v>
      </c>
      <c r="D127" s="3">
        <v>692</v>
      </c>
      <c r="E127" s="3">
        <v>722</v>
      </c>
    </row>
    <row r="128" spans="1:5">
      <c r="A128">
        <v>4319703577</v>
      </c>
      <c r="B128" s="1">
        <v>42484</v>
      </c>
      <c r="C128" s="3">
        <v>1</v>
      </c>
      <c r="D128" s="3">
        <v>467</v>
      </c>
      <c r="E128" s="3">
        <v>501</v>
      </c>
    </row>
    <row r="129" spans="1:5">
      <c r="A129">
        <v>4319703577</v>
      </c>
      <c r="B129" s="1">
        <v>42485</v>
      </c>
      <c r="C129" s="3">
        <v>1</v>
      </c>
      <c r="D129" s="3">
        <v>488</v>
      </c>
      <c r="E129" s="3">
        <v>506</v>
      </c>
    </row>
    <row r="130" spans="1:5">
      <c r="A130">
        <v>4319703577</v>
      </c>
      <c r="B130" s="1">
        <v>42486</v>
      </c>
      <c r="C130" s="3">
        <v>1</v>
      </c>
      <c r="D130" s="3">
        <v>505</v>
      </c>
      <c r="E130" s="3">
        <v>516</v>
      </c>
    </row>
    <row r="131" spans="1:5">
      <c r="A131">
        <v>4319703577</v>
      </c>
      <c r="B131" s="1">
        <v>42487</v>
      </c>
      <c r="C131" s="3">
        <v>1</v>
      </c>
      <c r="D131" s="3">
        <v>286</v>
      </c>
      <c r="E131" s="3">
        <v>307</v>
      </c>
    </row>
    <row r="132" spans="1:5">
      <c r="A132">
        <v>4319703577</v>
      </c>
      <c r="B132" s="1">
        <v>42488</v>
      </c>
      <c r="C132" s="3">
        <v>1</v>
      </c>
      <c r="D132" s="3">
        <v>497</v>
      </c>
      <c r="E132" s="3">
        <v>522</v>
      </c>
    </row>
    <row r="133" spans="1:5">
      <c r="A133">
        <v>4319703577</v>
      </c>
      <c r="B133" s="1">
        <v>42489</v>
      </c>
      <c r="C133" s="3">
        <v>1</v>
      </c>
      <c r="D133" s="3">
        <v>523</v>
      </c>
      <c r="E133" s="3">
        <v>546</v>
      </c>
    </row>
    <row r="134" spans="1:5">
      <c r="A134">
        <v>4319703577</v>
      </c>
      <c r="B134" s="1">
        <v>42490</v>
      </c>
      <c r="C134" s="3">
        <v>1</v>
      </c>
      <c r="D134" s="3">
        <v>490</v>
      </c>
      <c r="E134" s="3">
        <v>516</v>
      </c>
    </row>
    <row r="135" spans="1:5">
      <c r="A135">
        <v>4319703577</v>
      </c>
      <c r="B135" s="1">
        <v>42491</v>
      </c>
      <c r="C135" s="3">
        <v>1</v>
      </c>
      <c r="D135" s="3">
        <v>484</v>
      </c>
      <c r="E135" s="3">
        <v>500</v>
      </c>
    </row>
    <row r="136" spans="1:5">
      <c r="A136">
        <v>4319703577</v>
      </c>
      <c r="B136" s="1">
        <v>42492</v>
      </c>
      <c r="C136" s="3">
        <v>1</v>
      </c>
      <c r="D136" s="3">
        <v>478</v>
      </c>
      <c r="E136" s="3">
        <v>506</v>
      </c>
    </row>
    <row r="137" spans="1:5">
      <c r="A137">
        <v>4319703577</v>
      </c>
      <c r="B137" s="1">
        <v>42493</v>
      </c>
      <c r="C137" s="3">
        <v>1</v>
      </c>
      <c r="D137" s="3">
        <v>474</v>
      </c>
      <c r="E137" s="3">
        <v>512</v>
      </c>
    </row>
    <row r="138" spans="1:5">
      <c r="A138">
        <v>4319703577</v>
      </c>
      <c r="B138" s="1">
        <v>42496</v>
      </c>
      <c r="C138" s="3">
        <v>1</v>
      </c>
      <c r="D138" s="3">
        <v>450</v>
      </c>
      <c r="E138" s="3">
        <v>491</v>
      </c>
    </row>
    <row r="139" spans="1:5">
      <c r="A139">
        <v>4319703577</v>
      </c>
      <c r="B139" s="1">
        <v>42497</v>
      </c>
      <c r="C139" s="3">
        <v>1</v>
      </c>
      <c r="D139" s="3">
        <v>507</v>
      </c>
      <c r="E139" s="3">
        <v>530</v>
      </c>
    </row>
    <row r="140" spans="1:5">
      <c r="A140">
        <v>4319703577</v>
      </c>
      <c r="B140" s="1">
        <v>42498</v>
      </c>
      <c r="C140" s="3">
        <v>1</v>
      </c>
      <c r="D140" s="3">
        <v>602</v>
      </c>
      <c r="E140" s="3">
        <v>638</v>
      </c>
    </row>
    <row r="141" spans="1:5">
      <c r="A141">
        <v>4319703577</v>
      </c>
      <c r="B141" s="1">
        <v>42499</v>
      </c>
      <c r="C141" s="3">
        <v>1</v>
      </c>
      <c r="D141" s="3">
        <v>535</v>
      </c>
      <c r="E141" s="3">
        <v>565</v>
      </c>
    </row>
    <row r="142" spans="1:5">
      <c r="A142">
        <v>4319703577</v>
      </c>
      <c r="B142" s="1">
        <v>42500</v>
      </c>
      <c r="C142" s="3">
        <v>1</v>
      </c>
      <c r="D142" s="3">
        <v>487</v>
      </c>
      <c r="E142" s="3">
        <v>517</v>
      </c>
    </row>
    <row r="143" spans="1:5">
      <c r="A143">
        <v>4319703577</v>
      </c>
      <c r="B143" s="1">
        <v>42501</v>
      </c>
      <c r="C143" s="3">
        <v>1</v>
      </c>
      <c r="D143" s="3">
        <v>529</v>
      </c>
      <c r="E143" s="3">
        <v>558</v>
      </c>
    </row>
    <row r="144" spans="1:5">
      <c r="A144">
        <v>4319703577</v>
      </c>
      <c r="B144" s="1">
        <v>42502</v>
      </c>
      <c r="C144" s="3">
        <v>1</v>
      </c>
      <c r="D144" s="3">
        <v>302</v>
      </c>
      <c r="E144" s="3">
        <v>321</v>
      </c>
    </row>
    <row r="145" spans="1:5">
      <c r="A145">
        <v>4388161847</v>
      </c>
      <c r="B145" s="1">
        <v>42475</v>
      </c>
      <c r="C145" s="3">
        <v>1</v>
      </c>
      <c r="D145" s="3">
        <v>499</v>
      </c>
      <c r="E145" s="3">
        <v>526</v>
      </c>
    </row>
    <row r="146" spans="1:5">
      <c r="A146">
        <v>4388161847</v>
      </c>
      <c r="B146" s="1">
        <v>42476</v>
      </c>
      <c r="C146" s="3">
        <v>2</v>
      </c>
      <c r="D146" s="3">
        <v>426</v>
      </c>
      <c r="E146" s="3">
        <v>448</v>
      </c>
    </row>
    <row r="147" spans="1:5">
      <c r="A147">
        <v>4388161847</v>
      </c>
      <c r="B147" s="1">
        <v>42477</v>
      </c>
      <c r="C147" s="3">
        <v>2</v>
      </c>
      <c r="D147" s="3">
        <v>619</v>
      </c>
      <c r="E147" s="3">
        <v>641</v>
      </c>
    </row>
    <row r="148" spans="1:5">
      <c r="A148">
        <v>4388161847</v>
      </c>
      <c r="B148" s="1">
        <v>42478</v>
      </c>
      <c r="C148" s="3">
        <v>1</v>
      </c>
      <c r="D148" s="3">
        <v>99</v>
      </c>
      <c r="E148" s="3">
        <v>104</v>
      </c>
    </row>
    <row r="149" spans="1:5">
      <c r="A149">
        <v>4388161847</v>
      </c>
      <c r="B149" s="1">
        <v>42479</v>
      </c>
      <c r="C149" s="3">
        <v>1</v>
      </c>
      <c r="D149" s="3">
        <v>329</v>
      </c>
      <c r="E149" s="3">
        <v>338</v>
      </c>
    </row>
    <row r="150" spans="1:5">
      <c r="A150">
        <v>4388161847</v>
      </c>
      <c r="B150" s="1">
        <v>42480</v>
      </c>
      <c r="C150" s="3">
        <v>1</v>
      </c>
      <c r="D150" s="3">
        <v>421</v>
      </c>
      <c r="E150" s="3">
        <v>451</v>
      </c>
    </row>
    <row r="151" spans="1:5">
      <c r="A151">
        <v>4388161847</v>
      </c>
      <c r="B151" s="1">
        <v>42481</v>
      </c>
      <c r="C151" s="3">
        <v>1</v>
      </c>
      <c r="D151" s="3">
        <v>442</v>
      </c>
      <c r="E151" s="3">
        <v>458</v>
      </c>
    </row>
    <row r="152" spans="1:5">
      <c r="A152">
        <v>4388161847</v>
      </c>
      <c r="B152" s="1">
        <v>42482</v>
      </c>
      <c r="C152" s="3">
        <v>1</v>
      </c>
      <c r="D152" s="3">
        <v>82</v>
      </c>
      <c r="E152" s="3">
        <v>85</v>
      </c>
    </row>
    <row r="153" spans="1:5">
      <c r="A153">
        <v>4388161847</v>
      </c>
      <c r="B153" s="1">
        <v>42483</v>
      </c>
      <c r="C153" s="3">
        <v>1</v>
      </c>
      <c r="D153" s="3">
        <v>478</v>
      </c>
      <c r="E153" s="3">
        <v>501</v>
      </c>
    </row>
    <row r="154" spans="1:5">
      <c r="A154">
        <v>4388161847</v>
      </c>
      <c r="B154" s="1">
        <v>42484</v>
      </c>
      <c r="C154" s="3">
        <v>3</v>
      </c>
      <c r="D154" s="3">
        <v>552</v>
      </c>
      <c r="E154" s="3">
        <v>595</v>
      </c>
    </row>
    <row r="155" spans="1:5">
      <c r="A155">
        <v>4388161847</v>
      </c>
      <c r="B155" s="1">
        <v>42486</v>
      </c>
      <c r="C155" s="3">
        <v>1</v>
      </c>
      <c r="D155" s="3">
        <v>319</v>
      </c>
      <c r="E155" s="3">
        <v>346</v>
      </c>
    </row>
    <row r="156" spans="1:5">
      <c r="A156">
        <v>4388161847</v>
      </c>
      <c r="B156" s="1">
        <v>42487</v>
      </c>
      <c r="C156" s="3">
        <v>1</v>
      </c>
      <c r="D156" s="3">
        <v>439</v>
      </c>
      <c r="E156" s="3">
        <v>500</v>
      </c>
    </row>
    <row r="157" spans="1:5">
      <c r="A157">
        <v>4388161847</v>
      </c>
      <c r="B157" s="1">
        <v>42488</v>
      </c>
      <c r="C157" s="3">
        <v>1</v>
      </c>
      <c r="D157" s="3">
        <v>428</v>
      </c>
      <c r="E157" s="3">
        <v>458</v>
      </c>
    </row>
    <row r="158" spans="1:5">
      <c r="A158">
        <v>4388161847</v>
      </c>
      <c r="B158" s="1">
        <v>42490</v>
      </c>
      <c r="C158" s="3">
        <v>2</v>
      </c>
      <c r="D158" s="3">
        <v>409</v>
      </c>
      <c r="E158" s="3">
        <v>430</v>
      </c>
    </row>
    <row r="159" spans="1:5">
      <c r="A159">
        <v>4388161847</v>
      </c>
      <c r="B159" s="1">
        <v>42491</v>
      </c>
      <c r="C159" s="3">
        <v>1</v>
      </c>
      <c r="D159" s="3">
        <v>547</v>
      </c>
      <c r="E159" s="3">
        <v>597</v>
      </c>
    </row>
    <row r="160" spans="1:5">
      <c r="A160">
        <v>4388161847</v>
      </c>
      <c r="B160" s="1">
        <v>42492</v>
      </c>
      <c r="C160" s="3">
        <v>2</v>
      </c>
      <c r="D160" s="3">
        <v>368</v>
      </c>
      <c r="E160" s="3">
        <v>376</v>
      </c>
    </row>
    <row r="161" spans="1:5">
      <c r="A161">
        <v>4388161847</v>
      </c>
      <c r="B161" s="1">
        <v>42494</v>
      </c>
      <c r="C161" s="3">
        <v>1</v>
      </c>
      <c r="D161" s="3">
        <v>390</v>
      </c>
      <c r="E161" s="3">
        <v>414</v>
      </c>
    </row>
    <row r="162" spans="1:5">
      <c r="A162">
        <v>4388161847</v>
      </c>
      <c r="B162" s="1">
        <v>42495</v>
      </c>
      <c r="C162" s="3">
        <v>1</v>
      </c>
      <c r="D162" s="3">
        <v>471</v>
      </c>
      <c r="E162" s="3">
        <v>495</v>
      </c>
    </row>
    <row r="163" spans="1:5">
      <c r="A163">
        <v>4388161847</v>
      </c>
      <c r="B163" s="1">
        <v>42497</v>
      </c>
      <c r="C163" s="3">
        <v>1</v>
      </c>
      <c r="D163" s="3">
        <v>472</v>
      </c>
      <c r="E163" s="3">
        <v>496</v>
      </c>
    </row>
    <row r="164" spans="1:5">
      <c r="A164">
        <v>4388161847</v>
      </c>
      <c r="B164" s="1">
        <v>42498</v>
      </c>
      <c r="C164" s="3">
        <v>2</v>
      </c>
      <c r="D164" s="3">
        <v>529</v>
      </c>
      <c r="E164" s="3">
        <v>541</v>
      </c>
    </row>
    <row r="165" spans="1:5">
      <c r="A165">
        <v>4388161847</v>
      </c>
      <c r="B165" s="1">
        <v>42499</v>
      </c>
      <c r="C165" s="3">
        <v>1</v>
      </c>
      <c r="D165" s="3">
        <v>62</v>
      </c>
      <c r="E165" s="3">
        <v>65</v>
      </c>
    </row>
    <row r="166" spans="1:5">
      <c r="A166">
        <v>4388161847</v>
      </c>
      <c r="B166" s="1">
        <v>42500</v>
      </c>
      <c r="C166" s="3">
        <v>1</v>
      </c>
      <c r="D166" s="3">
        <v>354</v>
      </c>
      <c r="E166" s="3">
        <v>375</v>
      </c>
    </row>
    <row r="167" spans="1:5">
      <c r="A167">
        <v>4388161847</v>
      </c>
      <c r="B167" s="1">
        <v>42501</v>
      </c>
      <c r="C167" s="3">
        <v>1</v>
      </c>
      <c r="D167" s="3">
        <v>469</v>
      </c>
      <c r="E167" s="3">
        <v>494</v>
      </c>
    </row>
    <row r="168" spans="1:5">
      <c r="A168">
        <v>4445114986</v>
      </c>
      <c r="B168" s="1">
        <v>42472</v>
      </c>
      <c r="C168" s="3">
        <v>2</v>
      </c>
      <c r="D168" s="3">
        <v>429</v>
      </c>
      <c r="E168" s="3">
        <v>457</v>
      </c>
    </row>
    <row r="169" spans="1:5">
      <c r="A169">
        <v>4445114986</v>
      </c>
      <c r="B169" s="1">
        <v>42473</v>
      </c>
      <c r="C169" s="3">
        <v>2</v>
      </c>
      <c r="D169" s="3">
        <v>370</v>
      </c>
      <c r="E169" s="3">
        <v>406</v>
      </c>
    </row>
    <row r="170" spans="1:5">
      <c r="A170">
        <v>4445114986</v>
      </c>
      <c r="B170" s="1">
        <v>42474</v>
      </c>
      <c r="C170" s="3">
        <v>1</v>
      </c>
      <c r="D170" s="3">
        <v>441</v>
      </c>
      <c r="E170" s="3">
        <v>492</v>
      </c>
    </row>
    <row r="171" spans="1:5">
      <c r="A171">
        <v>4445114986</v>
      </c>
      <c r="B171" s="1">
        <v>42475</v>
      </c>
      <c r="C171" s="3">
        <v>2</v>
      </c>
      <c r="D171" s="3">
        <v>337</v>
      </c>
      <c r="E171" s="3">
        <v>379</v>
      </c>
    </row>
    <row r="172" spans="1:5">
      <c r="A172">
        <v>4445114986</v>
      </c>
      <c r="B172" s="1">
        <v>42476</v>
      </c>
      <c r="C172" s="3">
        <v>1</v>
      </c>
      <c r="D172" s="3">
        <v>462</v>
      </c>
      <c r="E172" s="3">
        <v>499</v>
      </c>
    </row>
    <row r="173" spans="1:5">
      <c r="A173">
        <v>4445114986</v>
      </c>
      <c r="B173" s="1">
        <v>42477</v>
      </c>
      <c r="C173" s="3">
        <v>1</v>
      </c>
      <c r="D173" s="3">
        <v>98</v>
      </c>
      <c r="E173" s="3">
        <v>107</v>
      </c>
    </row>
    <row r="174" spans="1:5">
      <c r="A174">
        <v>4445114986</v>
      </c>
      <c r="B174" s="1">
        <v>42479</v>
      </c>
      <c r="C174" s="3">
        <v>2</v>
      </c>
      <c r="D174" s="3">
        <v>388</v>
      </c>
      <c r="E174" s="3">
        <v>424</v>
      </c>
    </row>
    <row r="175" spans="1:5">
      <c r="A175">
        <v>4445114986</v>
      </c>
      <c r="B175" s="1">
        <v>42480</v>
      </c>
      <c r="C175" s="3">
        <v>1</v>
      </c>
      <c r="D175" s="3">
        <v>439</v>
      </c>
      <c r="E175" s="3">
        <v>462</v>
      </c>
    </row>
    <row r="176" spans="1:5">
      <c r="A176">
        <v>4445114986</v>
      </c>
      <c r="B176" s="1">
        <v>42481</v>
      </c>
      <c r="C176" s="3">
        <v>1</v>
      </c>
      <c r="D176" s="3">
        <v>436</v>
      </c>
      <c r="E176" s="3">
        <v>469</v>
      </c>
    </row>
    <row r="177" spans="1:5">
      <c r="A177">
        <v>4445114986</v>
      </c>
      <c r="B177" s="1">
        <v>42482</v>
      </c>
      <c r="C177" s="3">
        <v>1</v>
      </c>
      <c r="D177" s="3">
        <v>388</v>
      </c>
      <c r="E177" s="3">
        <v>417</v>
      </c>
    </row>
    <row r="178" spans="1:5">
      <c r="A178">
        <v>4445114986</v>
      </c>
      <c r="B178" s="1">
        <v>42485</v>
      </c>
      <c r="C178" s="3">
        <v>1</v>
      </c>
      <c r="D178" s="3">
        <v>328</v>
      </c>
      <c r="E178" s="3">
        <v>345</v>
      </c>
    </row>
    <row r="179" spans="1:5">
      <c r="A179">
        <v>4445114986</v>
      </c>
      <c r="B179" s="1">
        <v>42486</v>
      </c>
      <c r="C179" s="3">
        <v>2</v>
      </c>
      <c r="D179" s="3">
        <v>353</v>
      </c>
      <c r="E179" s="3">
        <v>391</v>
      </c>
    </row>
    <row r="180" spans="1:5">
      <c r="A180">
        <v>4445114986</v>
      </c>
      <c r="B180" s="1">
        <v>42487</v>
      </c>
      <c r="C180" s="3">
        <v>1</v>
      </c>
      <c r="D180" s="3">
        <v>332</v>
      </c>
      <c r="E180" s="3">
        <v>374</v>
      </c>
    </row>
    <row r="181" spans="1:5">
      <c r="A181">
        <v>4445114986</v>
      </c>
      <c r="B181" s="1">
        <v>42488</v>
      </c>
      <c r="C181" s="3">
        <v>1</v>
      </c>
      <c r="D181" s="3">
        <v>419</v>
      </c>
      <c r="E181" s="3">
        <v>442</v>
      </c>
    </row>
    <row r="182" spans="1:5">
      <c r="A182">
        <v>4445114986</v>
      </c>
      <c r="B182" s="1">
        <v>42489</v>
      </c>
      <c r="C182" s="3">
        <v>1</v>
      </c>
      <c r="D182" s="3">
        <v>106</v>
      </c>
      <c r="E182" s="3">
        <v>108</v>
      </c>
    </row>
    <row r="183" spans="1:5">
      <c r="A183">
        <v>4445114986</v>
      </c>
      <c r="B183" s="1">
        <v>42490</v>
      </c>
      <c r="C183" s="3">
        <v>1</v>
      </c>
      <c r="D183" s="3">
        <v>322</v>
      </c>
      <c r="E183" s="3">
        <v>353</v>
      </c>
    </row>
    <row r="184" spans="1:5">
      <c r="A184">
        <v>4445114986</v>
      </c>
      <c r="B184" s="1">
        <v>42491</v>
      </c>
      <c r="C184" s="3">
        <v>2</v>
      </c>
      <c r="D184" s="3">
        <v>439</v>
      </c>
      <c r="E184" s="3">
        <v>459</v>
      </c>
    </row>
    <row r="185" spans="1:5">
      <c r="A185">
        <v>4445114986</v>
      </c>
      <c r="B185" s="1">
        <v>42492</v>
      </c>
      <c r="C185" s="3">
        <v>1</v>
      </c>
      <c r="D185" s="3">
        <v>502</v>
      </c>
      <c r="E185" s="3">
        <v>542</v>
      </c>
    </row>
    <row r="186" spans="1:5">
      <c r="A186">
        <v>4445114986</v>
      </c>
      <c r="B186" s="1">
        <v>42493</v>
      </c>
      <c r="C186" s="3">
        <v>2</v>
      </c>
      <c r="D186" s="3">
        <v>417</v>
      </c>
      <c r="E186" s="3">
        <v>450</v>
      </c>
    </row>
    <row r="187" spans="1:5">
      <c r="A187">
        <v>4445114986</v>
      </c>
      <c r="B187" s="1">
        <v>42494</v>
      </c>
      <c r="C187" s="3">
        <v>2</v>
      </c>
      <c r="D187" s="3">
        <v>337</v>
      </c>
      <c r="E187" s="3">
        <v>363</v>
      </c>
    </row>
    <row r="188" spans="1:5">
      <c r="A188">
        <v>4445114986</v>
      </c>
      <c r="B188" s="1">
        <v>42495</v>
      </c>
      <c r="C188" s="3">
        <v>2</v>
      </c>
      <c r="D188" s="3">
        <v>462</v>
      </c>
      <c r="E188" s="3">
        <v>513</v>
      </c>
    </row>
    <row r="189" spans="1:5">
      <c r="A189">
        <v>4445114986</v>
      </c>
      <c r="B189" s="1">
        <v>42496</v>
      </c>
      <c r="C189" s="3">
        <v>2</v>
      </c>
      <c r="D189" s="3">
        <v>374</v>
      </c>
      <c r="E189" s="3">
        <v>402</v>
      </c>
    </row>
    <row r="190" spans="1:5">
      <c r="A190">
        <v>4445114986</v>
      </c>
      <c r="B190" s="1">
        <v>42497</v>
      </c>
      <c r="C190" s="3">
        <v>2</v>
      </c>
      <c r="D190" s="3">
        <v>401</v>
      </c>
      <c r="E190" s="3">
        <v>436</v>
      </c>
    </row>
    <row r="191" spans="1:5">
      <c r="A191">
        <v>4445114986</v>
      </c>
      <c r="B191" s="1">
        <v>42498</v>
      </c>
      <c r="C191" s="3">
        <v>1</v>
      </c>
      <c r="D191" s="3">
        <v>361</v>
      </c>
      <c r="E191" s="3">
        <v>391</v>
      </c>
    </row>
    <row r="192" spans="1:5">
      <c r="A192">
        <v>4445114986</v>
      </c>
      <c r="B192" s="1">
        <v>42499</v>
      </c>
      <c r="C192" s="3">
        <v>1</v>
      </c>
      <c r="D192" s="3">
        <v>457</v>
      </c>
      <c r="E192" s="3">
        <v>533</v>
      </c>
    </row>
    <row r="193" spans="1:5">
      <c r="A193">
        <v>4445114986</v>
      </c>
      <c r="B193" s="1">
        <v>42500</v>
      </c>
      <c r="C193" s="3">
        <v>1</v>
      </c>
      <c r="D193" s="3">
        <v>405</v>
      </c>
      <c r="E193" s="3">
        <v>426</v>
      </c>
    </row>
    <row r="194" spans="1:5">
      <c r="A194">
        <v>4445114986</v>
      </c>
      <c r="B194" s="1">
        <v>42501</v>
      </c>
      <c r="C194" s="3">
        <v>1</v>
      </c>
      <c r="D194" s="3">
        <v>499</v>
      </c>
      <c r="E194" s="3">
        <v>530</v>
      </c>
    </row>
    <row r="195" spans="1:5">
      <c r="A195">
        <v>4445114986</v>
      </c>
      <c r="B195" s="1">
        <v>42502</v>
      </c>
      <c r="C195" s="3">
        <v>1</v>
      </c>
      <c r="D195" s="3">
        <v>483</v>
      </c>
      <c r="E195" s="3">
        <v>501</v>
      </c>
    </row>
    <row r="196" spans="1:5">
      <c r="A196">
        <v>4558609924</v>
      </c>
      <c r="B196" s="1">
        <v>42481</v>
      </c>
      <c r="C196" s="3">
        <v>1</v>
      </c>
      <c r="D196" s="3">
        <v>126</v>
      </c>
      <c r="E196" s="3">
        <v>137</v>
      </c>
    </row>
    <row r="197" spans="1:5">
      <c r="A197">
        <v>4558609924</v>
      </c>
      <c r="B197" s="1">
        <v>42486</v>
      </c>
      <c r="C197" s="3">
        <v>1</v>
      </c>
      <c r="D197" s="3">
        <v>103</v>
      </c>
      <c r="E197" s="3">
        <v>121</v>
      </c>
    </row>
    <row r="198" spans="1:5">
      <c r="A198">
        <v>4558609924</v>
      </c>
      <c r="B198" s="1">
        <v>42489</v>
      </c>
      <c r="C198" s="3">
        <v>1</v>
      </c>
      <c r="D198" s="3">
        <v>171</v>
      </c>
      <c r="E198" s="3">
        <v>179</v>
      </c>
    </row>
    <row r="199" spans="1:5">
      <c r="A199">
        <v>4558609924</v>
      </c>
      <c r="B199" s="1">
        <v>42491</v>
      </c>
      <c r="C199" s="3">
        <v>1</v>
      </c>
      <c r="D199" s="3">
        <v>115</v>
      </c>
      <c r="E199" s="3">
        <v>129</v>
      </c>
    </row>
    <row r="200" spans="1:5">
      <c r="A200">
        <v>4558609924</v>
      </c>
      <c r="B200" s="1">
        <v>42498</v>
      </c>
      <c r="C200" s="3">
        <v>1</v>
      </c>
      <c r="D200" s="3">
        <v>123</v>
      </c>
      <c r="E200" s="3">
        <v>134</v>
      </c>
    </row>
    <row r="201" spans="1:5">
      <c r="A201">
        <v>4702921684</v>
      </c>
      <c r="B201" s="1">
        <v>42472</v>
      </c>
      <c r="C201" s="3">
        <v>1</v>
      </c>
      <c r="D201" s="3">
        <v>425</v>
      </c>
      <c r="E201" s="3">
        <v>439</v>
      </c>
    </row>
    <row r="202" spans="1:5">
      <c r="A202">
        <v>4702921684</v>
      </c>
      <c r="B202" s="1">
        <v>42473</v>
      </c>
      <c r="C202" s="3">
        <v>2</v>
      </c>
      <c r="D202" s="3">
        <v>400</v>
      </c>
      <c r="E202" s="3">
        <v>430</v>
      </c>
    </row>
    <row r="203" spans="1:5">
      <c r="A203">
        <v>4702921684</v>
      </c>
      <c r="B203" s="1">
        <v>42474</v>
      </c>
      <c r="C203" s="3">
        <v>1</v>
      </c>
      <c r="D203" s="3">
        <v>384</v>
      </c>
      <c r="E203" s="3">
        <v>415</v>
      </c>
    </row>
    <row r="204" spans="1:5">
      <c r="A204">
        <v>4702921684</v>
      </c>
      <c r="B204" s="1">
        <v>42475</v>
      </c>
      <c r="C204" s="3">
        <v>1</v>
      </c>
      <c r="D204" s="3">
        <v>253</v>
      </c>
      <c r="E204" s="3">
        <v>257</v>
      </c>
    </row>
    <row r="205" spans="1:5">
      <c r="A205">
        <v>4702921684</v>
      </c>
      <c r="B205" s="1">
        <v>42476</v>
      </c>
      <c r="C205" s="3">
        <v>2</v>
      </c>
      <c r="D205" s="3">
        <v>382</v>
      </c>
      <c r="E205" s="3">
        <v>406</v>
      </c>
    </row>
    <row r="206" spans="1:5">
      <c r="A206">
        <v>4702921684</v>
      </c>
      <c r="B206" s="1">
        <v>42477</v>
      </c>
      <c r="C206" s="3">
        <v>1</v>
      </c>
      <c r="D206" s="3">
        <v>591</v>
      </c>
      <c r="E206" s="3">
        <v>612</v>
      </c>
    </row>
    <row r="207" spans="1:5">
      <c r="A207">
        <v>4702921684</v>
      </c>
      <c r="B207" s="1">
        <v>42478</v>
      </c>
      <c r="C207" s="3">
        <v>1</v>
      </c>
      <c r="D207" s="3">
        <v>293</v>
      </c>
      <c r="E207" s="3">
        <v>312</v>
      </c>
    </row>
    <row r="208" spans="1:5">
      <c r="A208">
        <v>4702921684</v>
      </c>
      <c r="B208" s="1">
        <v>42479</v>
      </c>
      <c r="C208" s="3">
        <v>1</v>
      </c>
      <c r="D208" s="3">
        <v>457</v>
      </c>
      <c r="E208" s="3">
        <v>487</v>
      </c>
    </row>
    <row r="209" spans="1:5">
      <c r="A209">
        <v>4702921684</v>
      </c>
      <c r="B209" s="1">
        <v>42480</v>
      </c>
      <c r="C209" s="3">
        <v>1</v>
      </c>
      <c r="D209" s="3">
        <v>454</v>
      </c>
      <c r="E209" s="3">
        <v>468</v>
      </c>
    </row>
    <row r="210" spans="1:5">
      <c r="A210">
        <v>4702921684</v>
      </c>
      <c r="B210" s="1">
        <v>42481</v>
      </c>
      <c r="C210" s="3">
        <v>1</v>
      </c>
      <c r="D210" s="3">
        <v>425</v>
      </c>
      <c r="E210" s="3">
        <v>434</v>
      </c>
    </row>
    <row r="211" spans="1:5">
      <c r="A211">
        <v>4702921684</v>
      </c>
      <c r="B211" s="1">
        <v>42483</v>
      </c>
      <c r="C211" s="3">
        <v>1</v>
      </c>
      <c r="D211" s="3">
        <v>465</v>
      </c>
      <c r="E211" s="3">
        <v>475</v>
      </c>
    </row>
    <row r="212" spans="1:5">
      <c r="A212">
        <v>4702921684</v>
      </c>
      <c r="B212" s="1">
        <v>42484</v>
      </c>
      <c r="C212" s="3">
        <v>1</v>
      </c>
      <c r="D212" s="3">
        <v>480</v>
      </c>
      <c r="E212" s="3">
        <v>506</v>
      </c>
    </row>
    <row r="213" spans="1:5">
      <c r="A213">
        <v>4702921684</v>
      </c>
      <c r="B213" s="1">
        <v>42485</v>
      </c>
      <c r="C213" s="3">
        <v>1</v>
      </c>
      <c r="D213" s="3">
        <v>370</v>
      </c>
      <c r="E213" s="3">
        <v>380</v>
      </c>
    </row>
    <row r="214" spans="1:5">
      <c r="A214">
        <v>4702921684</v>
      </c>
      <c r="B214" s="1">
        <v>42486</v>
      </c>
      <c r="C214" s="3">
        <v>1</v>
      </c>
      <c r="D214" s="3">
        <v>421</v>
      </c>
      <c r="E214" s="3">
        <v>429</v>
      </c>
    </row>
    <row r="215" spans="1:5">
      <c r="A215">
        <v>4702921684</v>
      </c>
      <c r="B215" s="1">
        <v>42487</v>
      </c>
      <c r="C215" s="3">
        <v>1</v>
      </c>
      <c r="D215" s="3">
        <v>432</v>
      </c>
      <c r="E215" s="3">
        <v>449</v>
      </c>
    </row>
    <row r="216" spans="1:5">
      <c r="A216">
        <v>4702921684</v>
      </c>
      <c r="B216" s="1">
        <v>42488</v>
      </c>
      <c r="C216" s="3">
        <v>1</v>
      </c>
      <c r="D216" s="3">
        <v>442</v>
      </c>
      <c r="E216" s="3">
        <v>461</v>
      </c>
    </row>
    <row r="217" spans="1:5">
      <c r="A217">
        <v>4702921684</v>
      </c>
      <c r="B217" s="1">
        <v>42489</v>
      </c>
      <c r="C217" s="3">
        <v>1</v>
      </c>
      <c r="D217" s="3">
        <v>433</v>
      </c>
      <c r="E217" s="3">
        <v>447</v>
      </c>
    </row>
    <row r="218" spans="1:5">
      <c r="A218">
        <v>4702921684</v>
      </c>
      <c r="B218" s="1">
        <v>42490</v>
      </c>
      <c r="C218" s="3">
        <v>1</v>
      </c>
      <c r="D218" s="3">
        <v>479</v>
      </c>
      <c r="E218" s="3">
        <v>501</v>
      </c>
    </row>
    <row r="219" spans="1:5">
      <c r="A219">
        <v>4702921684</v>
      </c>
      <c r="B219" s="1">
        <v>42493</v>
      </c>
      <c r="C219" s="3">
        <v>1</v>
      </c>
      <c r="D219" s="3">
        <v>327</v>
      </c>
      <c r="E219" s="3">
        <v>373</v>
      </c>
    </row>
    <row r="220" spans="1:5">
      <c r="A220">
        <v>4702921684</v>
      </c>
      <c r="B220" s="1">
        <v>42494</v>
      </c>
      <c r="C220" s="3">
        <v>1</v>
      </c>
      <c r="D220" s="3">
        <v>412</v>
      </c>
      <c r="E220" s="3">
        <v>434</v>
      </c>
    </row>
    <row r="221" spans="1:5">
      <c r="A221">
        <v>4702921684</v>
      </c>
      <c r="B221" s="1">
        <v>42495</v>
      </c>
      <c r="C221" s="3">
        <v>1</v>
      </c>
      <c r="D221" s="3">
        <v>414</v>
      </c>
      <c r="E221" s="3">
        <v>428</v>
      </c>
    </row>
    <row r="222" spans="1:5">
      <c r="A222">
        <v>4702921684</v>
      </c>
      <c r="B222" s="1">
        <v>42496</v>
      </c>
      <c r="C222" s="3">
        <v>1</v>
      </c>
      <c r="D222" s="3">
        <v>404</v>
      </c>
      <c r="E222" s="3">
        <v>449</v>
      </c>
    </row>
    <row r="223" spans="1:5">
      <c r="A223">
        <v>4702921684</v>
      </c>
      <c r="B223" s="1">
        <v>42497</v>
      </c>
      <c r="C223" s="3">
        <v>1</v>
      </c>
      <c r="D223" s="3">
        <v>520</v>
      </c>
      <c r="E223" s="3">
        <v>543</v>
      </c>
    </row>
    <row r="224" spans="1:5">
      <c r="A224">
        <v>4702921684</v>
      </c>
      <c r="B224" s="1">
        <v>42499</v>
      </c>
      <c r="C224" s="3">
        <v>1</v>
      </c>
      <c r="D224" s="3">
        <v>435</v>
      </c>
      <c r="E224" s="3">
        <v>458</v>
      </c>
    </row>
    <row r="225" spans="1:5">
      <c r="A225">
        <v>4702921684</v>
      </c>
      <c r="B225" s="1">
        <v>42500</v>
      </c>
      <c r="C225" s="3">
        <v>1</v>
      </c>
      <c r="D225" s="3">
        <v>416</v>
      </c>
      <c r="E225" s="3">
        <v>431</v>
      </c>
    </row>
    <row r="226" spans="1:5">
      <c r="A226">
        <v>4702921684</v>
      </c>
      <c r="B226" s="1">
        <v>42501</v>
      </c>
      <c r="C226" s="3">
        <v>1</v>
      </c>
      <c r="D226" s="3">
        <v>354</v>
      </c>
      <c r="E226" s="3">
        <v>366</v>
      </c>
    </row>
    <row r="227" spans="1:5">
      <c r="A227">
        <v>4702921684</v>
      </c>
      <c r="B227" s="1">
        <v>42502</v>
      </c>
      <c r="C227" s="3">
        <v>1</v>
      </c>
      <c r="D227" s="3">
        <v>404</v>
      </c>
      <c r="E227" s="3">
        <v>442</v>
      </c>
    </row>
    <row r="228" spans="1:5">
      <c r="A228">
        <v>5553957443</v>
      </c>
      <c r="B228" s="1">
        <v>42472</v>
      </c>
      <c r="C228" s="3">
        <v>1</v>
      </c>
      <c r="D228" s="3">
        <v>441</v>
      </c>
      <c r="E228" s="3">
        <v>464</v>
      </c>
    </row>
    <row r="229" spans="1:5">
      <c r="A229">
        <v>5553957443</v>
      </c>
      <c r="B229" s="1">
        <v>42473</v>
      </c>
      <c r="C229" s="3">
        <v>2</v>
      </c>
      <c r="D229" s="3">
        <v>455</v>
      </c>
      <c r="E229" s="3">
        <v>488</v>
      </c>
    </row>
    <row r="230" spans="1:5">
      <c r="A230">
        <v>5553957443</v>
      </c>
      <c r="B230" s="1">
        <v>42474</v>
      </c>
      <c r="C230" s="3">
        <v>1</v>
      </c>
      <c r="D230" s="3">
        <v>357</v>
      </c>
      <c r="E230" s="3">
        <v>418</v>
      </c>
    </row>
    <row r="231" spans="1:5">
      <c r="A231">
        <v>5553957443</v>
      </c>
      <c r="B231" s="1">
        <v>42475</v>
      </c>
      <c r="C231" s="3">
        <v>1</v>
      </c>
      <c r="D231" s="3">
        <v>377</v>
      </c>
      <c r="E231" s="3">
        <v>409</v>
      </c>
    </row>
    <row r="232" spans="1:5">
      <c r="A232">
        <v>5553957443</v>
      </c>
      <c r="B232" s="1">
        <v>42476</v>
      </c>
      <c r="C232" s="3">
        <v>2</v>
      </c>
      <c r="D232" s="3">
        <v>651</v>
      </c>
      <c r="E232" s="3">
        <v>686</v>
      </c>
    </row>
    <row r="233" spans="1:5">
      <c r="A233">
        <v>5553957443</v>
      </c>
      <c r="B233" s="1">
        <v>42477</v>
      </c>
      <c r="C233" s="3">
        <v>1</v>
      </c>
      <c r="D233" s="3">
        <v>350</v>
      </c>
      <c r="E233" s="3">
        <v>402</v>
      </c>
    </row>
    <row r="234" spans="1:5">
      <c r="A234">
        <v>5553957443</v>
      </c>
      <c r="B234" s="1">
        <v>42478</v>
      </c>
      <c r="C234" s="3">
        <v>2</v>
      </c>
      <c r="D234" s="3">
        <v>520</v>
      </c>
      <c r="E234" s="3">
        <v>541</v>
      </c>
    </row>
    <row r="235" spans="1:5">
      <c r="A235">
        <v>5553957443</v>
      </c>
      <c r="B235" s="1">
        <v>42479</v>
      </c>
      <c r="C235" s="3">
        <v>1</v>
      </c>
      <c r="D235" s="3">
        <v>357</v>
      </c>
      <c r="E235" s="3">
        <v>410</v>
      </c>
    </row>
    <row r="236" spans="1:5">
      <c r="A236">
        <v>5553957443</v>
      </c>
      <c r="B236" s="1">
        <v>42480</v>
      </c>
      <c r="C236" s="3">
        <v>1</v>
      </c>
      <c r="D236" s="3">
        <v>658</v>
      </c>
      <c r="E236" s="3">
        <v>678</v>
      </c>
    </row>
    <row r="237" spans="1:5">
      <c r="A237">
        <v>5553957443</v>
      </c>
      <c r="B237" s="1">
        <v>42481</v>
      </c>
      <c r="C237" s="3">
        <v>1</v>
      </c>
      <c r="D237" s="3">
        <v>399</v>
      </c>
      <c r="E237" s="3">
        <v>431</v>
      </c>
    </row>
    <row r="238" spans="1:5">
      <c r="A238">
        <v>5553957443</v>
      </c>
      <c r="B238" s="1">
        <v>42482</v>
      </c>
      <c r="C238" s="3">
        <v>1</v>
      </c>
      <c r="D238" s="3">
        <v>322</v>
      </c>
      <c r="E238" s="3">
        <v>353</v>
      </c>
    </row>
    <row r="239" spans="1:5">
      <c r="A239">
        <v>5553957443</v>
      </c>
      <c r="B239" s="1">
        <v>42483</v>
      </c>
      <c r="C239" s="3">
        <v>2</v>
      </c>
      <c r="D239" s="3">
        <v>631</v>
      </c>
      <c r="E239" s="3">
        <v>725</v>
      </c>
    </row>
    <row r="240" spans="1:5">
      <c r="A240">
        <v>5553957443</v>
      </c>
      <c r="B240" s="1">
        <v>42484</v>
      </c>
      <c r="C240" s="3">
        <v>2</v>
      </c>
      <c r="D240" s="3">
        <v>553</v>
      </c>
      <c r="E240" s="3">
        <v>640</v>
      </c>
    </row>
    <row r="241" spans="1:5">
      <c r="A241">
        <v>5553957443</v>
      </c>
      <c r="B241" s="1">
        <v>42485</v>
      </c>
      <c r="C241" s="3">
        <v>1</v>
      </c>
      <c r="D241" s="3">
        <v>433</v>
      </c>
      <c r="E241" s="3">
        <v>468</v>
      </c>
    </row>
    <row r="242" spans="1:5">
      <c r="A242">
        <v>5553957443</v>
      </c>
      <c r="B242" s="1">
        <v>42486</v>
      </c>
      <c r="C242" s="3">
        <v>1</v>
      </c>
      <c r="D242" s="3">
        <v>412</v>
      </c>
      <c r="E242" s="3">
        <v>453</v>
      </c>
    </row>
    <row r="243" spans="1:5">
      <c r="A243">
        <v>5553957443</v>
      </c>
      <c r="B243" s="1">
        <v>42487</v>
      </c>
      <c r="C243" s="3">
        <v>1</v>
      </c>
      <c r="D243" s="3">
        <v>347</v>
      </c>
      <c r="E243" s="3">
        <v>391</v>
      </c>
    </row>
    <row r="244" spans="1:5">
      <c r="A244">
        <v>5553957443</v>
      </c>
      <c r="B244" s="1">
        <v>42488</v>
      </c>
      <c r="C244" s="3">
        <v>1</v>
      </c>
      <c r="D244" s="3">
        <v>421</v>
      </c>
      <c r="E244" s="3">
        <v>457</v>
      </c>
    </row>
    <row r="245" spans="1:5">
      <c r="A245">
        <v>5553957443</v>
      </c>
      <c r="B245" s="1">
        <v>42489</v>
      </c>
      <c r="C245" s="3">
        <v>1</v>
      </c>
      <c r="D245" s="3">
        <v>450</v>
      </c>
      <c r="E245" s="3">
        <v>495</v>
      </c>
    </row>
    <row r="246" spans="1:5">
      <c r="A246">
        <v>5553957443</v>
      </c>
      <c r="B246" s="1">
        <v>42490</v>
      </c>
      <c r="C246" s="3">
        <v>2</v>
      </c>
      <c r="D246" s="3">
        <v>775</v>
      </c>
      <c r="E246" s="3">
        <v>843</v>
      </c>
    </row>
    <row r="247" spans="1:5">
      <c r="A247">
        <v>5553957443</v>
      </c>
      <c r="B247" s="1">
        <v>42491</v>
      </c>
      <c r="C247" s="3">
        <v>2</v>
      </c>
      <c r="D247" s="3">
        <v>622</v>
      </c>
      <c r="E247" s="3">
        <v>686</v>
      </c>
    </row>
    <row r="248" spans="1:5">
      <c r="A248">
        <v>5553957443</v>
      </c>
      <c r="B248" s="1">
        <v>42492</v>
      </c>
      <c r="C248" s="3">
        <v>1</v>
      </c>
      <c r="D248" s="3">
        <v>409</v>
      </c>
      <c r="E248" s="3">
        <v>471</v>
      </c>
    </row>
    <row r="249" spans="1:5">
      <c r="A249">
        <v>5553957443</v>
      </c>
      <c r="B249" s="1">
        <v>42493</v>
      </c>
      <c r="C249" s="3">
        <v>1</v>
      </c>
      <c r="D249" s="3">
        <v>380</v>
      </c>
      <c r="E249" s="3">
        <v>429</v>
      </c>
    </row>
    <row r="250" spans="1:5">
      <c r="A250">
        <v>5553957443</v>
      </c>
      <c r="B250" s="1">
        <v>42494</v>
      </c>
      <c r="C250" s="3">
        <v>1</v>
      </c>
      <c r="D250" s="3">
        <v>447</v>
      </c>
      <c r="E250" s="3">
        <v>470</v>
      </c>
    </row>
    <row r="251" spans="1:5">
      <c r="A251">
        <v>5553957443</v>
      </c>
      <c r="B251" s="1">
        <v>42495</v>
      </c>
      <c r="C251" s="3">
        <v>1</v>
      </c>
      <c r="D251" s="3">
        <v>419</v>
      </c>
      <c r="E251" s="3">
        <v>464</v>
      </c>
    </row>
    <row r="252" spans="1:5">
      <c r="A252">
        <v>5553957443</v>
      </c>
      <c r="B252" s="1">
        <v>42496</v>
      </c>
      <c r="C252" s="3">
        <v>1</v>
      </c>
      <c r="D252" s="3">
        <v>400</v>
      </c>
      <c r="E252" s="3">
        <v>434</v>
      </c>
    </row>
    <row r="253" spans="1:5">
      <c r="A253">
        <v>5553957443</v>
      </c>
      <c r="B253" s="1">
        <v>42497</v>
      </c>
      <c r="C253" s="3">
        <v>1</v>
      </c>
      <c r="D253" s="3">
        <v>442</v>
      </c>
      <c r="E253" s="3">
        <v>470</v>
      </c>
    </row>
    <row r="254" spans="1:5">
      <c r="A254">
        <v>5553957443</v>
      </c>
      <c r="B254" s="1">
        <v>42498</v>
      </c>
      <c r="C254" s="3">
        <v>1</v>
      </c>
      <c r="D254" s="3">
        <v>568</v>
      </c>
      <c r="E254" s="3">
        <v>608</v>
      </c>
    </row>
    <row r="255" spans="1:5">
      <c r="A255">
        <v>5553957443</v>
      </c>
      <c r="B255" s="1">
        <v>42499</v>
      </c>
      <c r="C255" s="3">
        <v>1</v>
      </c>
      <c r="D255" s="3">
        <v>453</v>
      </c>
      <c r="E255" s="3">
        <v>494</v>
      </c>
    </row>
    <row r="256" spans="1:5">
      <c r="A256">
        <v>5553957443</v>
      </c>
      <c r="B256" s="1">
        <v>42500</v>
      </c>
      <c r="C256" s="3">
        <v>1</v>
      </c>
      <c r="D256" s="3">
        <v>418</v>
      </c>
      <c r="E256" s="3">
        <v>443</v>
      </c>
    </row>
    <row r="257" spans="1:5">
      <c r="A257">
        <v>5553957443</v>
      </c>
      <c r="B257" s="1">
        <v>42501</v>
      </c>
      <c r="C257" s="3">
        <v>1</v>
      </c>
      <c r="D257" s="3">
        <v>463</v>
      </c>
      <c r="E257" s="3">
        <v>486</v>
      </c>
    </row>
    <row r="258" spans="1:5">
      <c r="A258">
        <v>5553957443</v>
      </c>
      <c r="B258" s="1">
        <v>42502</v>
      </c>
      <c r="C258" s="3">
        <v>1</v>
      </c>
      <c r="D258" s="3">
        <v>438</v>
      </c>
      <c r="E258" s="3">
        <v>475</v>
      </c>
    </row>
    <row r="259" spans="1:5">
      <c r="A259">
        <v>5577150313</v>
      </c>
      <c r="B259" s="1">
        <v>42472</v>
      </c>
      <c r="C259" s="3">
        <v>1</v>
      </c>
      <c r="D259" s="3">
        <v>419</v>
      </c>
      <c r="E259" s="3">
        <v>438</v>
      </c>
    </row>
    <row r="260" spans="1:5">
      <c r="A260">
        <v>5577150313</v>
      </c>
      <c r="B260" s="1">
        <v>42473</v>
      </c>
      <c r="C260" s="3">
        <v>1</v>
      </c>
      <c r="D260" s="3">
        <v>432</v>
      </c>
      <c r="E260" s="3">
        <v>458</v>
      </c>
    </row>
    <row r="261" spans="1:5">
      <c r="A261">
        <v>5577150313</v>
      </c>
      <c r="B261" s="1">
        <v>42474</v>
      </c>
      <c r="C261" s="3">
        <v>1</v>
      </c>
      <c r="D261" s="3">
        <v>477</v>
      </c>
      <c r="E261" s="3">
        <v>497</v>
      </c>
    </row>
    <row r="262" spans="1:5">
      <c r="A262">
        <v>5577150313</v>
      </c>
      <c r="B262" s="1">
        <v>42475</v>
      </c>
      <c r="C262" s="3">
        <v>1</v>
      </c>
      <c r="D262" s="3">
        <v>392</v>
      </c>
      <c r="E262" s="3">
        <v>413</v>
      </c>
    </row>
    <row r="263" spans="1:5">
      <c r="A263">
        <v>5577150313</v>
      </c>
      <c r="B263" s="1">
        <v>42476</v>
      </c>
      <c r="C263" s="3">
        <v>1</v>
      </c>
      <c r="D263" s="3">
        <v>406</v>
      </c>
      <c r="E263" s="3">
        <v>445</v>
      </c>
    </row>
    <row r="264" spans="1:5">
      <c r="A264">
        <v>5577150313</v>
      </c>
      <c r="B264" s="1">
        <v>42477</v>
      </c>
      <c r="C264" s="3">
        <v>1</v>
      </c>
      <c r="D264" s="3">
        <v>549</v>
      </c>
      <c r="E264" s="3">
        <v>583</v>
      </c>
    </row>
    <row r="265" spans="1:5">
      <c r="A265">
        <v>5577150313</v>
      </c>
      <c r="B265" s="1">
        <v>42478</v>
      </c>
      <c r="C265" s="3">
        <v>1</v>
      </c>
      <c r="D265" s="3">
        <v>527</v>
      </c>
      <c r="E265" s="3">
        <v>553</v>
      </c>
    </row>
    <row r="266" spans="1:5">
      <c r="A266">
        <v>5577150313</v>
      </c>
      <c r="B266" s="1">
        <v>42479</v>
      </c>
      <c r="C266" s="3">
        <v>1</v>
      </c>
      <c r="D266" s="3">
        <v>449</v>
      </c>
      <c r="E266" s="3">
        <v>465</v>
      </c>
    </row>
    <row r="267" spans="1:5">
      <c r="A267">
        <v>5577150313</v>
      </c>
      <c r="B267" s="1">
        <v>42480</v>
      </c>
      <c r="C267" s="3">
        <v>1</v>
      </c>
      <c r="D267" s="3">
        <v>447</v>
      </c>
      <c r="E267" s="3">
        <v>480</v>
      </c>
    </row>
    <row r="268" spans="1:5">
      <c r="A268">
        <v>5577150313</v>
      </c>
      <c r="B268" s="1">
        <v>42481</v>
      </c>
      <c r="C268" s="3">
        <v>1</v>
      </c>
      <c r="D268" s="3">
        <v>414</v>
      </c>
      <c r="E268" s="3">
        <v>437</v>
      </c>
    </row>
    <row r="269" spans="1:5">
      <c r="A269">
        <v>5577150313</v>
      </c>
      <c r="B269" s="1">
        <v>42482</v>
      </c>
      <c r="C269" s="3">
        <v>1</v>
      </c>
      <c r="D269" s="3">
        <v>338</v>
      </c>
      <c r="E269" s="3">
        <v>366</v>
      </c>
    </row>
    <row r="270" spans="1:5">
      <c r="A270">
        <v>5577150313</v>
      </c>
      <c r="B270" s="1">
        <v>42483</v>
      </c>
      <c r="C270" s="3">
        <v>1</v>
      </c>
      <c r="D270" s="3">
        <v>384</v>
      </c>
      <c r="E270" s="3">
        <v>402</v>
      </c>
    </row>
    <row r="271" spans="1:5">
      <c r="A271">
        <v>5577150313</v>
      </c>
      <c r="B271" s="1">
        <v>42484</v>
      </c>
      <c r="C271" s="3">
        <v>1</v>
      </c>
      <c r="D271" s="3">
        <v>543</v>
      </c>
      <c r="E271" s="3">
        <v>615</v>
      </c>
    </row>
    <row r="272" spans="1:5">
      <c r="A272">
        <v>5577150313</v>
      </c>
      <c r="B272" s="1">
        <v>42485</v>
      </c>
      <c r="C272" s="3">
        <v>1</v>
      </c>
      <c r="D272" s="3">
        <v>421</v>
      </c>
      <c r="E272" s="3">
        <v>461</v>
      </c>
    </row>
    <row r="273" spans="1:5">
      <c r="A273">
        <v>5577150313</v>
      </c>
      <c r="B273" s="1">
        <v>42486</v>
      </c>
      <c r="C273" s="3">
        <v>1</v>
      </c>
      <c r="D273" s="3">
        <v>354</v>
      </c>
      <c r="E273" s="3">
        <v>377</v>
      </c>
    </row>
    <row r="274" spans="1:5">
      <c r="A274">
        <v>5577150313</v>
      </c>
      <c r="B274" s="1">
        <v>42487</v>
      </c>
      <c r="C274" s="3">
        <v>1</v>
      </c>
      <c r="D274" s="3">
        <v>424</v>
      </c>
      <c r="E274" s="3">
        <v>452</v>
      </c>
    </row>
    <row r="275" spans="1:5">
      <c r="A275">
        <v>5577150313</v>
      </c>
      <c r="B275" s="1">
        <v>42488</v>
      </c>
      <c r="C275" s="3">
        <v>1</v>
      </c>
      <c r="D275" s="3">
        <v>361</v>
      </c>
      <c r="E275" s="3">
        <v>372</v>
      </c>
    </row>
    <row r="276" spans="1:5">
      <c r="A276">
        <v>5577150313</v>
      </c>
      <c r="B276" s="1">
        <v>42489</v>
      </c>
      <c r="C276" s="3">
        <v>1</v>
      </c>
      <c r="D276" s="3">
        <v>459</v>
      </c>
      <c r="E276" s="3">
        <v>485</v>
      </c>
    </row>
    <row r="277" spans="1:5">
      <c r="A277">
        <v>5577150313</v>
      </c>
      <c r="B277" s="1">
        <v>42490</v>
      </c>
      <c r="C277" s="3">
        <v>1</v>
      </c>
      <c r="D277" s="3">
        <v>412</v>
      </c>
      <c r="E277" s="3">
        <v>433</v>
      </c>
    </row>
    <row r="278" spans="1:5">
      <c r="A278">
        <v>5577150313</v>
      </c>
      <c r="B278" s="1">
        <v>42491</v>
      </c>
      <c r="C278" s="3">
        <v>1</v>
      </c>
      <c r="D278" s="3">
        <v>379</v>
      </c>
      <c r="E278" s="3">
        <v>398</v>
      </c>
    </row>
    <row r="279" spans="1:5">
      <c r="A279">
        <v>5577150313</v>
      </c>
      <c r="B279" s="1">
        <v>42492</v>
      </c>
      <c r="C279" s="3">
        <v>2</v>
      </c>
      <c r="D279" s="3">
        <v>525</v>
      </c>
      <c r="E279" s="3">
        <v>553</v>
      </c>
    </row>
    <row r="280" spans="1:5">
      <c r="A280">
        <v>5577150313</v>
      </c>
      <c r="B280" s="1">
        <v>42493</v>
      </c>
      <c r="C280" s="3">
        <v>1</v>
      </c>
      <c r="D280" s="3">
        <v>508</v>
      </c>
      <c r="E280" s="3">
        <v>543</v>
      </c>
    </row>
    <row r="281" spans="1:5">
      <c r="A281">
        <v>5577150313</v>
      </c>
      <c r="B281" s="1">
        <v>42494</v>
      </c>
      <c r="C281" s="3">
        <v>1</v>
      </c>
      <c r="D281" s="3">
        <v>603</v>
      </c>
      <c r="E281" s="3">
        <v>634</v>
      </c>
    </row>
    <row r="282" spans="1:5">
      <c r="A282">
        <v>5577150313</v>
      </c>
      <c r="B282" s="1">
        <v>42495</v>
      </c>
      <c r="C282" s="3">
        <v>1</v>
      </c>
      <c r="D282" s="3">
        <v>74</v>
      </c>
      <c r="E282" s="3">
        <v>78</v>
      </c>
    </row>
    <row r="283" spans="1:5">
      <c r="A283">
        <v>5577150313</v>
      </c>
      <c r="B283" s="1">
        <v>42500</v>
      </c>
      <c r="C283" s="3">
        <v>1</v>
      </c>
      <c r="D283" s="3">
        <v>504</v>
      </c>
      <c r="E283" s="3">
        <v>562</v>
      </c>
    </row>
    <row r="284" spans="1:5">
      <c r="A284">
        <v>5577150313</v>
      </c>
      <c r="B284" s="1">
        <v>42501</v>
      </c>
      <c r="C284" s="3">
        <v>1</v>
      </c>
      <c r="D284" s="3">
        <v>431</v>
      </c>
      <c r="E284" s="3">
        <v>476</v>
      </c>
    </row>
    <row r="285" spans="1:5">
      <c r="A285">
        <v>6117666160</v>
      </c>
      <c r="B285" s="1">
        <v>42476</v>
      </c>
      <c r="C285" s="3">
        <v>1</v>
      </c>
      <c r="D285" s="3">
        <v>380</v>
      </c>
      <c r="E285" s="3">
        <v>398</v>
      </c>
    </row>
    <row r="286" spans="1:5">
      <c r="A286">
        <v>6117666160</v>
      </c>
      <c r="B286" s="1">
        <v>42477</v>
      </c>
      <c r="C286" s="3">
        <v>2</v>
      </c>
      <c r="D286" s="3">
        <v>336</v>
      </c>
      <c r="E286" s="3">
        <v>350</v>
      </c>
    </row>
    <row r="287" spans="1:5">
      <c r="A287">
        <v>6117666160</v>
      </c>
      <c r="B287" s="1">
        <v>42478</v>
      </c>
      <c r="C287" s="3">
        <v>2</v>
      </c>
      <c r="D287" s="3">
        <v>493</v>
      </c>
      <c r="E287" s="3">
        <v>510</v>
      </c>
    </row>
    <row r="288" spans="1:5">
      <c r="A288">
        <v>6117666160</v>
      </c>
      <c r="B288" s="1">
        <v>42479</v>
      </c>
      <c r="C288" s="3">
        <v>1</v>
      </c>
      <c r="D288" s="3">
        <v>465</v>
      </c>
      <c r="E288" s="3">
        <v>492</v>
      </c>
    </row>
    <row r="289" spans="1:5">
      <c r="A289">
        <v>6117666160</v>
      </c>
      <c r="B289" s="1">
        <v>42480</v>
      </c>
      <c r="C289" s="3">
        <v>1</v>
      </c>
      <c r="D289" s="3">
        <v>474</v>
      </c>
      <c r="E289" s="3">
        <v>502</v>
      </c>
    </row>
    <row r="290" spans="1:5">
      <c r="A290">
        <v>6117666160</v>
      </c>
      <c r="B290" s="1">
        <v>42481</v>
      </c>
      <c r="C290" s="3">
        <v>1</v>
      </c>
      <c r="D290" s="3">
        <v>508</v>
      </c>
      <c r="E290" s="3">
        <v>550</v>
      </c>
    </row>
    <row r="291" spans="1:5">
      <c r="A291">
        <v>6117666160</v>
      </c>
      <c r="B291" s="1">
        <v>42482</v>
      </c>
      <c r="C291" s="3">
        <v>1</v>
      </c>
      <c r="D291" s="3">
        <v>480</v>
      </c>
      <c r="E291" s="3">
        <v>546</v>
      </c>
    </row>
    <row r="292" spans="1:5">
      <c r="A292">
        <v>6117666160</v>
      </c>
      <c r="B292" s="1">
        <v>42483</v>
      </c>
      <c r="C292" s="3">
        <v>1</v>
      </c>
      <c r="D292" s="3">
        <v>492</v>
      </c>
      <c r="E292" s="3">
        <v>539</v>
      </c>
    </row>
    <row r="293" spans="1:5">
      <c r="A293">
        <v>6117666160</v>
      </c>
      <c r="B293" s="1">
        <v>42484</v>
      </c>
      <c r="C293" s="3">
        <v>1</v>
      </c>
      <c r="D293" s="3">
        <v>353</v>
      </c>
      <c r="E293" s="3">
        <v>367</v>
      </c>
    </row>
    <row r="294" spans="1:5">
      <c r="A294">
        <v>6117666160</v>
      </c>
      <c r="B294" s="1">
        <v>42487</v>
      </c>
      <c r="C294" s="3">
        <v>1</v>
      </c>
      <c r="D294" s="3">
        <v>542</v>
      </c>
      <c r="E294" s="3">
        <v>557</v>
      </c>
    </row>
    <row r="295" spans="1:5">
      <c r="A295">
        <v>6117666160</v>
      </c>
      <c r="B295" s="1">
        <v>42488</v>
      </c>
      <c r="C295" s="3">
        <v>1</v>
      </c>
      <c r="D295" s="3">
        <v>393</v>
      </c>
      <c r="E295" s="3">
        <v>416</v>
      </c>
    </row>
    <row r="296" spans="1:5">
      <c r="A296">
        <v>6117666160</v>
      </c>
      <c r="B296" s="1">
        <v>42489</v>
      </c>
      <c r="C296" s="3">
        <v>1</v>
      </c>
      <c r="D296" s="3">
        <v>600</v>
      </c>
      <c r="E296" s="3">
        <v>636</v>
      </c>
    </row>
    <row r="297" spans="1:5">
      <c r="A297">
        <v>6117666160</v>
      </c>
      <c r="B297" s="1">
        <v>42491</v>
      </c>
      <c r="C297" s="3">
        <v>1</v>
      </c>
      <c r="D297" s="3">
        <v>507</v>
      </c>
      <c r="E297" s="3">
        <v>575</v>
      </c>
    </row>
    <row r="298" spans="1:5">
      <c r="A298">
        <v>6117666160</v>
      </c>
      <c r="B298" s="1">
        <v>42495</v>
      </c>
      <c r="C298" s="3">
        <v>1</v>
      </c>
      <c r="D298" s="3">
        <v>392</v>
      </c>
      <c r="E298" s="3">
        <v>415</v>
      </c>
    </row>
    <row r="299" spans="1:5">
      <c r="A299">
        <v>6117666160</v>
      </c>
      <c r="B299" s="1">
        <v>42496</v>
      </c>
      <c r="C299" s="3">
        <v>2</v>
      </c>
      <c r="D299" s="3">
        <v>658</v>
      </c>
      <c r="E299" s="3">
        <v>698</v>
      </c>
    </row>
    <row r="300" spans="1:5">
      <c r="A300">
        <v>6117666160</v>
      </c>
      <c r="B300" s="1">
        <v>42497</v>
      </c>
      <c r="C300" s="3">
        <v>2</v>
      </c>
      <c r="D300" s="3">
        <v>498</v>
      </c>
      <c r="E300" s="3">
        <v>507</v>
      </c>
    </row>
    <row r="301" spans="1:5">
      <c r="A301">
        <v>6117666160</v>
      </c>
      <c r="B301" s="1">
        <v>42498</v>
      </c>
      <c r="C301" s="3">
        <v>1</v>
      </c>
      <c r="D301" s="3">
        <v>555</v>
      </c>
      <c r="E301" s="3">
        <v>603</v>
      </c>
    </row>
    <row r="302" spans="1:5">
      <c r="A302">
        <v>6117666160</v>
      </c>
      <c r="B302" s="1">
        <v>42499</v>
      </c>
      <c r="C302" s="3">
        <v>1</v>
      </c>
      <c r="D302" s="3">
        <v>492</v>
      </c>
      <c r="E302" s="3">
        <v>522</v>
      </c>
    </row>
    <row r="303" spans="1:5">
      <c r="A303">
        <v>6775888955</v>
      </c>
      <c r="B303" s="1">
        <v>42473</v>
      </c>
      <c r="C303" s="3">
        <v>1</v>
      </c>
      <c r="D303" s="3">
        <v>235</v>
      </c>
      <c r="E303" s="3">
        <v>260</v>
      </c>
    </row>
    <row r="304" spans="1:5">
      <c r="A304">
        <v>6775888955</v>
      </c>
      <c r="B304" s="1">
        <v>42474</v>
      </c>
      <c r="C304" s="3">
        <v>1</v>
      </c>
      <c r="D304" s="3">
        <v>423</v>
      </c>
      <c r="E304" s="3">
        <v>441</v>
      </c>
    </row>
    <row r="305" spans="1:5">
      <c r="A305">
        <v>6775888955</v>
      </c>
      <c r="B305" s="1">
        <v>42475</v>
      </c>
      <c r="C305" s="3">
        <v>1</v>
      </c>
      <c r="D305" s="3">
        <v>391</v>
      </c>
      <c r="E305" s="3">
        <v>406</v>
      </c>
    </row>
    <row r="306" spans="1:5">
      <c r="A306">
        <v>6962181067</v>
      </c>
      <c r="B306" s="1">
        <v>42472</v>
      </c>
      <c r="C306" s="3">
        <v>1</v>
      </c>
      <c r="D306" s="3">
        <v>366</v>
      </c>
      <c r="E306" s="3">
        <v>387</v>
      </c>
    </row>
    <row r="307" spans="1:5">
      <c r="A307">
        <v>6962181067</v>
      </c>
      <c r="B307" s="1">
        <v>42473</v>
      </c>
      <c r="C307" s="3">
        <v>3</v>
      </c>
      <c r="D307" s="3">
        <v>630</v>
      </c>
      <c r="E307" s="3">
        <v>679</v>
      </c>
    </row>
    <row r="308" spans="1:5">
      <c r="A308">
        <v>6962181067</v>
      </c>
      <c r="B308" s="1">
        <v>42474</v>
      </c>
      <c r="C308" s="3">
        <v>2</v>
      </c>
      <c r="D308" s="3">
        <v>508</v>
      </c>
      <c r="E308" s="3">
        <v>535</v>
      </c>
    </row>
    <row r="309" spans="1:5">
      <c r="A309">
        <v>6962181067</v>
      </c>
      <c r="B309" s="1">
        <v>42475</v>
      </c>
      <c r="C309" s="3">
        <v>1</v>
      </c>
      <c r="D309" s="3">
        <v>370</v>
      </c>
      <c r="E309" s="3">
        <v>386</v>
      </c>
    </row>
    <row r="310" spans="1:5">
      <c r="A310">
        <v>6962181067</v>
      </c>
      <c r="B310" s="1">
        <v>42476</v>
      </c>
      <c r="C310" s="3">
        <v>1</v>
      </c>
      <c r="D310" s="3">
        <v>357</v>
      </c>
      <c r="E310" s="3">
        <v>366</v>
      </c>
    </row>
    <row r="311" spans="1:5">
      <c r="A311">
        <v>6962181067</v>
      </c>
      <c r="B311" s="1">
        <v>42477</v>
      </c>
      <c r="C311" s="3">
        <v>1</v>
      </c>
      <c r="D311" s="3">
        <v>427</v>
      </c>
      <c r="E311" s="3">
        <v>446</v>
      </c>
    </row>
    <row r="312" spans="1:5">
      <c r="A312">
        <v>6962181067</v>
      </c>
      <c r="B312" s="1">
        <v>42478</v>
      </c>
      <c r="C312" s="3">
        <v>1</v>
      </c>
      <c r="D312" s="3">
        <v>442</v>
      </c>
      <c r="E312" s="3">
        <v>458</v>
      </c>
    </row>
    <row r="313" spans="1:5">
      <c r="A313">
        <v>6962181067</v>
      </c>
      <c r="B313" s="1">
        <v>42479</v>
      </c>
      <c r="C313" s="3">
        <v>1</v>
      </c>
      <c r="D313" s="3">
        <v>476</v>
      </c>
      <c r="E313" s="3">
        <v>535</v>
      </c>
    </row>
    <row r="314" spans="1:5">
      <c r="A314">
        <v>6962181067</v>
      </c>
      <c r="B314" s="1">
        <v>42480</v>
      </c>
      <c r="C314" s="3">
        <v>1</v>
      </c>
      <c r="D314" s="3">
        <v>418</v>
      </c>
      <c r="E314" s="3">
        <v>424</v>
      </c>
    </row>
    <row r="315" spans="1:5">
      <c r="A315">
        <v>6962181067</v>
      </c>
      <c r="B315" s="1">
        <v>42481</v>
      </c>
      <c r="C315" s="3">
        <v>1</v>
      </c>
      <c r="D315" s="3">
        <v>451</v>
      </c>
      <c r="E315" s="3">
        <v>457</v>
      </c>
    </row>
    <row r="316" spans="1:5">
      <c r="A316">
        <v>6962181067</v>
      </c>
      <c r="B316" s="1">
        <v>42482</v>
      </c>
      <c r="C316" s="3">
        <v>1</v>
      </c>
      <c r="D316" s="3">
        <v>425</v>
      </c>
      <c r="E316" s="3">
        <v>435</v>
      </c>
    </row>
    <row r="317" spans="1:5">
      <c r="A317">
        <v>6962181067</v>
      </c>
      <c r="B317" s="1">
        <v>42483</v>
      </c>
      <c r="C317" s="3">
        <v>1</v>
      </c>
      <c r="D317" s="3">
        <v>528</v>
      </c>
      <c r="E317" s="3">
        <v>546</v>
      </c>
    </row>
    <row r="318" spans="1:5">
      <c r="A318">
        <v>6962181067</v>
      </c>
      <c r="B318" s="1">
        <v>42484</v>
      </c>
      <c r="C318" s="3">
        <v>1</v>
      </c>
      <c r="D318" s="3">
        <v>511</v>
      </c>
      <c r="E318" s="3">
        <v>514</v>
      </c>
    </row>
    <row r="319" spans="1:5">
      <c r="A319">
        <v>6962181067</v>
      </c>
      <c r="B319" s="1">
        <v>42485</v>
      </c>
      <c r="C319" s="3">
        <v>1</v>
      </c>
      <c r="D319" s="3">
        <v>400</v>
      </c>
      <c r="E319" s="3">
        <v>415</v>
      </c>
    </row>
    <row r="320" spans="1:5">
      <c r="A320">
        <v>6962181067</v>
      </c>
      <c r="B320" s="1">
        <v>42486</v>
      </c>
      <c r="C320" s="3">
        <v>1</v>
      </c>
      <c r="D320" s="3">
        <v>441</v>
      </c>
      <c r="E320" s="3">
        <v>446</v>
      </c>
    </row>
    <row r="321" spans="1:5">
      <c r="A321">
        <v>6962181067</v>
      </c>
      <c r="B321" s="1">
        <v>42487</v>
      </c>
      <c r="C321" s="3">
        <v>1</v>
      </c>
      <c r="D321" s="3">
        <v>455</v>
      </c>
      <c r="E321" s="3">
        <v>467</v>
      </c>
    </row>
    <row r="322" spans="1:5">
      <c r="A322">
        <v>6962181067</v>
      </c>
      <c r="B322" s="1">
        <v>42488</v>
      </c>
      <c r="C322" s="3">
        <v>1</v>
      </c>
      <c r="D322" s="3">
        <v>440</v>
      </c>
      <c r="E322" s="3">
        <v>453</v>
      </c>
    </row>
    <row r="323" spans="1:5">
      <c r="A323">
        <v>6962181067</v>
      </c>
      <c r="B323" s="1">
        <v>42489</v>
      </c>
      <c r="C323" s="3">
        <v>1</v>
      </c>
      <c r="D323" s="3">
        <v>433</v>
      </c>
      <c r="E323" s="3">
        <v>447</v>
      </c>
    </row>
    <row r="324" spans="1:5">
      <c r="A324">
        <v>6962181067</v>
      </c>
      <c r="B324" s="1">
        <v>42490</v>
      </c>
      <c r="C324" s="3">
        <v>1</v>
      </c>
      <c r="D324" s="3">
        <v>422</v>
      </c>
      <c r="E324" s="3">
        <v>424</v>
      </c>
    </row>
    <row r="325" spans="1:5">
      <c r="A325">
        <v>6962181067</v>
      </c>
      <c r="B325" s="1">
        <v>42491</v>
      </c>
      <c r="C325" s="3">
        <v>1</v>
      </c>
      <c r="D325" s="3">
        <v>411</v>
      </c>
      <c r="E325" s="3">
        <v>426</v>
      </c>
    </row>
    <row r="326" spans="1:5">
      <c r="A326">
        <v>6962181067</v>
      </c>
      <c r="B326" s="1">
        <v>42492</v>
      </c>
      <c r="C326" s="3">
        <v>1</v>
      </c>
      <c r="D326" s="3">
        <v>466</v>
      </c>
      <c r="E326" s="3">
        <v>482</v>
      </c>
    </row>
    <row r="327" spans="1:5">
      <c r="A327">
        <v>6962181067</v>
      </c>
      <c r="B327" s="1">
        <v>42493</v>
      </c>
      <c r="C327" s="3">
        <v>1</v>
      </c>
      <c r="D327" s="3">
        <v>394</v>
      </c>
      <c r="E327" s="3">
        <v>418</v>
      </c>
    </row>
    <row r="328" spans="1:5">
      <c r="A328">
        <v>6962181067</v>
      </c>
      <c r="B328" s="1">
        <v>42494</v>
      </c>
      <c r="C328" s="3">
        <v>1</v>
      </c>
      <c r="D328" s="3">
        <v>442</v>
      </c>
      <c r="E328" s="3">
        <v>455</v>
      </c>
    </row>
    <row r="329" spans="1:5">
      <c r="A329">
        <v>6962181067</v>
      </c>
      <c r="B329" s="1">
        <v>42495</v>
      </c>
      <c r="C329" s="3">
        <v>1</v>
      </c>
      <c r="D329" s="3">
        <v>467</v>
      </c>
      <c r="E329" s="3">
        <v>491</v>
      </c>
    </row>
    <row r="330" spans="1:5">
      <c r="A330">
        <v>6962181067</v>
      </c>
      <c r="B330" s="1">
        <v>42496</v>
      </c>
      <c r="C330" s="3">
        <v>1</v>
      </c>
      <c r="D330" s="3">
        <v>443</v>
      </c>
      <c r="E330" s="3">
        <v>462</v>
      </c>
    </row>
    <row r="331" spans="1:5">
      <c r="A331">
        <v>6962181067</v>
      </c>
      <c r="B331" s="1">
        <v>42497</v>
      </c>
      <c r="C331" s="3">
        <v>1</v>
      </c>
      <c r="D331" s="3">
        <v>298</v>
      </c>
      <c r="E331" s="3">
        <v>334</v>
      </c>
    </row>
    <row r="332" spans="1:5">
      <c r="A332">
        <v>6962181067</v>
      </c>
      <c r="B332" s="1">
        <v>42498</v>
      </c>
      <c r="C332" s="3">
        <v>1</v>
      </c>
      <c r="D332" s="3">
        <v>541</v>
      </c>
      <c r="E332" s="3">
        <v>569</v>
      </c>
    </row>
    <row r="333" spans="1:5">
      <c r="A333">
        <v>6962181067</v>
      </c>
      <c r="B333" s="1">
        <v>42499</v>
      </c>
      <c r="C333" s="3">
        <v>1</v>
      </c>
      <c r="D333" s="3">
        <v>489</v>
      </c>
      <c r="E333" s="3">
        <v>497</v>
      </c>
    </row>
    <row r="334" spans="1:5">
      <c r="A334">
        <v>6962181067</v>
      </c>
      <c r="B334" s="1">
        <v>42500</v>
      </c>
      <c r="C334" s="3">
        <v>1</v>
      </c>
      <c r="D334" s="3">
        <v>469</v>
      </c>
      <c r="E334" s="3">
        <v>481</v>
      </c>
    </row>
    <row r="335" spans="1:5">
      <c r="A335">
        <v>6962181067</v>
      </c>
      <c r="B335" s="1">
        <v>42501</v>
      </c>
      <c r="C335" s="3">
        <v>1</v>
      </c>
      <c r="D335" s="3">
        <v>452</v>
      </c>
      <c r="E335" s="3">
        <v>480</v>
      </c>
    </row>
    <row r="336" spans="1:5">
      <c r="A336">
        <v>6962181067</v>
      </c>
      <c r="B336" s="1">
        <v>42502</v>
      </c>
      <c r="C336" s="3">
        <v>1</v>
      </c>
      <c r="D336" s="3">
        <v>516</v>
      </c>
      <c r="E336" s="3">
        <v>535</v>
      </c>
    </row>
    <row r="337" spans="1:5">
      <c r="A337">
        <v>7007744171</v>
      </c>
      <c r="B337" s="1">
        <v>42476</v>
      </c>
      <c r="C337" s="3">
        <v>1</v>
      </c>
      <c r="D337" s="3">
        <v>79</v>
      </c>
      <c r="E337" s="3">
        <v>82</v>
      </c>
    </row>
    <row r="338" spans="1:5">
      <c r="A338">
        <v>7007744171</v>
      </c>
      <c r="B338" s="1">
        <v>42491</v>
      </c>
      <c r="C338" s="3">
        <v>1</v>
      </c>
      <c r="D338" s="3">
        <v>58</v>
      </c>
      <c r="E338" s="3">
        <v>61</v>
      </c>
    </row>
    <row r="339" spans="1:5">
      <c r="A339">
        <v>7086361926</v>
      </c>
      <c r="B339" s="1">
        <v>42472</v>
      </c>
      <c r="C339" s="3">
        <v>1</v>
      </c>
      <c r="D339" s="3">
        <v>514</v>
      </c>
      <c r="E339" s="3">
        <v>525</v>
      </c>
    </row>
    <row r="340" spans="1:5">
      <c r="A340">
        <v>7086361926</v>
      </c>
      <c r="B340" s="1">
        <v>42473</v>
      </c>
      <c r="C340" s="3">
        <v>1</v>
      </c>
      <c r="D340" s="3">
        <v>451</v>
      </c>
      <c r="E340" s="3">
        <v>465</v>
      </c>
    </row>
    <row r="341" spans="1:5">
      <c r="A341">
        <v>7086361926</v>
      </c>
      <c r="B341" s="1">
        <v>42474</v>
      </c>
      <c r="C341" s="3">
        <v>1</v>
      </c>
      <c r="D341" s="3">
        <v>472</v>
      </c>
      <c r="E341" s="3">
        <v>476</v>
      </c>
    </row>
    <row r="342" spans="1:5">
      <c r="A342">
        <v>7086361926</v>
      </c>
      <c r="B342" s="1">
        <v>42475</v>
      </c>
      <c r="C342" s="3">
        <v>1</v>
      </c>
      <c r="D342" s="3">
        <v>377</v>
      </c>
      <c r="E342" s="3">
        <v>386</v>
      </c>
    </row>
    <row r="343" spans="1:5">
      <c r="A343">
        <v>7086361926</v>
      </c>
      <c r="B343" s="1">
        <v>42479</v>
      </c>
      <c r="C343" s="3">
        <v>1</v>
      </c>
      <c r="D343" s="3">
        <v>472</v>
      </c>
      <c r="E343" s="3">
        <v>483</v>
      </c>
    </row>
    <row r="344" spans="1:5">
      <c r="A344">
        <v>7086361926</v>
      </c>
      <c r="B344" s="1">
        <v>42480</v>
      </c>
      <c r="C344" s="3">
        <v>1</v>
      </c>
      <c r="D344" s="3">
        <v>492</v>
      </c>
      <c r="E344" s="3">
        <v>502</v>
      </c>
    </row>
    <row r="345" spans="1:5">
      <c r="A345">
        <v>7086361926</v>
      </c>
      <c r="B345" s="1">
        <v>42481</v>
      </c>
      <c r="C345" s="3">
        <v>1</v>
      </c>
      <c r="D345" s="3">
        <v>390</v>
      </c>
      <c r="E345" s="3">
        <v>411</v>
      </c>
    </row>
    <row r="346" spans="1:5">
      <c r="A346">
        <v>7086361926</v>
      </c>
      <c r="B346" s="1">
        <v>42482</v>
      </c>
      <c r="C346" s="3">
        <v>1</v>
      </c>
      <c r="D346" s="3">
        <v>428</v>
      </c>
      <c r="E346" s="3">
        <v>448</v>
      </c>
    </row>
    <row r="347" spans="1:5">
      <c r="A347">
        <v>7086361926</v>
      </c>
      <c r="B347" s="1">
        <v>42484</v>
      </c>
      <c r="C347" s="3">
        <v>1</v>
      </c>
      <c r="D347" s="3">
        <v>681</v>
      </c>
      <c r="E347" s="3">
        <v>704</v>
      </c>
    </row>
    <row r="348" spans="1:5">
      <c r="A348">
        <v>7086361926</v>
      </c>
      <c r="B348" s="1">
        <v>42485</v>
      </c>
      <c r="C348" s="3">
        <v>1</v>
      </c>
      <c r="D348" s="3">
        <v>446</v>
      </c>
      <c r="E348" s="3">
        <v>447</v>
      </c>
    </row>
    <row r="349" spans="1:5">
      <c r="A349">
        <v>7086361926</v>
      </c>
      <c r="B349" s="1">
        <v>42486</v>
      </c>
      <c r="C349" s="3">
        <v>1</v>
      </c>
      <c r="D349" s="3">
        <v>485</v>
      </c>
      <c r="E349" s="3">
        <v>500</v>
      </c>
    </row>
    <row r="350" spans="1:5">
      <c r="A350">
        <v>7086361926</v>
      </c>
      <c r="B350" s="1">
        <v>42487</v>
      </c>
      <c r="C350" s="3">
        <v>1</v>
      </c>
      <c r="D350" s="3">
        <v>469</v>
      </c>
      <c r="E350" s="3">
        <v>479</v>
      </c>
    </row>
    <row r="351" spans="1:5">
      <c r="A351">
        <v>7086361926</v>
      </c>
      <c r="B351" s="1">
        <v>42488</v>
      </c>
      <c r="C351" s="3">
        <v>1</v>
      </c>
      <c r="D351" s="3">
        <v>354</v>
      </c>
      <c r="E351" s="3">
        <v>367</v>
      </c>
    </row>
    <row r="352" spans="1:5">
      <c r="A352">
        <v>7086361926</v>
      </c>
      <c r="B352" s="1">
        <v>42490</v>
      </c>
      <c r="C352" s="3">
        <v>1</v>
      </c>
      <c r="D352" s="3">
        <v>485</v>
      </c>
      <c r="E352" s="3">
        <v>489</v>
      </c>
    </row>
    <row r="353" spans="1:5">
      <c r="A353">
        <v>7086361926</v>
      </c>
      <c r="B353" s="1">
        <v>42491</v>
      </c>
      <c r="C353" s="3">
        <v>1</v>
      </c>
      <c r="D353" s="3">
        <v>388</v>
      </c>
      <c r="E353" s="3">
        <v>407</v>
      </c>
    </row>
    <row r="354" spans="1:5">
      <c r="A354">
        <v>7086361926</v>
      </c>
      <c r="B354" s="1">
        <v>42492</v>
      </c>
      <c r="C354" s="3">
        <v>1</v>
      </c>
      <c r="D354" s="3">
        <v>440</v>
      </c>
      <c r="E354" s="3">
        <v>459</v>
      </c>
    </row>
    <row r="355" spans="1:5">
      <c r="A355">
        <v>7086361926</v>
      </c>
      <c r="B355" s="1">
        <v>42493</v>
      </c>
      <c r="C355" s="3">
        <v>1</v>
      </c>
      <c r="D355" s="3">
        <v>456</v>
      </c>
      <c r="E355" s="3">
        <v>461</v>
      </c>
    </row>
    <row r="356" spans="1:5">
      <c r="A356">
        <v>7086361926</v>
      </c>
      <c r="B356" s="1">
        <v>42494</v>
      </c>
      <c r="C356" s="3">
        <v>1</v>
      </c>
      <c r="D356" s="3">
        <v>420</v>
      </c>
      <c r="E356" s="3">
        <v>436</v>
      </c>
    </row>
    <row r="357" spans="1:5">
      <c r="A357">
        <v>7086361926</v>
      </c>
      <c r="B357" s="1">
        <v>42496</v>
      </c>
      <c r="C357" s="3">
        <v>1</v>
      </c>
      <c r="D357" s="3">
        <v>322</v>
      </c>
      <c r="E357" s="3">
        <v>333</v>
      </c>
    </row>
    <row r="358" spans="1:5">
      <c r="A358">
        <v>7086361926</v>
      </c>
      <c r="B358" s="1">
        <v>42497</v>
      </c>
      <c r="C358" s="3">
        <v>1</v>
      </c>
      <c r="D358" s="3">
        <v>530</v>
      </c>
      <c r="E358" s="3">
        <v>548</v>
      </c>
    </row>
    <row r="359" spans="1:5">
      <c r="A359">
        <v>7086361926</v>
      </c>
      <c r="B359" s="1">
        <v>42498</v>
      </c>
      <c r="C359" s="3">
        <v>1</v>
      </c>
      <c r="D359" s="3">
        <v>481</v>
      </c>
      <c r="E359" s="3">
        <v>510</v>
      </c>
    </row>
    <row r="360" spans="1:5">
      <c r="A360">
        <v>7086361926</v>
      </c>
      <c r="B360" s="1">
        <v>42499</v>
      </c>
      <c r="C360" s="3">
        <v>1</v>
      </c>
      <c r="D360" s="3">
        <v>427</v>
      </c>
      <c r="E360" s="3">
        <v>438</v>
      </c>
    </row>
    <row r="361" spans="1:5">
      <c r="A361">
        <v>7086361926</v>
      </c>
      <c r="B361" s="1">
        <v>42501</v>
      </c>
      <c r="C361" s="3">
        <v>1</v>
      </c>
      <c r="D361" s="3">
        <v>451</v>
      </c>
      <c r="E361" s="3">
        <v>463</v>
      </c>
    </row>
    <row r="362" spans="1:5">
      <c r="A362">
        <v>7086361926</v>
      </c>
      <c r="B362" s="1">
        <v>42502</v>
      </c>
      <c r="C362" s="3">
        <v>1</v>
      </c>
      <c r="D362" s="3">
        <v>444</v>
      </c>
      <c r="E362" s="3">
        <v>457</v>
      </c>
    </row>
    <row r="363" spans="1:5">
      <c r="A363">
        <v>8053475328</v>
      </c>
      <c r="B363" s="1">
        <v>42480</v>
      </c>
      <c r="C363" s="3">
        <v>1</v>
      </c>
      <c r="D363" s="3">
        <v>486</v>
      </c>
      <c r="E363" s="3">
        <v>493</v>
      </c>
    </row>
    <row r="364" spans="1:5">
      <c r="A364">
        <v>8053475328</v>
      </c>
      <c r="B364" s="1">
        <v>42483</v>
      </c>
      <c r="C364" s="3">
        <v>1</v>
      </c>
      <c r="D364" s="3">
        <v>331</v>
      </c>
      <c r="E364" s="3">
        <v>337</v>
      </c>
    </row>
    <row r="365" spans="1:5">
      <c r="A365">
        <v>8053475328</v>
      </c>
      <c r="B365" s="1">
        <v>42497</v>
      </c>
      <c r="C365" s="3">
        <v>1</v>
      </c>
      <c r="D365" s="3">
        <v>74</v>
      </c>
      <c r="E365" s="3">
        <v>75</v>
      </c>
    </row>
    <row r="366" spans="1:5">
      <c r="A366">
        <v>8378563200</v>
      </c>
      <c r="B366" s="1">
        <v>42472</v>
      </c>
      <c r="C366" s="3">
        <v>1</v>
      </c>
      <c r="D366" s="3">
        <v>338</v>
      </c>
      <c r="E366" s="3">
        <v>356</v>
      </c>
    </row>
    <row r="367" spans="1:5">
      <c r="A367">
        <v>8378563200</v>
      </c>
      <c r="B367" s="1">
        <v>42473</v>
      </c>
      <c r="C367" s="3">
        <v>2</v>
      </c>
      <c r="D367" s="3">
        <v>447</v>
      </c>
      <c r="E367" s="3">
        <v>487</v>
      </c>
    </row>
    <row r="368" spans="1:5">
      <c r="A368">
        <v>8378563200</v>
      </c>
      <c r="B368" s="1">
        <v>42474</v>
      </c>
      <c r="C368" s="3">
        <v>1</v>
      </c>
      <c r="D368" s="3">
        <v>424</v>
      </c>
      <c r="E368" s="3">
        <v>455</v>
      </c>
    </row>
    <row r="369" spans="1:5">
      <c r="A369">
        <v>8378563200</v>
      </c>
      <c r="B369" s="1">
        <v>42475</v>
      </c>
      <c r="C369" s="3">
        <v>1</v>
      </c>
      <c r="D369" s="3">
        <v>513</v>
      </c>
      <c r="E369" s="3">
        <v>533</v>
      </c>
    </row>
    <row r="370" spans="1:5">
      <c r="A370">
        <v>8378563200</v>
      </c>
      <c r="B370" s="1">
        <v>42476</v>
      </c>
      <c r="C370" s="3">
        <v>2</v>
      </c>
      <c r="D370" s="3">
        <v>611</v>
      </c>
      <c r="E370" s="3">
        <v>689</v>
      </c>
    </row>
    <row r="371" spans="1:5">
      <c r="A371">
        <v>8378563200</v>
      </c>
      <c r="B371" s="1">
        <v>42477</v>
      </c>
      <c r="C371" s="3">
        <v>2</v>
      </c>
      <c r="D371" s="3">
        <v>525</v>
      </c>
      <c r="E371" s="3">
        <v>591</v>
      </c>
    </row>
    <row r="372" spans="1:5">
      <c r="A372">
        <v>8378563200</v>
      </c>
      <c r="B372" s="1">
        <v>42478</v>
      </c>
      <c r="C372" s="3">
        <v>1</v>
      </c>
      <c r="D372" s="3">
        <v>398</v>
      </c>
      <c r="E372" s="3">
        <v>451</v>
      </c>
    </row>
    <row r="373" spans="1:5">
      <c r="A373">
        <v>8378563200</v>
      </c>
      <c r="B373" s="1">
        <v>42479</v>
      </c>
      <c r="C373" s="3">
        <v>1</v>
      </c>
      <c r="D373" s="3">
        <v>387</v>
      </c>
      <c r="E373" s="3">
        <v>421</v>
      </c>
    </row>
    <row r="374" spans="1:5">
      <c r="A374">
        <v>8378563200</v>
      </c>
      <c r="B374" s="1">
        <v>42480</v>
      </c>
      <c r="C374" s="3">
        <v>1</v>
      </c>
      <c r="D374" s="3">
        <v>381</v>
      </c>
      <c r="E374" s="3">
        <v>409</v>
      </c>
    </row>
    <row r="375" spans="1:5">
      <c r="A375">
        <v>8378563200</v>
      </c>
      <c r="B375" s="1">
        <v>42481</v>
      </c>
      <c r="C375" s="3">
        <v>1</v>
      </c>
      <c r="D375" s="3">
        <v>396</v>
      </c>
      <c r="E375" s="3">
        <v>417</v>
      </c>
    </row>
    <row r="376" spans="1:5">
      <c r="A376">
        <v>8378563200</v>
      </c>
      <c r="B376" s="1">
        <v>42482</v>
      </c>
      <c r="C376" s="3">
        <v>1</v>
      </c>
      <c r="D376" s="3">
        <v>441</v>
      </c>
      <c r="E376" s="3">
        <v>469</v>
      </c>
    </row>
    <row r="377" spans="1:5">
      <c r="A377">
        <v>8378563200</v>
      </c>
      <c r="B377" s="1">
        <v>42483</v>
      </c>
      <c r="C377" s="3">
        <v>1</v>
      </c>
      <c r="D377" s="3">
        <v>565</v>
      </c>
      <c r="E377" s="3">
        <v>591</v>
      </c>
    </row>
    <row r="378" spans="1:5">
      <c r="A378">
        <v>8378563200</v>
      </c>
      <c r="B378" s="1">
        <v>42484</v>
      </c>
      <c r="C378" s="3">
        <v>1</v>
      </c>
      <c r="D378" s="3">
        <v>458</v>
      </c>
      <c r="E378" s="3">
        <v>492</v>
      </c>
    </row>
    <row r="379" spans="1:5">
      <c r="A379">
        <v>8378563200</v>
      </c>
      <c r="B379" s="1">
        <v>42485</v>
      </c>
      <c r="C379" s="3">
        <v>1</v>
      </c>
      <c r="D379" s="3">
        <v>388</v>
      </c>
      <c r="E379" s="3">
        <v>402</v>
      </c>
    </row>
    <row r="380" spans="1:5">
      <c r="A380">
        <v>8378563200</v>
      </c>
      <c r="B380" s="1">
        <v>42486</v>
      </c>
      <c r="C380" s="3">
        <v>1</v>
      </c>
      <c r="D380" s="3">
        <v>550</v>
      </c>
      <c r="E380" s="3">
        <v>584</v>
      </c>
    </row>
    <row r="381" spans="1:5">
      <c r="A381">
        <v>8378563200</v>
      </c>
      <c r="B381" s="1">
        <v>42487</v>
      </c>
      <c r="C381" s="3">
        <v>1</v>
      </c>
      <c r="D381" s="3">
        <v>531</v>
      </c>
      <c r="E381" s="3">
        <v>600</v>
      </c>
    </row>
    <row r="382" spans="1:5">
      <c r="A382">
        <v>8378563200</v>
      </c>
      <c r="B382" s="1">
        <v>42488</v>
      </c>
      <c r="C382" s="3">
        <v>1</v>
      </c>
      <c r="D382" s="3">
        <v>506</v>
      </c>
      <c r="E382" s="3">
        <v>556</v>
      </c>
    </row>
    <row r="383" spans="1:5">
      <c r="A383">
        <v>8378563200</v>
      </c>
      <c r="B383" s="1">
        <v>42489</v>
      </c>
      <c r="C383" s="3">
        <v>1</v>
      </c>
      <c r="D383" s="3">
        <v>527</v>
      </c>
      <c r="E383" s="3">
        <v>562</v>
      </c>
    </row>
    <row r="384" spans="1:5">
      <c r="A384">
        <v>8378563200</v>
      </c>
      <c r="B384" s="1">
        <v>42490</v>
      </c>
      <c r="C384" s="3">
        <v>1</v>
      </c>
      <c r="D384" s="3">
        <v>468</v>
      </c>
      <c r="E384" s="3">
        <v>555</v>
      </c>
    </row>
    <row r="385" spans="1:5">
      <c r="A385">
        <v>8378563200</v>
      </c>
      <c r="B385" s="1">
        <v>42491</v>
      </c>
      <c r="C385" s="3">
        <v>1</v>
      </c>
      <c r="D385" s="3">
        <v>475</v>
      </c>
      <c r="E385" s="3">
        <v>539</v>
      </c>
    </row>
    <row r="386" spans="1:5">
      <c r="A386">
        <v>8378563200</v>
      </c>
      <c r="B386" s="1">
        <v>42492</v>
      </c>
      <c r="C386" s="3">
        <v>1</v>
      </c>
      <c r="D386" s="3">
        <v>351</v>
      </c>
      <c r="E386" s="3">
        <v>385</v>
      </c>
    </row>
    <row r="387" spans="1:5">
      <c r="A387">
        <v>8378563200</v>
      </c>
      <c r="B387" s="1">
        <v>42493</v>
      </c>
      <c r="C387" s="3">
        <v>1</v>
      </c>
      <c r="D387" s="3">
        <v>405</v>
      </c>
      <c r="E387" s="3">
        <v>429</v>
      </c>
    </row>
    <row r="388" spans="1:5">
      <c r="A388">
        <v>8378563200</v>
      </c>
      <c r="B388" s="1">
        <v>42494</v>
      </c>
      <c r="C388" s="3">
        <v>1</v>
      </c>
      <c r="D388" s="3">
        <v>441</v>
      </c>
      <c r="E388" s="3">
        <v>477</v>
      </c>
    </row>
    <row r="389" spans="1:5">
      <c r="A389">
        <v>8378563200</v>
      </c>
      <c r="B389" s="1">
        <v>42495</v>
      </c>
      <c r="C389" s="3">
        <v>1</v>
      </c>
      <c r="D389" s="3">
        <v>381</v>
      </c>
      <c r="E389" s="3">
        <v>417</v>
      </c>
    </row>
    <row r="390" spans="1:5">
      <c r="A390">
        <v>8378563200</v>
      </c>
      <c r="B390" s="1">
        <v>42496</v>
      </c>
      <c r="C390" s="3">
        <v>1</v>
      </c>
      <c r="D390" s="3">
        <v>323</v>
      </c>
      <c r="E390" s="3">
        <v>355</v>
      </c>
    </row>
    <row r="391" spans="1:5">
      <c r="A391">
        <v>8378563200</v>
      </c>
      <c r="B391" s="1">
        <v>42497</v>
      </c>
      <c r="C391" s="3">
        <v>2</v>
      </c>
      <c r="D391" s="3">
        <v>459</v>
      </c>
      <c r="E391" s="3">
        <v>513</v>
      </c>
    </row>
    <row r="392" spans="1:5">
      <c r="A392">
        <v>8378563200</v>
      </c>
      <c r="B392" s="1">
        <v>42498</v>
      </c>
      <c r="C392" s="3">
        <v>1</v>
      </c>
      <c r="D392" s="3">
        <v>545</v>
      </c>
      <c r="E392" s="3">
        <v>606</v>
      </c>
    </row>
    <row r="393" spans="1:5">
      <c r="A393">
        <v>8378563200</v>
      </c>
      <c r="B393" s="1">
        <v>42499</v>
      </c>
      <c r="C393" s="3">
        <v>1</v>
      </c>
      <c r="D393" s="3">
        <v>359</v>
      </c>
      <c r="E393" s="3">
        <v>399</v>
      </c>
    </row>
    <row r="394" spans="1:5">
      <c r="A394">
        <v>8378563200</v>
      </c>
      <c r="B394" s="1">
        <v>42500</v>
      </c>
      <c r="C394" s="3">
        <v>1</v>
      </c>
      <c r="D394" s="3">
        <v>342</v>
      </c>
      <c r="E394" s="3">
        <v>391</v>
      </c>
    </row>
    <row r="395" spans="1:5">
      <c r="A395">
        <v>8378563200</v>
      </c>
      <c r="B395" s="1">
        <v>42501</v>
      </c>
      <c r="C395" s="3">
        <v>1</v>
      </c>
      <c r="D395" s="3">
        <v>368</v>
      </c>
      <c r="E395" s="3">
        <v>387</v>
      </c>
    </row>
    <row r="396" spans="1:5">
      <c r="A396">
        <v>8378563200</v>
      </c>
      <c r="B396" s="1">
        <v>42502</v>
      </c>
      <c r="C396" s="3">
        <v>1</v>
      </c>
      <c r="D396" s="3">
        <v>496</v>
      </c>
      <c r="E396" s="3">
        <v>546</v>
      </c>
    </row>
    <row r="397" spans="1:5">
      <c r="A397">
        <v>8792009665</v>
      </c>
      <c r="B397" s="1">
        <v>42472</v>
      </c>
      <c r="C397" s="3">
        <v>1</v>
      </c>
      <c r="D397" s="3">
        <v>458</v>
      </c>
      <c r="E397" s="3">
        <v>493</v>
      </c>
    </row>
    <row r="398" spans="1:5">
      <c r="A398">
        <v>8792009665</v>
      </c>
      <c r="B398" s="1">
        <v>42473</v>
      </c>
      <c r="C398" s="3">
        <v>1</v>
      </c>
      <c r="D398" s="3">
        <v>531</v>
      </c>
      <c r="E398" s="3">
        <v>552</v>
      </c>
    </row>
    <row r="399" spans="1:5">
      <c r="A399">
        <v>8792009665</v>
      </c>
      <c r="B399" s="1">
        <v>42474</v>
      </c>
      <c r="C399" s="3">
        <v>1</v>
      </c>
      <c r="D399" s="3">
        <v>486</v>
      </c>
      <c r="E399" s="3">
        <v>503</v>
      </c>
    </row>
    <row r="400" spans="1:5">
      <c r="A400">
        <v>8792009665</v>
      </c>
      <c r="B400" s="1">
        <v>42475</v>
      </c>
      <c r="C400" s="3">
        <v>1</v>
      </c>
      <c r="D400" s="3">
        <v>363</v>
      </c>
      <c r="E400" s="3">
        <v>377</v>
      </c>
    </row>
    <row r="401" spans="1:5">
      <c r="A401">
        <v>8792009665</v>
      </c>
      <c r="B401" s="1">
        <v>42480</v>
      </c>
      <c r="C401" s="3">
        <v>1</v>
      </c>
      <c r="D401" s="3">
        <v>528</v>
      </c>
      <c r="E401" s="3">
        <v>547</v>
      </c>
    </row>
    <row r="402" spans="1:5">
      <c r="A402">
        <v>8792009665</v>
      </c>
      <c r="B402" s="1">
        <v>42482</v>
      </c>
      <c r="C402" s="3">
        <v>1</v>
      </c>
      <c r="D402" s="3">
        <v>391</v>
      </c>
      <c r="E402" s="3">
        <v>407</v>
      </c>
    </row>
    <row r="403" spans="1:5">
      <c r="A403">
        <v>8792009665</v>
      </c>
      <c r="B403" s="1">
        <v>42483</v>
      </c>
      <c r="C403" s="3">
        <v>1</v>
      </c>
      <c r="D403" s="3">
        <v>339</v>
      </c>
      <c r="E403" s="3">
        <v>360</v>
      </c>
    </row>
    <row r="404" spans="1:5">
      <c r="A404">
        <v>8792009665</v>
      </c>
      <c r="B404" s="1">
        <v>42487</v>
      </c>
      <c r="C404" s="3">
        <v>1</v>
      </c>
      <c r="D404" s="3">
        <v>423</v>
      </c>
      <c r="E404" s="3">
        <v>428</v>
      </c>
    </row>
    <row r="405" spans="1:5">
      <c r="A405">
        <v>8792009665</v>
      </c>
      <c r="B405" s="1">
        <v>42488</v>
      </c>
      <c r="C405" s="3">
        <v>1</v>
      </c>
      <c r="D405" s="3">
        <v>402</v>
      </c>
      <c r="E405" s="3">
        <v>416</v>
      </c>
    </row>
    <row r="406" spans="1:5">
      <c r="A406">
        <v>8792009665</v>
      </c>
      <c r="B406" s="1">
        <v>42489</v>
      </c>
      <c r="C406" s="3">
        <v>1</v>
      </c>
      <c r="D406" s="3">
        <v>398</v>
      </c>
      <c r="E406" s="3">
        <v>406</v>
      </c>
    </row>
    <row r="407" spans="1:5">
      <c r="A407">
        <v>8792009665</v>
      </c>
      <c r="B407" s="1">
        <v>42490</v>
      </c>
      <c r="C407" s="3">
        <v>1</v>
      </c>
      <c r="D407" s="3">
        <v>343</v>
      </c>
      <c r="E407" s="3">
        <v>360</v>
      </c>
    </row>
    <row r="408" spans="1:5">
      <c r="A408">
        <v>8792009665</v>
      </c>
      <c r="B408" s="1">
        <v>42491</v>
      </c>
      <c r="C408" s="3">
        <v>1</v>
      </c>
      <c r="D408" s="3">
        <v>503</v>
      </c>
      <c r="E408" s="3">
        <v>527</v>
      </c>
    </row>
    <row r="409" spans="1:5">
      <c r="A409">
        <v>8792009665</v>
      </c>
      <c r="B409" s="1">
        <v>42492</v>
      </c>
      <c r="C409" s="3">
        <v>1</v>
      </c>
      <c r="D409" s="3">
        <v>415</v>
      </c>
      <c r="E409" s="3">
        <v>423</v>
      </c>
    </row>
    <row r="410" spans="1:5">
      <c r="A410">
        <v>8792009665</v>
      </c>
      <c r="B410" s="1">
        <v>42493</v>
      </c>
      <c r="C410" s="3">
        <v>1</v>
      </c>
      <c r="D410" s="3">
        <v>516</v>
      </c>
      <c r="E410" s="3">
        <v>545</v>
      </c>
    </row>
    <row r="411" spans="1:5">
      <c r="A411">
        <v>8792009665</v>
      </c>
      <c r="B411" s="1">
        <v>42494</v>
      </c>
      <c r="C411" s="3">
        <v>1</v>
      </c>
      <c r="D411" s="3">
        <v>439</v>
      </c>
      <c r="E411" s="3">
        <v>463</v>
      </c>
    </row>
  </sheetData>
  <sortState ref="A2:F411">
    <sortCondition ref="A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B7"/>
  <sheetViews>
    <sheetView workbookViewId="0">
      <selection activeCell="B4" sqref="B4"/>
    </sheetView>
  </sheetViews>
  <sheetFormatPr defaultRowHeight="15"/>
  <cols>
    <col min="1" max="1" width="15.140625" customWidth="1"/>
    <col min="2" max="2" width="21" customWidth="1"/>
  </cols>
  <sheetData>
    <row r="1" spans="1:2">
      <c r="A1" s="16" t="s">
        <v>33</v>
      </c>
      <c r="B1" s="16"/>
    </row>
    <row r="3" spans="1:2">
      <c r="A3" s="9" t="s">
        <v>35</v>
      </c>
      <c r="B3" t="s">
        <v>37</v>
      </c>
    </row>
    <row r="4" spans="1:2">
      <c r="A4" s="10" t="s">
        <v>23</v>
      </c>
      <c r="B4" s="3">
        <v>2128.1683168316831</v>
      </c>
    </row>
    <row r="5" spans="1:2">
      <c r="A5" s="10" t="s">
        <v>22</v>
      </c>
      <c r="B5" s="3">
        <v>6264.2339181286552</v>
      </c>
    </row>
    <row r="6" spans="1:2">
      <c r="A6" s="10" t="s">
        <v>21</v>
      </c>
      <c r="B6" s="3">
        <v>8726.2944785276068</v>
      </c>
    </row>
    <row r="7" spans="1:2">
      <c r="A7" s="10" t="s">
        <v>24</v>
      </c>
      <c r="B7" s="3">
        <v>13337.39603960396</v>
      </c>
    </row>
  </sheetData>
  <mergeCells count="1">
    <mergeCell ref="A1:B1"/>
  </mergeCell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6"/>
  <sheetViews>
    <sheetView workbookViewId="0">
      <selection activeCell="A15" sqref="A15"/>
    </sheetView>
  </sheetViews>
  <sheetFormatPr defaultRowHeight="15"/>
  <cols>
    <col min="1" max="1" width="18" customWidth="1"/>
    <col min="2" max="2" width="21" customWidth="1"/>
  </cols>
  <sheetData>
    <row r="1" spans="1:4">
      <c r="A1" s="16" t="s">
        <v>32</v>
      </c>
      <c r="B1" s="16"/>
      <c r="C1" s="10"/>
      <c r="D1" s="10"/>
    </row>
    <row r="3" spans="1:4">
      <c r="A3" s="9" t="s">
        <v>36</v>
      </c>
      <c r="B3" t="s">
        <v>37</v>
      </c>
    </row>
    <row r="4" spans="1:4">
      <c r="A4" s="10" t="s">
        <v>26</v>
      </c>
      <c r="B4" s="3">
        <v>6933.2314049586776</v>
      </c>
    </row>
    <row r="5" spans="1:4">
      <c r="A5" s="10" t="s">
        <v>27</v>
      </c>
      <c r="B5" s="3">
        <v>7405.8367346938776</v>
      </c>
    </row>
    <row r="6" spans="1:4">
      <c r="A6" s="10" t="s">
        <v>25</v>
      </c>
      <c r="B6" s="3">
        <v>7448.230158730159</v>
      </c>
    </row>
    <row r="7" spans="1:4">
      <c r="A7" s="10" t="s">
        <v>30</v>
      </c>
      <c r="B7" s="3">
        <v>7559.373333333333</v>
      </c>
    </row>
    <row r="8" spans="1:4">
      <c r="A8" s="10" t="s">
        <v>28</v>
      </c>
      <c r="B8" s="3">
        <v>7780.8666666666668</v>
      </c>
    </row>
    <row r="9" spans="1:4">
      <c r="A9" s="10" t="s">
        <v>31</v>
      </c>
      <c r="B9" s="3">
        <v>8125.0065789473683</v>
      </c>
    </row>
    <row r="10" spans="1:4">
      <c r="A10" s="10" t="s">
        <v>29</v>
      </c>
      <c r="B10" s="3">
        <v>8152.9758064516127</v>
      </c>
    </row>
    <row r="13" spans="1:4">
      <c r="A13" s="11" t="s">
        <v>41</v>
      </c>
      <c r="B13" s="3">
        <f>MAX(B4:B10)</f>
        <v>8152.9758064516127</v>
      </c>
    </row>
    <row r="14" spans="1:4">
      <c r="A14" s="11" t="s">
        <v>42</v>
      </c>
      <c r="B14" s="3">
        <f>MIN(B4:B10)</f>
        <v>6933.2314049586776</v>
      </c>
    </row>
    <row r="15" spans="1:4">
      <c r="A15" s="12" t="s">
        <v>43</v>
      </c>
      <c r="B15" s="2">
        <f>B14/B13</f>
        <v>0.85039273629050549</v>
      </c>
    </row>
    <row r="16" spans="1:4">
      <c r="A16" s="12" t="s">
        <v>44</v>
      </c>
      <c r="B16" t="str">
        <f>IF(B15&lt;0.5,"Low",IF(B15&lt;0.75,"Moderate","High"))</f>
        <v>High</v>
      </c>
    </row>
  </sheetData>
  <mergeCells count="1">
    <mergeCell ref="A1:B1"/>
  </mergeCells>
  <pageMargins left="0.7" right="0.7" top="0.75" bottom="0.75" header="0.3" footer="0.3"/>
  <pageSetup paperSize="9" orientation="portrait" r:id="rId2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>
  <dimension ref="A3:H38"/>
  <sheetViews>
    <sheetView topLeftCell="A4" workbookViewId="0">
      <selection activeCell="P16" sqref="P16"/>
    </sheetView>
  </sheetViews>
  <sheetFormatPr defaultRowHeight="15"/>
  <cols>
    <col min="1" max="1" width="11" customWidth="1"/>
    <col min="2" max="2" width="13.7109375" style="2" bestFit="1" customWidth="1"/>
    <col min="3" max="3" width="10.140625" bestFit="1" customWidth="1"/>
    <col min="4" max="4" width="21.42578125" style="2" customWidth="1"/>
    <col min="5" max="5" width="21.7109375" customWidth="1"/>
    <col min="8" max="8" width="17.5703125" customWidth="1"/>
  </cols>
  <sheetData>
    <row r="3" spans="1:8">
      <c r="B3" s="15" t="s">
        <v>40</v>
      </c>
    </row>
    <row r="4" spans="1:8">
      <c r="A4" s="9" t="s">
        <v>45</v>
      </c>
      <c r="B4" s="2" t="s">
        <v>46</v>
      </c>
      <c r="C4" t="s">
        <v>41</v>
      </c>
      <c r="D4" s="14" t="s">
        <v>47</v>
      </c>
      <c r="E4" s="12" t="s">
        <v>48</v>
      </c>
      <c r="G4" s="12" t="s">
        <v>49</v>
      </c>
      <c r="H4" s="12" t="s">
        <v>53</v>
      </c>
    </row>
    <row r="5" spans="1:8">
      <c r="A5" s="10">
        <v>1503960366</v>
      </c>
      <c r="B5" s="2">
        <v>12116.741935483871</v>
      </c>
      <c r="C5" s="13">
        <v>18134</v>
      </c>
      <c r="D5" s="2">
        <f>B5/C5</f>
        <v>0.66817811489378354</v>
      </c>
      <c r="E5" t="str">
        <f>IF(D5&lt;0.5, "Low", IF(D5&lt;0.75,  "Moderate", "High"))</f>
        <v>Moderate</v>
      </c>
      <c r="G5" t="s">
        <v>50</v>
      </c>
      <c r="H5">
        <f>COUNTIF(E5:E37, "Low")</f>
        <v>14</v>
      </c>
    </row>
    <row r="6" spans="1:8">
      <c r="A6" s="10">
        <v>1624580081</v>
      </c>
      <c r="B6" s="2">
        <v>5743.9032258064517</v>
      </c>
      <c r="C6" s="13">
        <v>36019</v>
      </c>
      <c r="D6" s="2">
        <f t="shared" ref="D6:D37" si="0">B6/C6</f>
        <v>0.15946870334563568</v>
      </c>
      <c r="E6" t="str">
        <f t="shared" ref="E6:E37" si="1">IF(D6&lt;0.5, "Low", IF(D6&lt;0.75,  "Moderate", "High"))</f>
        <v>Low</v>
      </c>
      <c r="G6" t="s">
        <v>51</v>
      </c>
      <c r="H6">
        <f>COUNTIF(E5:E37, "Moderate")</f>
        <v>18</v>
      </c>
    </row>
    <row r="7" spans="1:8">
      <c r="A7" s="10">
        <v>1644430081</v>
      </c>
      <c r="B7" s="2">
        <v>7282.9666666666662</v>
      </c>
      <c r="C7" s="13">
        <v>18213</v>
      </c>
      <c r="D7" s="2">
        <f t="shared" si="0"/>
        <v>0.39987737696517139</v>
      </c>
      <c r="E7" t="str">
        <f t="shared" si="1"/>
        <v>Low</v>
      </c>
      <c r="G7" t="s">
        <v>52</v>
      </c>
      <c r="H7">
        <f>COUNTIF(E5:E37, "High")</f>
        <v>1</v>
      </c>
    </row>
    <row r="8" spans="1:8">
      <c r="A8" s="10">
        <v>1844505072</v>
      </c>
      <c r="B8" s="2">
        <v>2580.0645161290322</v>
      </c>
      <c r="C8" s="13">
        <v>8054</v>
      </c>
      <c r="D8" s="2">
        <f t="shared" si="0"/>
        <v>0.32034573083300621</v>
      </c>
      <c r="E8" t="str">
        <f t="shared" si="1"/>
        <v>Low</v>
      </c>
    </row>
    <row r="9" spans="1:8">
      <c r="A9" s="10">
        <v>1927972279</v>
      </c>
      <c r="B9" s="2">
        <v>916.12903225806451</v>
      </c>
      <c r="C9" s="13">
        <v>3790</v>
      </c>
      <c r="D9" s="2">
        <f t="shared" si="0"/>
        <v>0.24172269980423866</v>
      </c>
      <c r="E9" t="str">
        <f t="shared" si="1"/>
        <v>Low</v>
      </c>
    </row>
    <row r="10" spans="1:8">
      <c r="A10" s="10">
        <v>2022484408</v>
      </c>
      <c r="B10" s="2">
        <v>11370.645161290322</v>
      </c>
      <c r="C10" s="13">
        <v>18387</v>
      </c>
      <c r="D10" s="2">
        <f t="shared" si="0"/>
        <v>0.61840676354436952</v>
      </c>
      <c r="E10" t="str">
        <f t="shared" si="1"/>
        <v>Moderate</v>
      </c>
    </row>
    <row r="11" spans="1:8">
      <c r="A11" s="10">
        <v>2026352035</v>
      </c>
      <c r="B11" s="2">
        <v>5566.8709677419356</v>
      </c>
      <c r="C11" s="13">
        <v>12357</v>
      </c>
      <c r="D11" s="2">
        <f>B11/C11</f>
        <v>0.45050343673561022</v>
      </c>
      <c r="E11" t="str">
        <f t="shared" si="1"/>
        <v>Low</v>
      </c>
    </row>
    <row r="12" spans="1:8">
      <c r="A12" s="10">
        <v>2320127002</v>
      </c>
      <c r="B12" s="2">
        <v>4716.8709677419356</v>
      </c>
      <c r="C12" s="13">
        <v>10725</v>
      </c>
      <c r="D12" s="2">
        <f t="shared" si="0"/>
        <v>0.43980148883374692</v>
      </c>
      <c r="E12" t="str">
        <f t="shared" si="1"/>
        <v>Low</v>
      </c>
    </row>
    <row r="13" spans="1:8">
      <c r="A13" s="10">
        <v>2347167796</v>
      </c>
      <c r="B13" s="2">
        <v>9519.6666666666661</v>
      </c>
      <c r="C13" s="13">
        <v>22244</v>
      </c>
      <c r="D13" s="2">
        <f t="shared" si="0"/>
        <v>0.42796559371815618</v>
      </c>
      <c r="E13" t="str">
        <f t="shared" si="1"/>
        <v>Low</v>
      </c>
    </row>
    <row r="14" spans="1:8">
      <c r="A14" s="10">
        <v>2873212765</v>
      </c>
      <c r="B14" s="2">
        <v>7555.7741935483873</v>
      </c>
      <c r="C14" s="13">
        <v>9685</v>
      </c>
      <c r="D14" s="2">
        <f t="shared" si="0"/>
        <v>0.78015221409895585</v>
      </c>
      <c r="E14" t="str">
        <f t="shared" si="1"/>
        <v>High</v>
      </c>
    </row>
    <row r="15" spans="1:8">
      <c r="A15" s="10">
        <v>3372868164</v>
      </c>
      <c r="B15" s="2">
        <v>6861.65</v>
      </c>
      <c r="C15" s="13">
        <v>9715</v>
      </c>
      <c r="D15" s="2">
        <f t="shared" si="0"/>
        <v>0.70629439011837358</v>
      </c>
      <c r="E15" t="str">
        <f t="shared" si="1"/>
        <v>Moderate</v>
      </c>
    </row>
    <row r="16" spans="1:8">
      <c r="A16" s="10">
        <v>3977333714</v>
      </c>
      <c r="B16" s="2">
        <v>10984.566666666668</v>
      </c>
      <c r="C16" s="13">
        <v>16520</v>
      </c>
      <c r="D16" s="2">
        <f t="shared" si="0"/>
        <v>0.66492534301856343</v>
      </c>
      <c r="E16" t="str">
        <f t="shared" si="1"/>
        <v>Moderate</v>
      </c>
    </row>
    <row r="17" spans="1:5">
      <c r="A17" s="10">
        <v>4020332650</v>
      </c>
      <c r="B17" s="2">
        <v>2267.2258064516127</v>
      </c>
      <c r="C17" s="13">
        <v>11728</v>
      </c>
      <c r="D17" s="2">
        <f t="shared" si="0"/>
        <v>0.19331734366060818</v>
      </c>
      <c r="E17" t="str">
        <f t="shared" si="1"/>
        <v>Low</v>
      </c>
    </row>
    <row r="18" spans="1:5">
      <c r="A18" s="10">
        <v>4057192912</v>
      </c>
      <c r="B18" s="2">
        <v>3838</v>
      </c>
      <c r="C18" s="13">
        <v>5974</v>
      </c>
      <c r="D18" s="2">
        <f t="shared" si="0"/>
        <v>0.64245061935051895</v>
      </c>
      <c r="E18" t="str">
        <f t="shared" si="1"/>
        <v>Moderate</v>
      </c>
    </row>
    <row r="19" spans="1:5">
      <c r="A19" s="10">
        <v>4319703577</v>
      </c>
      <c r="B19" s="2">
        <v>7268.8387096774195</v>
      </c>
      <c r="C19" s="13">
        <v>13658</v>
      </c>
      <c r="D19" s="2">
        <f t="shared" si="0"/>
        <v>0.53220374210553667</v>
      </c>
      <c r="E19" t="str">
        <f t="shared" si="1"/>
        <v>Moderate</v>
      </c>
    </row>
    <row r="20" spans="1:5">
      <c r="A20" s="10">
        <v>4388161847</v>
      </c>
      <c r="B20" s="2">
        <v>10813.935483870968</v>
      </c>
      <c r="C20" s="13">
        <v>22770</v>
      </c>
      <c r="D20" s="2">
        <f t="shared" si="0"/>
        <v>0.47492031110544436</v>
      </c>
      <c r="E20" t="str">
        <f t="shared" si="1"/>
        <v>Low</v>
      </c>
    </row>
    <row r="21" spans="1:5">
      <c r="A21" s="10">
        <v>4445114986</v>
      </c>
      <c r="B21" s="2">
        <v>4796.5483870967746</v>
      </c>
      <c r="C21" s="13">
        <v>9105</v>
      </c>
      <c r="D21" s="2">
        <f t="shared" si="0"/>
        <v>0.52680377672671874</v>
      </c>
      <c r="E21" t="str">
        <f t="shared" si="1"/>
        <v>Moderate</v>
      </c>
    </row>
    <row r="22" spans="1:5">
      <c r="A22" s="10">
        <v>4558609924</v>
      </c>
      <c r="B22" s="2">
        <v>7685.1290322580644</v>
      </c>
      <c r="C22" s="13">
        <v>13743</v>
      </c>
      <c r="D22" s="2">
        <f t="shared" si="0"/>
        <v>0.55920316031856687</v>
      </c>
      <c r="E22" t="str">
        <f t="shared" si="1"/>
        <v>Moderate</v>
      </c>
    </row>
    <row r="23" spans="1:5">
      <c r="A23" s="10">
        <v>4702921684</v>
      </c>
      <c r="B23" s="2">
        <v>8572.0645161290322</v>
      </c>
      <c r="C23" s="13">
        <v>15126</v>
      </c>
      <c r="D23" s="2">
        <f t="shared" si="0"/>
        <v>0.56671059871274843</v>
      </c>
      <c r="E23" t="str">
        <f t="shared" si="1"/>
        <v>Moderate</v>
      </c>
    </row>
    <row r="24" spans="1:5">
      <c r="A24" s="10">
        <v>5553957443</v>
      </c>
      <c r="B24" s="2">
        <v>8612.5806451612898</v>
      </c>
      <c r="C24" s="13">
        <v>17022</v>
      </c>
      <c r="D24" s="2">
        <f t="shared" si="0"/>
        <v>0.50596760927983142</v>
      </c>
      <c r="E24" t="str">
        <f t="shared" si="1"/>
        <v>Moderate</v>
      </c>
    </row>
    <row r="25" spans="1:5">
      <c r="A25" s="10">
        <v>5577150313</v>
      </c>
      <c r="B25" s="2">
        <v>8304.4333333333325</v>
      </c>
      <c r="C25" s="13">
        <v>15764</v>
      </c>
      <c r="D25" s="2">
        <f t="shared" si="0"/>
        <v>0.52679734415968871</v>
      </c>
      <c r="E25" t="str">
        <f t="shared" si="1"/>
        <v>Moderate</v>
      </c>
    </row>
    <row r="26" spans="1:5">
      <c r="A26" s="10">
        <v>6117666160</v>
      </c>
      <c r="B26" s="2">
        <v>7046.7142857142853</v>
      </c>
      <c r="C26" s="13">
        <v>19542</v>
      </c>
      <c r="D26" s="2">
        <f t="shared" si="0"/>
        <v>0.36059330087576941</v>
      </c>
      <c r="E26" t="str">
        <f t="shared" si="1"/>
        <v>Low</v>
      </c>
    </row>
    <row r="27" spans="1:5">
      <c r="A27" s="10">
        <v>6290855005</v>
      </c>
      <c r="B27" s="2">
        <v>5649.5517241379312</v>
      </c>
      <c r="C27" s="13">
        <v>9837</v>
      </c>
      <c r="D27" s="2">
        <f t="shared" si="0"/>
        <v>0.57431653188349407</v>
      </c>
      <c r="E27" t="str">
        <f t="shared" si="1"/>
        <v>Moderate</v>
      </c>
    </row>
    <row r="28" spans="1:5">
      <c r="A28" s="10">
        <v>6775888955</v>
      </c>
      <c r="B28" s="2">
        <v>2519.6923076923076</v>
      </c>
      <c r="C28" s="13">
        <v>10771</v>
      </c>
      <c r="D28" s="2">
        <f t="shared" si="0"/>
        <v>0.2339329967219671</v>
      </c>
      <c r="E28" t="str">
        <f t="shared" si="1"/>
        <v>Low</v>
      </c>
    </row>
    <row r="29" spans="1:5">
      <c r="A29" s="10">
        <v>6962181067</v>
      </c>
      <c r="B29" s="2">
        <v>9794.8064516129034</v>
      </c>
      <c r="C29" s="13">
        <v>20031</v>
      </c>
      <c r="D29" s="2">
        <f t="shared" si="0"/>
        <v>0.48898239986086084</v>
      </c>
      <c r="E29" t="str">
        <f t="shared" si="1"/>
        <v>Low</v>
      </c>
    </row>
    <row r="30" spans="1:5">
      <c r="A30" s="10">
        <v>7007744171</v>
      </c>
      <c r="B30" s="2">
        <v>11323.423076923076</v>
      </c>
      <c r="C30" s="13">
        <v>20067</v>
      </c>
      <c r="D30" s="2">
        <f t="shared" si="0"/>
        <v>0.56428081312219447</v>
      </c>
      <c r="E30" t="str">
        <f t="shared" si="1"/>
        <v>Moderate</v>
      </c>
    </row>
    <row r="31" spans="1:5">
      <c r="A31" s="10">
        <v>7086361926</v>
      </c>
      <c r="B31" s="2">
        <v>9371.7741935483864</v>
      </c>
      <c r="C31" s="13">
        <v>14560</v>
      </c>
      <c r="D31" s="2">
        <f t="shared" si="0"/>
        <v>0.64366580999645506</v>
      </c>
      <c r="E31" t="str">
        <f t="shared" si="1"/>
        <v>Moderate</v>
      </c>
    </row>
    <row r="32" spans="1:5">
      <c r="A32" s="10">
        <v>8053475328</v>
      </c>
      <c r="B32" s="2">
        <v>14763.290322580646</v>
      </c>
      <c r="C32" s="13">
        <v>22988</v>
      </c>
      <c r="D32" s="2">
        <f t="shared" si="0"/>
        <v>0.64221725781192995</v>
      </c>
      <c r="E32" t="str">
        <f t="shared" si="1"/>
        <v>Moderate</v>
      </c>
    </row>
    <row r="33" spans="1:5">
      <c r="A33" s="10">
        <v>8253242879</v>
      </c>
      <c r="B33" s="2">
        <v>6482.1578947368425</v>
      </c>
      <c r="C33" s="13">
        <v>11268</v>
      </c>
      <c r="D33" s="2">
        <f t="shared" si="0"/>
        <v>0.57527137865964173</v>
      </c>
      <c r="E33" t="str">
        <f t="shared" si="1"/>
        <v>Moderate</v>
      </c>
    </row>
    <row r="34" spans="1:5">
      <c r="A34" s="10">
        <v>8378563200</v>
      </c>
      <c r="B34" s="2">
        <v>8717.7096774193542</v>
      </c>
      <c r="C34" s="13">
        <v>16208</v>
      </c>
      <c r="D34" s="2">
        <f t="shared" si="0"/>
        <v>0.53786461484571535</v>
      </c>
      <c r="E34" t="str">
        <f t="shared" si="1"/>
        <v>Moderate</v>
      </c>
    </row>
    <row r="35" spans="1:5">
      <c r="A35" s="10">
        <v>8583815059</v>
      </c>
      <c r="B35" s="2">
        <v>7198.5161290322585</v>
      </c>
      <c r="C35" s="13">
        <v>15168</v>
      </c>
      <c r="D35" s="2">
        <f>B35/C35</f>
        <v>0.47458571525792842</v>
      </c>
      <c r="E35" t="str">
        <f t="shared" si="1"/>
        <v>Low</v>
      </c>
    </row>
    <row r="36" spans="1:5">
      <c r="A36" s="10">
        <v>8792009665</v>
      </c>
      <c r="B36" s="2">
        <v>1853.7241379310344</v>
      </c>
      <c r="C36" s="13">
        <v>8360</v>
      </c>
      <c r="D36" s="2">
        <f t="shared" si="0"/>
        <v>0.22173733707309023</v>
      </c>
      <c r="E36" t="str">
        <f t="shared" si="1"/>
        <v>Low</v>
      </c>
    </row>
    <row r="37" spans="1:5">
      <c r="A37" s="10">
        <v>8877689391</v>
      </c>
      <c r="B37" s="2">
        <v>16040.032258064517</v>
      </c>
      <c r="C37" s="13">
        <v>29326</v>
      </c>
      <c r="D37" s="2">
        <f t="shared" si="0"/>
        <v>0.54695602053005921</v>
      </c>
      <c r="E37" t="str">
        <f t="shared" si="1"/>
        <v>Moderate</v>
      </c>
    </row>
    <row r="38" spans="1:5">
      <c r="B38"/>
    </row>
  </sheetData>
  <pageMargins left="0.7" right="0.7" top="0.75" bottom="0.75" header="0.3" footer="0.3"/>
  <pageSetup paperSize="9" orientation="portrait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5"/>
  <sheetViews>
    <sheetView workbookViewId="0">
      <selection activeCell="A4" sqref="A4"/>
    </sheetView>
  </sheetViews>
  <sheetFormatPr defaultRowHeight="15"/>
  <cols>
    <col min="1" max="1" width="30.5703125" bestFit="1" customWidth="1"/>
    <col min="2" max="2" width="26.85546875" customWidth="1"/>
    <col min="3" max="3" width="20.7109375" customWidth="1"/>
  </cols>
  <sheetData>
    <row r="1" spans="1:2">
      <c r="A1" s="16" t="s">
        <v>34</v>
      </c>
      <c r="B1" s="16"/>
    </row>
    <row r="3" spans="1:2">
      <c r="A3" s="9" t="s">
        <v>40</v>
      </c>
    </row>
    <row r="4" spans="1:2">
      <c r="A4" t="s">
        <v>38</v>
      </c>
      <c r="B4" t="s">
        <v>39</v>
      </c>
    </row>
    <row r="5" spans="1:2">
      <c r="A5" s="3">
        <v>419.17317073170733</v>
      </c>
      <c r="B5" s="3">
        <v>458.48292682926831</v>
      </c>
    </row>
  </sheetData>
  <mergeCells count="1">
    <mergeCell ref="A1:B1"/>
  </mergeCell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tabSelected="1" topLeftCell="A10" workbookViewId="0">
      <selection activeCell="P11" sqref="P11"/>
    </sheetView>
  </sheetViews>
  <sheetFormatPr defaultRowHeight="15"/>
  <sheetData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9</vt:i4>
      </vt:variant>
      <vt:variant>
        <vt:lpstr>Περιοχές με ονόματα</vt:lpstr>
      </vt:variant>
      <vt:variant>
        <vt:i4>4</vt:i4>
      </vt:variant>
    </vt:vector>
  </HeadingPairs>
  <TitlesOfParts>
    <vt:vector size="13" baseType="lpstr">
      <vt:lpstr>Raw_Daily_Activity</vt:lpstr>
      <vt:lpstr>Raw_Sleep_Data</vt:lpstr>
      <vt:lpstr>Clean_Daily_Activity</vt:lpstr>
      <vt:lpstr>Clean_Sleep_Data</vt:lpstr>
      <vt:lpstr>Activity_Level_Analysis</vt:lpstr>
      <vt:lpstr>Day_Of_Week_Analysis</vt:lpstr>
      <vt:lpstr>User_Cosistency_Analysis</vt:lpstr>
      <vt:lpstr>Sleep_Duration_Analysis</vt:lpstr>
      <vt:lpstr>Analysis</vt:lpstr>
      <vt:lpstr>Clean_Daily_Activity!dailyActivity_merged</vt:lpstr>
      <vt:lpstr>Raw_Daily_Activity!dailyActivity_merged</vt:lpstr>
      <vt:lpstr>Clean_Sleep_Data!sleepDay_merged</vt:lpstr>
      <vt:lpstr>Raw_Sleep_Data!sleepDay_merged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morellos</dc:creator>
  <cp:lastModifiedBy>morellos</cp:lastModifiedBy>
  <dcterms:created xsi:type="dcterms:W3CDTF">2026-04-15T15:22:00Z</dcterms:created>
  <dcterms:modified xsi:type="dcterms:W3CDTF">2026-04-22T00:05:07Z</dcterms:modified>
</cp:coreProperties>
</file>